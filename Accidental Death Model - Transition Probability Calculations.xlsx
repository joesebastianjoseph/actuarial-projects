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bd9e86679a8ca7/Desktop/Projects/"/>
    </mc:Choice>
  </mc:AlternateContent>
  <xr:revisionPtr revIDLastSave="64" documentId="8_{0E9B21E9-9D12-463B-848F-F2C661972A8C}" xr6:coauthVersionLast="47" xr6:coauthVersionMax="47" xr10:uidLastSave="{26A75690-2FF9-45D3-8ADB-80AE701BDC6C}"/>
  <bookViews>
    <workbookView xWindow="-90" yWindow="-90" windowWidth="19380" windowHeight="11460" xr2:uid="{228BE06E-7C18-4653-B025-E3F383CCD8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I2" i="1"/>
  <c r="H2" i="1"/>
  <c r="G2" i="1"/>
  <c r="D6" i="1" l="1"/>
  <c r="D106" i="1"/>
  <c r="D45" i="1"/>
  <c r="D44" i="1"/>
  <c r="D103" i="1"/>
  <c r="D82" i="1"/>
  <c r="D81" i="1"/>
  <c r="D80" i="1"/>
  <c r="D59" i="1"/>
  <c r="D84" i="1"/>
  <c r="D43" i="1"/>
  <c r="D42" i="1"/>
  <c r="D21" i="1"/>
  <c r="D100" i="1"/>
  <c r="D40" i="1"/>
  <c r="D39" i="1"/>
  <c r="D38" i="1"/>
  <c r="D97" i="1"/>
  <c r="D57" i="1"/>
  <c r="D76" i="1"/>
  <c r="D36" i="1"/>
  <c r="D75" i="1"/>
  <c r="D15" i="1"/>
  <c r="D94" i="1"/>
  <c r="D74" i="1"/>
  <c r="D54" i="1"/>
  <c r="D34" i="1"/>
  <c r="D14" i="1"/>
  <c r="D93" i="1"/>
  <c r="D73" i="1"/>
  <c r="D53" i="1"/>
  <c r="D33" i="1"/>
  <c r="D13" i="1"/>
  <c r="D65" i="1"/>
  <c r="D64" i="1"/>
  <c r="D23" i="1"/>
  <c r="D62" i="1"/>
  <c r="D61" i="1"/>
  <c r="D60" i="1"/>
  <c r="D19" i="1"/>
  <c r="D78" i="1"/>
  <c r="D18" i="1"/>
  <c r="D37" i="1"/>
  <c r="D56" i="1"/>
  <c r="D55" i="1"/>
  <c r="D92" i="1"/>
  <c r="D72" i="1"/>
  <c r="D52" i="1"/>
  <c r="D32" i="1"/>
  <c r="D12" i="1"/>
  <c r="D104" i="1"/>
  <c r="D83" i="1"/>
  <c r="D102" i="1"/>
  <c r="D101" i="1"/>
  <c r="D99" i="1"/>
  <c r="D24" i="1"/>
  <c r="D63" i="1"/>
  <c r="D22" i="1"/>
  <c r="D41" i="1"/>
  <c r="D20" i="1"/>
  <c r="D79" i="1"/>
  <c r="D98" i="1"/>
  <c r="D58" i="1"/>
  <c r="D77" i="1"/>
  <c r="D17" i="1"/>
  <c r="D96" i="1"/>
  <c r="D16" i="1"/>
  <c r="D95" i="1"/>
  <c r="D35" i="1"/>
  <c r="D91" i="1"/>
  <c r="D71" i="1"/>
  <c r="D51" i="1"/>
  <c r="D31" i="1"/>
  <c r="D11" i="1"/>
  <c r="D90" i="1"/>
  <c r="D70" i="1"/>
  <c r="D50" i="1"/>
  <c r="D30" i="1"/>
  <c r="D10" i="1"/>
  <c r="D85" i="1"/>
  <c r="D69" i="1"/>
  <c r="D29" i="1"/>
  <c r="D68" i="1"/>
  <c r="D28" i="1"/>
  <c r="D8" i="1"/>
  <c r="D105" i="1"/>
  <c r="D49" i="1"/>
  <c r="D88" i="1"/>
  <c r="D67" i="1"/>
  <c r="D47" i="1"/>
  <c r="D7" i="1"/>
  <c r="D25" i="1"/>
  <c r="D89" i="1"/>
  <c r="D9" i="1"/>
  <c r="D48" i="1"/>
  <c r="D87" i="1"/>
  <c r="D27" i="1"/>
  <c r="D86" i="1"/>
  <c r="D66" i="1"/>
  <c r="D46" i="1"/>
  <c r="D2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6" i="1"/>
  <c r="B6" i="1"/>
  <c r="G6" i="1" s="1"/>
  <c r="J7" i="1" l="1"/>
  <c r="B7" i="1"/>
  <c r="E6" i="1"/>
  <c r="H7" i="1" s="1"/>
  <c r="F6" i="1"/>
  <c r="I7" i="1" s="1"/>
  <c r="F7" i="1" l="1"/>
  <c r="I8" i="1" s="1"/>
  <c r="E7" i="1"/>
  <c r="H8" i="1" s="1"/>
  <c r="B8" i="1"/>
  <c r="F8" i="1" l="1"/>
  <c r="I9" i="1" s="1"/>
  <c r="B9" i="1"/>
  <c r="E8" i="1"/>
  <c r="H9" i="1" s="1"/>
  <c r="G7" i="1"/>
  <c r="J8" i="1" s="1"/>
  <c r="F9" i="1" l="1"/>
  <c r="I10" i="1" s="1"/>
  <c r="B10" i="1"/>
  <c r="E9" i="1"/>
  <c r="H10" i="1" s="1"/>
  <c r="G8" i="1"/>
  <c r="J9" i="1" s="1"/>
  <c r="F10" i="1" l="1"/>
  <c r="I11" i="1" s="1"/>
  <c r="B11" i="1"/>
  <c r="E10" i="1"/>
  <c r="H11" i="1" s="1"/>
  <c r="G9" i="1"/>
  <c r="J10" i="1" s="1"/>
  <c r="F11" i="1" l="1"/>
  <c r="I12" i="1" s="1"/>
  <c r="B12" i="1"/>
  <c r="E11" i="1"/>
  <c r="H12" i="1" s="1"/>
  <c r="G10" i="1"/>
  <c r="J11" i="1" s="1"/>
  <c r="F12" i="1" l="1"/>
  <c r="I13" i="1" s="1"/>
  <c r="B13" i="1"/>
  <c r="E12" i="1"/>
  <c r="H13" i="1" s="1"/>
  <c r="G11" i="1"/>
  <c r="J12" i="1" s="1"/>
  <c r="F13" i="1" l="1"/>
  <c r="I14" i="1" s="1"/>
  <c r="B14" i="1"/>
  <c r="G13" i="1"/>
  <c r="G12" i="1"/>
  <c r="J13" i="1" s="1"/>
  <c r="J14" i="1" l="1"/>
  <c r="B15" i="1"/>
  <c r="E13" i="1"/>
  <c r="H14" i="1" s="1"/>
  <c r="G14" i="1" l="1"/>
  <c r="J15" i="1" s="1"/>
  <c r="F14" i="1"/>
  <c r="I15" i="1" s="1"/>
  <c r="E14" i="1"/>
  <c r="H15" i="1" s="1"/>
  <c r="B16" i="1"/>
  <c r="B17" i="1" l="1"/>
  <c r="F15" i="1"/>
  <c r="I16" i="1" s="1"/>
  <c r="G15" i="1"/>
  <c r="J16" i="1" s="1"/>
  <c r="E15" i="1"/>
  <c r="H16" i="1" s="1"/>
  <c r="G16" i="1" l="1"/>
  <c r="J17" i="1" s="1"/>
  <c r="E16" i="1"/>
  <c r="H17" i="1" s="1"/>
  <c r="F16" i="1"/>
  <c r="I17" i="1" s="1"/>
  <c r="B18" i="1"/>
  <c r="B19" i="1" l="1"/>
  <c r="F17" i="1"/>
  <c r="I18" i="1" s="1"/>
  <c r="G17" i="1"/>
  <c r="J18" i="1" s="1"/>
  <c r="E17" i="1"/>
  <c r="H18" i="1" s="1"/>
  <c r="F18" i="1" l="1"/>
  <c r="I19" i="1" s="1"/>
  <c r="G18" i="1"/>
  <c r="J19" i="1" s="1"/>
  <c r="E18" i="1"/>
  <c r="H19" i="1" s="1"/>
  <c r="B20" i="1"/>
  <c r="B21" i="1" l="1"/>
  <c r="F19" i="1"/>
  <c r="I20" i="1" s="1"/>
  <c r="G19" i="1"/>
  <c r="J20" i="1" s="1"/>
  <c r="E19" i="1"/>
  <c r="H20" i="1" s="1"/>
  <c r="F20" i="1" l="1"/>
  <c r="I21" i="1" s="1"/>
  <c r="G20" i="1"/>
  <c r="J21" i="1" s="1"/>
  <c r="E20" i="1"/>
  <c r="H21" i="1" s="1"/>
  <c r="B22" i="1"/>
  <c r="B23" i="1" l="1"/>
  <c r="E21" i="1"/>
  <c r="H22" i="1" s="1"/>
  <c r="F21" i="1"/>
  <c r="I22" i="1" s="1"/>
  <c r="G21" i="1"/>
  <c r="J22" i="1" s="1"/>
  <c r="E22" i="1" l="1"/>
  <c r="H23" i="1" s="1"/>
  <c r="F22" i="1"/>
  <c r="I23" i="1" s="1"/>
  <c r="G22" i="1"/>
  <c r="J23" i="1" s="1"/>
  <c r="B24" i="1"/>
  <c r="B25" i="1" l="1"/>
  <c r="E23" i="1"/>
  <c r="H24" i="1" s="1"/>
  <c r="F23" i="1"/>
  <c r="I24" i="1" s="1"/>
  <c r="G23" i="1"/>
  <c r="J24" i="1" s="1"/>
  <c r="E24" i="1" l="1"/>
  <c r="H25" i="1" s="1"/>
  <c r="F24" i="1"/>
  <c r="I25" i="1" s="1"/>
  <c r="G24" i="1"/>
  <c r="J25" i="1" s="1"/>
  <c r="B26" i="1"/>
  <c r="B27" i="1" l="1"/>
  <c r="G25" i="1"/>
  <c r="J26" i="1" s="1"/>
  <c r="E25" i="1"/>
  <c r="H26" i="1" s="1"/>
  <c r="F25" i="1"/>
  <c r="I26" i="1" s="1"/>
  <c r="G26" i="1" l="1"/>
  <c r="J27" i="1" s="1"/>
  <c r="E26" i="1"/>
  <c r="H27" i="1" s="1"/>
  <c r="F26" i="1"/>
  <c r="I27" i="1" s="1"/>
  <c r="B28" i="1"/>
  <c r="B29" i="1" l="1"/>
  <c r="E27" i="1"/>
  <c r="H28" i="1" s="1"/>
  <c r="G27" i="1"/>
  <c r="J28" i="1" s="1"/>
  <c r="F27" i="1"/>
  <c r="I28" i="1" s="1"/>
  <c r="G28" i="1" l="1"/>
  <c r="J29" i="1" s="1"/>
  <c r="F28" i="1"/>
  <c r="I29" i="1" s="1"/>
  <c r="E28" i="1"/>
  <c r="H29" i="1" s="1"/>
  <c r="B30" i="1"/>
  <c r="G29" i="1" l="1"/>
  <c r="J30" i="1" s="1"/>
  <c r="F29" i="1"/>
  <c r="I30" i="1" s="1"/>
  <c r="E29" i="1"/>
  <c r="H30" i="1" s="1"/>
  <c r="B31" i="1"/>
  <c r="B32" i="1" l="1"/>
  <c r="G30" i="1"/>
  <c r="J31" i="1" s="1"/>
  <c r="F30" i="1"/>
  <c r="I31" i="1" s="1"/>
  <c r="E30" i="1"/>
  <c r="H31" i="1" s="1"/>
  <c r="G31" i="1" l="1"/>
  <c r="J32" i="1" s="1"/>
  <c r="F31" i="1"/>
  <c r="I32" i="1" s="1"/>
  <c r="E31" i="1"/>
  <c r="H32" i="1" s="1"/>
  <c r="B33" i="1"/>
  <c r="B34" i="1" l="1"/>
  <c r="G32" i="1"/>
  <c r="J33" i="1" s="1"/>
  <c r="F32" i="1"/>
  <c r="I33" i="1" s="1"/>
  <c r="E32" i="1"/>
  <c r="H33" i="1" s="1"/>
  <c r="E33" i="1" l="1"/>
  <c r="H34" i="1" s="1"/>
  <c r="G33" i="1"/>
  <c r="J34" i="1" s="1"/>
  <c r="F33" i="1"/>
  <c r="I34" i="1" s="1"/>
  <c r="B35" i="1"/>
  <c r="B36" i="1" l="1"/>
  <c r="E34" i="1"/>
  <c r="H35" i="1" s="1"/>
  <c r="F34" i="1"/>
  <c r="I35" i="1" s="1"/>
  <c r="G34" i="1"/>
  <c r="J35" i="1" s="1"/>
  <c r="E35" i="1" l="1"/>
  <c r="H36" i="1" s="1"/>
  <c r="F35" i="1"/>
  <c r="I36" i="1" s="1"/>
  <c r="G35" i="1"/>
  <c r="J36" i="1" s="1"/>
  <c r="B37" i="1"/>
  <c r="B38" i="1" l="1"/>
  <c r="E36" i="1"/>
  <c r="H37" i="1" s="1"/>
  <c r="G36" i="1"/>
  <c r="J37" i="1" s="1"/>
  <c r="F36" i="1"/>
  <c r="I37" i="1" s="1"/>
  <c r="E37" i="1" l="1"/>
  <c r="H38" i="1" s="1"/>
  <c r="F37" i="1"/>
  <c r="I38" i="1" s="1"/>
  <c r="G37" i="1"/>
  <c r="J38" i="1" s="1"/>
  <c r="B39" i="1"/>
  <c r="B40" i="1" l="1"/>
  <c r="E38" i="1"/>
  <c r="H39" i="1" s="1"/>
  <c r="F38" i="1"/>
  <c r="I39" i="1" s="1"/>
  <c r="G38" i="1"/>
  <c r="J39" i="1" s="1"/>
  <c r="G39" i="1" l="1"/>
  <c r="J40" i="1" s="1"/>
  <c r="F39" i="1"/>
  <c r="I40" i="1" s="1"/>
  <c r="E39" i="1"/>
  <c r="H40" i="1" s="1"/>
  <c r="B41" i="1"/>
  <c r="B42" i="1" l="1"/>
  <c r="G40" i="1"/>
  <c r="J41" i="1" s="1"/>
  <c r="F40" i="1"/>
  <c r="I41" i="1" s="1"/>
  <c r="E40" i="1"/>
  <c r="H41" i="1" s="1"/>
  <c r="G41" i="1" l="1"/>
  <c r="J42" i="1" s="1"/>
  <c r="E41" i="1"/>
  <c r="H42" i="1" s="1"/>
  <c r="F41" i="1"/>
  <c r="I42" i="1" s="1"/>
  <c r="B43" i="1"/>
  <c r="B44" i="1" l="1"/>
  <c r="G42" i="1"/>
  <c r="J43" i="1" s="1"/>
  <c r="E42" i="1"/>
  <c r="H43" i="1" s="1"/>
  <c r="F42" i="1"/>
  <c r="I43" i="1" s="1"/>
  <c r="F43" i="1" l="1"/>
  <c r="I44" i="1" s="1"/>
  <c r="G43" i="1"/>
  <c r="J44" i="1" s="1"/>
  <c r="E43" i="1"/>
  <c r="H44" i="1" s="1"/>
  <c r="B45" i="1"/>
  <c r="B46" i="1" l="1"/>
  <c r="F44" i="1"/>
  <c r="I45" i="1" s="1"/>
  <c r="G44" i="1"/>
  <c r="J45" i="1" s="1"/>
  <c r="E44" i="1"/>
  <c r="H45" i="1" s="1"/>
  <c r="F45" i="1" l="1"/>
  <c r="I46" i="1" s="1"/>
  <c r="G45" i="1"/>
  <c r="J46" i="1" s="1"/>
  <c r="E45" i="1"/>
  <c r="H46" i="1" s="1"/>
  <c r="B47" i="1"/>
  <c r="B48" i="1" l="1"/>
  <c r="F46" i="1"/>
  <c r="I47" i="1" s="1"/>
  <c r="G46" i="1"/>
  <c r="J47" i="1" s="1"/>
  <c r="E46" i="1"/>
  <c r="H47" i="1" s="1"/>
  <c r="E47" i="1" l="1"/>
  <c r="H48" i="1" s="1"/>
  <c r="F47" i="1"/>
  <c r="I48" i="1" s="1"/>
  <c r="G47" i="1"/>
  <c r="J48" i="1" s="1"/>
  <c r="B49" i="1"/>
  <c r="B50" i="1" l="1"/>
  <c r="G48" i="1"/>
  <c r="J49" i="1" s="1"/>
  <c r="F48" i="1"/>
  <c r="I49" i="1" s="1"/>
  <c r="E48" i="1"/>
  <c r="H49" i="1" s="1"/>
  <c r="G49" i="1" l="1"/>
  <c r="J50" i="1" s="1"/>
  <c r="F49" i="1"/>
  <c r="I50" i="1" s="1"/>
  <c r="E49" i="1"/>
  <c r="H50" i="1" s="1"/>
  <c r="B51" i="1"/>
  <c r="G50" i="1" l="1"/>
  <c r="J51" i="1" s="1"/>
  <c r="F50" i="1"/>
  <c r="I51" i="1" s="1"/>
  <c r="E50" i="1"/>
  <c r="H51" i="1" s="1"/>
  <c r="B52" i="1"/>
  <c r="B53" i="1" l="1"/>
  <c r="G51" i="1"/>
  <c r="J52" i="1" s="1"/>
  <c r="F51" i="1"/>
  <c r="I52" i="1" s="1"/>
  <c r="E51" i="1"/>
  <c r="H52" i="1" s="1"/>
  <c r="G52" i="1" l="1"/>
  <c r="J53" i="1" s="1"/>
  <c r="F52" i="1"/>
  <c r="I53" i="1" s="1"/>
  <c r="E52" i="1"/>
  <c r="H53" i="1" s="1"/>
  <c r="B54" i="1"/>
  <c r="B55" i="1" l="1"/>
  <c r="G53" i="1"/>
  <c r="J54" i="1" s="1"/>
  <c r="F53" i="1"/>
  <c r="I54" i="1" s="1"/>
  <c r="E53" i="1"/>
  <c r="H54" i="1" s="1"/>
  <c r="E54" i="1" l="1"/>
  <c r="H55" i="1" s="1"/>
  <c r="F54" i="1"/>
  <c r="I55" i="1" s="1"/>
  <c r="G54" i="1"/>
  <c r="J55" i="1" s="1"/>
  <c r="B56" i="1"/>
  <c r="B57" i="1" l="1"/>
  <c r="E55" i="1"/>
  <c r="H56" i="1" s="1"/>
  <c r="F55" i="1"/>
  <c r="I56" i="1" s="1"/>
  <c r="G55" i="1"/>
  <c r="J56" i="1" s="1"/>
  <c r="E56" i="1" l="1"/>
  <c r="H57" i="1" s="1"/>
  <c r="F56" i="1"/>
  <c r="I57" i="1" s="1"/>
  <c r="G56" i="1"/>
  <c r="J57" i="1" s="1"/>
  <c r="B58" i="1"/>
  <c r="B59" i="1" l="1"/>
  <c r="E57" i="1"/>
  <c r="H58" i="1" s="1"/>
  <c r="F57" i="1"/>
  <c r="I58" i="1" s="1"/>
  <c r="G57" i="1"/>
  <c r="J58" i="1" s="1"/>
  <c r="F58" i="1" l="1"/>
  <c r="I59" i="1" s="1"/>
  <c r="E58" i="1"/>
  <c r="H59" i="1" s="1"/>
  <c r="G58" i="1"/>
  <c r="J59" i="1" s="1"/>
  <c r="B60" i="1"/>
  <c r="B61" i="1" l="1"/>
  <c r="F59" i="1"/>
  <c r="I60" i="1" s="1"/>
  <c r="E59" i="1"/>
  <c r="H60" i="1" s="1"/>
  <c r="G59" i="1"/>
  <c r="J60" i="1" s="1"/>
  <c r="F60" i="1" l="1"/>
  <c r="I61" i="1" s="1"/>
  <c r="G60" i="1"/>
  <c r="J61" i="1" s="1"/>
  <c r="E60" i="1"/>
  <c r="H61" i="1" s="1"/>
  <c r="B62" i="1"/>
  <c r="B63" i="1" l="1"/>
  <c r="F61" i="1"/>
  <c r="I62" i="1" s="1"/>
  <c r="G61" i="1"/>
  <c r="J62" i="1" s="1"/>
  <c r="E61" i="1"/>
  <c r="H62" i="1" s="1"/>
  <c r="F62" i="1" l="1"/>
  <c r="I63" i="1" s="1"/>
  <c r="E62" i="1"/>
  <c r="H63" i="1" s="1"/>
  <c r="G62" i="1"/>
  <c r="J63" i="1" s="1"/>
  <c r="B64" i="1"/>
  <c r="B65" i="1" l="1"/>
  <c r="E63" i="1"/>
  <c r="H64" i="1" s="1"/>
  <c r="F63" i="1"/>
  <c r="I64" i="1" s="1"/>
  <c r="G63" i="1"/>
  <c r="J64" i="1" s="1"/>
  <c r="E64" i="1" l="1"/>
  <c r="H65" i="1" s="1"/>
  <c r="G64" i="1"/>
  <c r="J65" i="1" s="1"/>
  <c r="F64" i="1"/>
  <c r="I65" i="1" s="1"/>
  <c r="B66" i="1"/>
  <c r="B67" i="1" l="1"/>
  <c r="G65" i="1"/>
  <c r="J66" i="1" s="1"/>
  <c r="E65" i="1"/>
  <c r="H66" i="1" s="1"/>
  <c r="F65" i="1"/>
  <c r="I66" i="1" s="1"/>
  <c r="G66" i="1" l="1"/>
  <c r="J67" i="1" s="1"/>
  <c r="E66" i="1"/>
  <c r="H67" i="1" s="1"/>
  <c r="F66" i="1"/>
  <c r="I67" i="1" s="1"/>
  <c r="B68" i="1"/>
  <c r="B69" i="1" l="1"/>
  <c r="E67" i="1"/>
  <c r="H68" i="1" s="1"/>
  <c r="G67" i="1"/>
  <c r="J68" i="1" s="1"/>
  <c r="F67" i="1"/>
  <c r="I68" i="1" s="1"/>
  <c r="G68" i="1" l="1"/>
  <c r="J69" i="1" s="1"/>
  <c r="F68" i="1"/>
  <c r="I69" i="1" s="1"/>
  <c r="E68" i="1"/>
  <c r="H69" i="1" s="1"/>
  <c r="B70" i="1"/>
  <c r="G69" i="1" l="1"/>
  <c r="J70" i="1" s="1"/>
  <c r="F69" i="1"/>
  <c r="I70" i="1" s="1"/>
  <c r="E69" i="1"/>
  <c r="H70" i="1" s="1"/>
  <c r="B71" i="1"/>
  <c r="B72" i="1" l="1"/>
  <c r="G70" i="1"/>
  <c r="J71" i="1" s="1"/>
  <c r="F70" i="1"/>
  <c r="I71" i="1" s="1"/>
  <c r="E70" i="1"/>
  <c r="H71" i="1"/>
  <c r="G71" i="1" l="1"/>
  <c r="J72" i="1" s="1"/>
  <c r="F71" i="1"/>
  <c r="I72" i="1" s="1"/>
  <c r="E71" i="1"/>
  <c r="H72" i="1" s="1"/>
  <c r="B73" i="1"/>
  <c r="B74" i="1" l="1"/>
  <c r="G72" i="1"/>
  <c r="J73" i="1" s="1"/>
  <c r="F72" i="1"/>
  <c r="I73" i="1" s="1"/>
  <c r="E72" i="1"/>
  <c r="H73" i="1" s="1"/>
  <c r="G73" i="1" l="1"/>
  <c r="J74" i="1" s="1"/>
  <c r="F73" i="1"/>
  <c r="I74" i="1" s="1"/>
  <c r="E73" i="1"/>
  <c r="H74" i="1" s="1"/>
  <c r="B75" i="1"/>
  <c r="B76" i="1" l="1"/>
  <c r="G74" i="1"/>
  <c r="J75" i="1" s="1"/>
  <c r="F74" i="1"/>
  <c r="I75" i="1" s="1"/>
  <c r="E74" i="1"/>
  <c r="H75" i="1" s="1"/>
  <c r="F75" i="1" l="1"/>
  <c r="I76" i="1" s="1"/>
  <c r="G75" i="1"/>
  <c r="J76" i="1" s="1"/>
  <c r="E75" i="1"/>
  <c r="H76" i="1" s="1"/>
  <c r="B77" i="1"/>
  <c r="B78" i="1" l="1"/>
  <c r="F76" i="1"/>
  <c r="I77" i="1" s="1"/>
  <c r="G76" i="1"/>
  <c r="J77" i="1" s="1"/>
  <c r="E76" i="1"/>
  <c r="H77" i="1" s="1"/>
  <c r="F77" i="1" l="1"/>
  <c r="I78" i="1" s="1"/>
  <c r="E77" i="1"/>
  <c r="H78" i="1" s="1"/>
  <c r="G77" i="1"/>
  <c r="J78" i="1" s="1"/>
  <c r="B79" i="1"/>
  <c r="E78" i="1" l="1"/>
  <c r="H79" i="1" s="1"/>
  <c r="F78" i="1"/>
  <c r="I79" i="1" s="1"/>
  <c r="G78" i="1"/>
  <c r="J79" i="1" s="1"/>
  <c r="B80" i="1"/>
  <c r="B81" i="1" l="1"/>
  <c r="E79" i="1"/>
  <c r="H80" i="1" s="1"/>
  <c r="F79" i="1"/>
  <c r="I80" i="1" s="1"/>
  <c r="G79" i="1"/>
  <c r="J80" i="1" s="1"/>
  <c r="E80" i="1" l="1"/>
  <c r="H81" i="1" s="1"/>
  <c r="F80" i="1"/>
  <c r="I81" i="1" s="1"/>
  <c r="G80" i="1"/>
  <c r="J81" i="1" s="1"/>
  <c r="B82" i="1"/>
  <c r="B83" i="1" l="1"/>
  <c r="E81" i="1"/>
  <c r="H82" i="1" s="1"/>
  <c r="G81" i="1"/>
  <c r="J82" i="1" s="1"/>
  <c r="F81" i="1"/>
  <c r="I82" i="1" s="1"/>
  <c r="E82" i="1" l="1"/>
  <c r="H83" i="1" s="1"/>
  <c r="F82" i="1"/>
  <c r="I83" i="1" s="1"/>
  <c r="G82" i="1"/>
  <c r="J83" i="1" s="1"/>
  <c r="B84" i="1"/>
  <c r="B85" i="1" l="1"/>
  <c r="E83" i="1"/>
  <c r="H84" i="1" s="1"/>
  <c r="G83" i="1"/>
  <c r="J84" i="1" s="1"/>
  <c r="F83" i="1"/>
  <c r="I84" i="1" s="1"/>
  <c r="G84" i="1" l="1"/>
  <c r="J85" i="1" s="1"/>
  <c r="F84" i="1"/>
  <c r="I85" i="1" s="1"/>
  <c r="E84" i="1"/>
  <c r="H85" i="1" s="1"/>
  <c r="B86" i="1"/>
  <c r="B87" i="1" l="1"/>
  <c r="E85" i="1"/>
  <c r="H86" i="1" s="1"/>
  <c r="G85" i="1"/>
  <c r="J86" i="1" s="1"/>
  <c r="F85" i="1"/>
  <c r="I86" i="1" s="1"/>
  <c r="E86" i="1" l="1"/>
  <c r="H87" i="1" s="1"/>
  <c r="F86" i="1"/>
  <c r="I87" i="1" s="1"/>
  <c r="G86" i="1"/>
  <c r="J87" i="1" s="1"/>
  <c r="B88" i="1"/>
  <c r="B89" i="1" l="1"/>
  <c r="E87" i="1"/>
  <c r="H88" i="1" s="1"/>
  <c r="F87" i="1"/>
  <c r="I88" i="1" s="1"/>
  <c r="G87" i="1"/>
  <c r="J88" i="1" s="1"/>
  <c r="G88" i="1" l="1"/>
  <c r="J89" i="1" s="1"/>
  <c r="F88" i="1"/>
  <c r="I89" i="1" s="1"/>
  <c r="E88" i="1"/>
  <c r="H89" i="1"/>
  <c r="B90" i="1"/>
  <c r="B91" i="1" l="1"/>
  <c r="F89" i="1"/>
  <c r="I90" i="1" s="1"/>
  <c r="E89" i="1"/>
  <c r="H90" i="1" s="1"/>
  <c r="G89" i="1"/>
  <c r="J90" i="1" s="1"/>
  <c r="G90" i="1" l="1"/>
  <c r="J91" i="1" s="1"/>
  <c r="F90" i="1"/>
  <c r="I91" i="1" s="1"/>
  <c r="E90" i="1"/>
  <c r="H91" i="1" s="1"/>
  <c r="B92" i="1"/>
  <c r="B93" i="1" l="1"/>
  <c r="G91" i="1"/>
  <c r="J92" i="1" s="1"/>
  <c r="F91" i="1"/>
  <c r="I92" i="1" s="1"/>
  <c r="E91" i="1"/>
  <c r="H92" i="1" s="1"/>
  <c r="F92" i="1" l="1"/>
  <c r="I93" i="1" s="1"/>
  <c r="E92" i="1"/>
  <c r="H93" i="1" s="1"/>
  <c r="G92" i="1"/>
  <c r="J93" i="1" s="1"/>
  <c r="B94" i="1"/>
  <c r="B95" i="1" l="1"/>
  <c r="F93" i="1"/>
  <c r="I94" i="1" s="1"/>
  <c r="G93" i="1"/>
  <c r="J94" i="1" s="1"/>
  <c r="E93" i="1"/>
  <c r="H94" i="1" s="1"/>
  <c r="G94" i="1" l="1"/>
  <c r="J95" i="1" s="1"/>
  <c r="E94" i="1"/>
  <c r="H95" i="1" s="1"/>
  <c r="F94" i="1"/>
  <c r="I95" i="1" s="1"/>
  <c r="B96" i="1"/>
  <c r="E95" i="1" l="1"/>
  <c r="H96" i="1" s="1"/>
  <c r="F95" i="1"/>
  <c r="I96" i="1" s="1"/>
  <c r="G95" i="1"/>
  <c r="J96" i="1" s="1"/>
  <c r="B97" i="1"/>
  <c r="B98" i="1" l="1"/>
  <c r="E96" i="1"/>
  <c r="H97" i="1" s="1"/>
  <c r="F96" i="1"/>
  <c r="I97" i="1" s="1"/>
  <c r="G96" i="1"/>
  <c r="J97" i="1" s="1"/>
  <c r="G97" i="1" l="1"/>
  <c r="J98" i="1" s="1"/>
  <c r="E97" i="1"/>
  <c r="H98" i="1" s="1"/>
  <c r="F97" i="1"/>
  <c r="I98" i="1" s="1"/>
  <c r="B99" i="1"/>
  <c r="B100" i="1" l="1"/>
  <c r="G98" i="1"/>
  <c r="J99" i="1" s="1"/>
  <c r="F98" i="1"/>
  <c r="I99" i="1" s="1"/>
  <c r="E98" i="1"/>
  <c r="H99" i="1" s="1"/>
  <c r="G99" i="1" l="1"/>
  <c r="J100" i="1" s="1"/>
  <c r="F99" i="1"/>
  <c r="I100" i="1" s="1"/>
  <c r="E99" i="1"/>
  <c r="H100" i="1" s="1"/>
  <c r="B101" i="1"/>
  <c r="B102" i="1" l="1"/>
  <c r="G100" i="1"/>
  <c r="J101" i="1" s="1"/>
  <c r="E100" i="1"/>
  <c r="H101" i="1" s="1"/>
  <c r="F100" i="1"/>
  <c r="I101" i="1" s="1"/>
  <c r="B103" i="1" l="1"/>
  <c r="F101" i="1"/>
  <c r="I102" i="1" s="1"/>
  <c r="G101" i="1"/>
  <c r="J102" i="1" s="1"/>
  <c r="E101" i="1"/>
  <c r="H102" i="1" s="1"/>
  <c r="F102" i="1" l="1"/>
  <c r="I103" i="1" s="1"/>
  <c r="E102" i="1"/>
  <c r="H103" i="1" s="1"/>
  <c r="G102" i="1"/>
  <c r="J103" i="1" s="1"/>
  <c r="B104" i="1"/>
  <c r="B105" i="1" l="1"/>
  <c r="E103" i="1"/>
  <c r="F103" i="1"/>
  <c r="I104" i="1" s="1"/>
  <c r="G103" i="1"/>
  <c r="J104" i="1" s="1"/>
  <c r="H104" i="1"/>
  <c r="E104" i="1" l="1"/>
  <c r="H105" i="1" s="1"/>
  <c r="F104" i="1"/>
  <c r="I105" i="1" s="1"/>
  <c r="G104" i="1"/>
  <c r="J105" i="1" s="1"/>
  <c r="B106" i="1"/>
  <c r="E105" i="1" l="1"/>
  <c r="H106" i="1" s="1"/>
  <c r="F105" i="1"/>
  <c r="I106" i="1" s="1"/>
  <c r="G105" i="1"/>
  <c r="J106" i="1" s="1"/>
  <c r="E106" i="1" l="1"/>
  <c r="F106" i="1"/>
  <c r="G106" i="1"/>
</calcChain>
</file>

<file path=xl/sharedStrings.xml><?xml version="1.0" encoding="utf-8"?>
<sst xmlns="http://schemas.openxmlformats.org/spreadsheetml/2006/main" count="17" uniqueCount="17">
  <si>
    <t>Accidental  Death Model</t>
  </si>
  <si>
    <t>h</t>
  </si>
  <si>
    <t>x</t>
  </si>
  <si>
    <t>mu01</t>
  </si>
  <si>
    <t>mu02</t>
  </si>
  <si>
    <t>d/dt (tpx 00)</t>
  </si>
  <si>
    <t>d/dt (tpx 01)</t>
  </si>
  <si>
    <t>d/dt (tpx 02)</t>
  </si>
  <si>
    <t>tpx00</t>
  </si>
  <si>
    <t>tpx01</t>
  </si>
  <si>
    <t>tpx02</t>
  </si>
  <si>
    <t>t</t>
  </si>
  <si>
    <t>mu02:</t>
  </si>
  <si>
    <t>A</t>
  </si>
  <si>
    <t>B</t>
  </si>
  <si>
    <t>c</t>
  </si>
  <si>
    <t>Euler's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</si>
</sst>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DDF2-7146-43E2-802A-3FA22172AB7D}">
  <dimension ref="A1:J106"/>
  <sheetViews>
    <sheetView tabSelected="1" zoomScale="90" zoomScaleNormal="70" workbookViewId="0">
      <selection activeCell="L92" sqref="L92"/>
    </sheetView>
  </sheetViews>
  <sheetFormatPr defaultRowHeight="14.75" x14ac:dyDescent="0.75"/>
  <cols>
    <col min="1" max="3" width="8.86328125" bestFit="1" customWidth="1"/>
    <col min="4" max="4" width="11.08984375" customWidth="1"/>
    <col min="5" max="6" width="10.81640625" customWidth="1"/>
    <col min="7" max="7" width="12.08984375" customWidth="1"/>
    <col min="8" max="8" width="11.76953125" bestFit="1" customWidth="1"/>
    <col min="9" max="9" width="14.5" customWidth="1"/>
    <col min="10" max="10" width="11.76953125" customWidth="1"/>
  </cols>
  <sheetData>
    <row r="1" spans="1:10" x14ac:dyDescent="0.75">
      <c r="A1" s="1" t="s">
        <v>0</v>
      </c>
      <c r="B1" s="1"/>
      <c r="C1" s="1"/>
      <c r="D1" t="s">
        <v>1</v>
      </c>
      <c r="F1" t="s">
        <v>12</v>
      </c>
      <c r="G1" t="s">
        <v>13</v>
      </c>
      <c r="H1" t="s">
        <v>14</v>
      </c>
      <c r="I1" t="s">
        <v>15</v>
      </c>
    </row>
    <row r="2" spans="1:10" x14ac:dyDescent="0.75">
      <c r="A2" s="1" t="s">
        <v>16</v>
      </c>
      <c r="B2" s="1"/>
      <c r="D2">
        <f>0.1</f>
        <v>0.1</v>
      </c>
      <c r="G2">
        <f>5 *10^(-4)</f>
        <v>5.0000000000000001E-4</v>
      </c>
      <c r="H2">
        <f>7.6 * 10^(-5)</f>
        <v>7.6000000000000004E-5</v>
      </c>
      <c r="I2">
        <f>1.09</f>
        <v>1.0900000000000001</v>
      </c>
    </row>
    <row r="5" spans="1:10" x14ac:dyDescent="0.75">
      <c r="A5" t="s">
        <v>2</v>
      </c>
      <c r="B5" t="s">
        <v>11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</row>
    <row r="6" spans="1:10" x14ac:dyDescent="0.75">
      <c r="A6">
        <v>30</v>
      </c>
      <c r="B6">
        <f>0</f>
        <v>0</v>
      </c>
      <c r="C6">
        <f>10^(-5)</f>
        <v>1.0000000000000001E-5</v>
      </c>
      <c r="D6">
        <f>$G$2 + $H$2 * $I$2^(A6)</f>
        <v>1.5083435636539765E-3</v>
      </c>
      <c r="E6">
        <f>-H6*(C6+D6)</f>
        <v>-1.5183435636539765E-3</v>
      </c>
      <c r="F6">
        <f>H6*C6</f>
        <v>1.0000000000000001E-5</v>
      </c>
      <c r="G6">
        <f>H6*D6</f>
        <v>1.5083435636539765E-3</v>
      </c>
      <c r="H6">
        <v>1</v>
      </c>
      <c r="I6">
        <v>0</v>
      </c>
      <c r="J6">
        <v>0</v>
      </c>
    </row>
    <row r="7" spans="1:10" x14ac:dyDescent="0.75">
      <c r="A7">
        <f>A6 + $D$2</f>
        <v>30.1</v>
      </c>
      <c r="B7">
        <f>B6+$D$2</f>
        <v>0.1</v>
      </c>
      <c r="C7">
        <f t="shared" ref="C7:C70" si="0">10^(-5)</f>
        <v>1.0000000000000001E-5</v>
      </c>
      <c r="D7">
        <f t="shared" ref="D7:D70" si="1">$G$2 + $H$2 * $I$2^(A7)</f>
        <v>1.5170707867754273E-3</v>
      </c>
      <c r="E7">
        <f t="shared" ref="E7:E70" si="2">-H7*(C7+D7)</f>
        <v>-1.5268389249653929E-3</v>
      </c>
      <c r="F7">
        <f t="shared" ref="F7:F70" si="3">H7*C7</f>
        <v>9.9984816564363469E-6</v>
      </c>
      <c r="G7">
        <f t="shared" ref="G7:G70" si="4">H7*D7</f>
        <v>1.5168404433089566E-3</v>
      </c>
      <c r="H7">
        <f>H6+$D$2*E6</f>
        <v>0.99984816564363466</v>
      </c>
      <c r="I7">
        <f>I6+$D$2 *F6</f>
        <v>1.0000000000000002E-6</v>
      </c>
      <c r="J7">
        <f>J6+$D$2 * G6</f>
        <v>1.5083435636539767E-4</v>
      </c>
    </row>
    <row r="8" spans="1:10" x14ac:dyDescent="0.75">
      <c r="A8">
        <f t="shared" ref="A8:A71" si="5">A7 + $D$2</f>
        <v>30.200000000000003</v>
      </c>
      <c r="B8">
        <f t="shared" ref="B8:B71" si="6">B7+$D$2</f>
        <v>0.2</v>
      </c>
      <c r="C8">
        <f t="shared" si="0"/>
        <v>1.0000000000000001E-5</v>
      </c>
      <c r="D8">
        <f t="shared" si="1"/>
        <v>1.5258735440958917E-3</v>
      </c>
      <c r="E8">
        <f t="shared" si="2"/>
        <v>-1.5354058425737702E-3</v>
      </c>
      <c r="F8">
        <f t="shared" si="3"/>
        <v>9.996954817511381E-6</v>
      </c>
      <c r="G8">
        <f t="shared" si="4"/>
        <v>1.5254088877562589E-3</v>
      </c>
      <c r="H8">
        <f t="shared" ref="H8:H71" si="7">H7+$D$2*E7</f>
        <v>0.99969548175113809</v>
      </c>
      <c r="I8">
        <f t="shared" ref="I8:I71" si="8">I7+$D$2 *F7</f>
        <v>1.9998481656436349E-6</v>
      </c>
      <c r="J8">
        <f t="shared" ref="J8:J71" si="9">J7+$D$2 * G7</f>
        <v>3.025184006962933E-4</v>
      </c>
    </row>
    <row r="9" spans="1:10" x14ac:dyDescent="0.75">
      <c r="A9">
        <f t="shared" si="5"/>
        <v>30.300000000000004</v>
      </c>
      <c r="B9">
        <f t="shared" si="6"/>
        <v>0.30000000000000004</v>
      </c>
      <c r="C9">
        <f t="shared" si="0"/>
        <v>1.0000000000000001E-5</v>
      </c>
      <c r="D9">
        <f t="shared" si="1"/>
        <v>1.53475248936458E-3</v>
      </c>
      <c r="E9">
        <f t="shared" si="2"/>
        <v>-1.5440449018418435E-3</v>
      </c>
      <c r="F9">
        <f t="shared" si="3"/>
        <v>9.9954194116688082E-6</v>
      </c>
      <c r="G9">
        <f t="shared" si="4"/>
        <v>1.5340494824301746E-3</v>
      </c>
      <c r="H9">
        <f t="shared" si="7"/>
        <v>0.99954194116688067</v>
      </c>
      <c r="I9">
        <f t="shared" si="8"/>
        <v>2.9995436473947731E-6</v>
      </c>
      <c r="J9">
        <f t="shared" si="9"/>
        <v>4.5505928947191921E-4</v>
      </c>
    </row>
    <row r="10" spans="1:10" x14ac:dyDescent="0.75">
      <c r="A10">
        <f t="shared" si="5"/>
        <v>30.400000000000006</v>
      </c>
      <c r="B10">
        <f t="shared" si="6"/>
        <v>0.4</v>
      </c>
      <c r="C10">
        <f t="shared" si="0"/>
        <v>1.0000000000000001E-5</v>
      </c>
      <c r="D10">
        <f t="shared" si="1"/>
        <v>1.5437082819889081E-3</v>
      </c>
      <c r="E10">
        <f t="shared" si="2"/>
        <v>-1.5527566926510769E-3</v>
      </c>
      <c r="F10">
        <f t="shared" si="3"/>
        <v>9.9938753667669646E-6</v>
      </c>
      <c r="G10">
        <f t="shared" si="4"/>
        <v>1.5427628172843099E-3</v>
      </c>
      <c r="H10">
        <f t="shared" si="7"/>
        <v>0.99938753667669644</v>
      </c>
      <c r="I10">
        <f t="shared" si="8"/>
        <v>3.9990855885616542E-6</v>
      </c>
      <c r="J10">
        <f t="shared" si="9"/>
        <v>6.0846423771493668E-4</v>
      </c>
    </row>
    <row r="11" spans="1:10" x14ac:dyDescent="0.75">
      <c r="A11">
        <f t="shared" si="5"/>
        <v>30.500000000000007</v>
      </c>
      <c r="B11">
        <f t="shared" si="6"/>
        <v>0.5</v>
      </c>
      <c r="C11">
        <f t="shared" si="0"/>
        <v>1.0000000000000001E-5</v>
      </c>
      <c r="D11">
        <f t="shared" si="1"/>
        <v>1.5527415870834687E-3</v>
      </c>
      <c r="E11">
        <f t="shared" si="2"/>
        <v>-1.5615418094317561E-3</v>
      </c>
      <c r="F11">
        <f t="shared" si="3"/>
        <v>9.9923226100743141E-6</v>
      </c>
      <c r="G11">
        <f t="shared" si="4"/>
        <v>1.5515494868216819E-3</v>
      </c>
      <c r="H11">
        <f t="shared" si="7"/>
        <v>0.99923226100743134</v>
      </c>
      <c r="I11">
        <f t="shared" si="8"/>
        <v>4.9984731252383503E-6</v>
      </c>
      <c r="J11">
        <f t="shared" si="9"/>
        <v>7.6274051944336769E-4</v>
      </c>
    </row>
    <row r="12" spans="1:10" x14ac:dyDescent="0.75">
      <c r="A12">
        <f t="shared" si="5"/>
        <v>30.600000000000009</v>
      </c>
      <c r="B12">
        <f t="shared" si="6"/>
        <v>0.6</v>
      </c>
      <c r="C12">
        <f t="shared" si="0"/>
        <v>1.0000000000000001E-5</v>
      </c>
      <c r="D12">
        <f t="shared" si="1"/>
        <v>1.5618530755194277E-3</v>
      </c>
      <c r="E12">
        <f t="shared" si="2"/>
        <v>-1.5704008511931917E-3</v>
      </c>
      <c r="F12">
        <f t="shared" si="3"/>
        <v>9.9907610682648832E-6</v>
      </c>
      <c r="G12">
        <f t="shared" si="4"/>
        <v>1.560410090124927E-3</v>
      </c>
      <c r="H12">
        <f t="shared" si="7"/>
        <v>0.99907610682648818</v>
      </c>
      <c r="I12">
        <f t="shared" si="8"/>
        <v>5.9977053862457819E-6</v>
      </c>
      <c r="J12">
        <f t="shared" si="9"/>
        <v>9.178954681255359E-4</v>
      </c>
    </row>
    <row r="13" spans="1:10" x14ac:dyDescent="0.75">
      <c r="A13">
        <f t="shared" si="5"/>
        <v>30.70000000000001</v>
      </c>
      <c r="B13">
        <f t="shared" si="6"/>
        <v>0.7</v>
      </c>
      <c r="C13">
        <f t="shared" si="0"/>
        <v>1.0000000000000001E-5</v>
      </c>
      <c r="D13">
        <f t="shared" si="1"/>
        <v>1.5710434239743479E-3</v>
      </c>
      <c r="E13">
        <f t="shared" si="2"/>
        <v>-1.579334421554034E-3</v>
      </c>
      <c r="F13">
        <f t="shared" si="3"/>
        <v>9.9891906674136902E-6</v>
      </c>
      <c r="G13">
        <f t="shared" si="4"/>
        <v>1.5693452308866204E-3</v>
      </c>
      <c r="H13">
        <f t="shared" si="7"/>
        <v>0.99891906674136888</v>
      </c>
      <c r="I13">
        <f t="shared" si="8"/>
        <v>6.9967814930722699E-6</v>
      </c>
      <c r="J13">
        <f t="shared" si="9"/>
        <v>1.0739364771380287E-3</v>
      </c>
    </row>
    <row r="14" spans="1:10" x14ac:dyDescent="0.75">
      <c r="A14">
        <f t="shared" si="5"/>
        <v>30.800000000000011</v>
      </c>
      <c r="B14">
        <f t="shared" si="6"/>
        <v>0.79999999999999993</v>
      </c>
      <c r="C14">
        <f t="shared" si="0"/>
        <v>1.0000000000000001E-5</v>
      </c>
      <c r="D14">
        <f t="shared" si="1"/>
        <v>1.5803133149824425E-3</v>
      </c>
      <c r="E14">
        <f t="shared" si="2"/>
        <v>-1.5883431287726933E-3</v>
      </c>
      <c r="F14">
        <f t="shared" si="3"/>
        <v>9.9876113329921355E-6</v>
      </c>
      <c r="G14">
        <f t="shared" si="4"/>
        <v>1.5783555174397011E-3</v>
      </c>
      <c r="H14">
        <f t="shared" si="7"/>
        <v>0.99876113329921345</v>
      </c>
      <c r="I14">
        <f t="shared" si="8"/>
        <v>7.9957005598136382E-6</v>
      </c>
      <c r="J14">
        <f t="shared" si="9"/>
        <v>1.2308710002266908E-3</v>
      </c>
    </row>
    <row r="15" spans="1:10" x14ac:dyDescent="0.75">
      <c r="A15">
        <f t="shared" si="5"/>
        <v>30.900000000000013</v>
      </c>
      <c r="B15">
        <f t="shared" si="6"/>
        <v>0.89999999999999991</v>
      </c>
      <c r="C15">
        <f t="shared" si="0"/>
        <v>1.0000000000000001E-5</v>
      </c>
      <c r="D15">
        <f t="shared" si="1"/>
        <v>1.5896634369852651E-3</v>
      </c>
      <c r="E15">
        <f t="shared" si="2"/>
        <v>-1.59742758577787E-3</v>
      </c>
      <c r="F15">
        <f t="shared" si="3"/>
        <v>9.9860229898633638E-6</v>
      </c>
      <c r="G15">
        <f t="shared" si="4"/>
        <v>1.5874415627880065E-3</v>
      </c>
      <c r="H15">
        <f t="shared" si="7"/>
        <v>0.99860229898633623</v>
      </c>
      <c r="I15">
        <f t="shared" si="8"/>
        <v>8.9944616931128509E-6</v>
      </c>
      <c r="J15">
        <f t="shared" si="9"/>
        <v>1.388706551970661E-3</v>
      </c>
    </row>
    <row r="16" spans="1:10" x14ac:dyDescent="0.75">
      <c r="A16">
        <f t="shared" si="5"/>
        <v>31.000000000000014</v>
      </c>
      <c r="B16">
        <f t="shared" si="6"/>
        <v>0.99999999999999989</v>
      </c>
      <c r="C16">
        <f t="shared" si="0"/>
        <v>1.0000000000000001E-5</v>
      </c>
      <c r="D16">
        <f t="shared" si="1"/>
        <v>1.5990944843828365E-3</v>
      </c>
      <c r="E16">
        <f t="shared" si="2"/>
        <v>-1.6065884101991862E-3</v>
      </c>
      <c r="F16">
        <f t="shared" si="3"/>
        <v>9.9844255622775861E-6</v>
      </c>
      <c r="G16">
        <f t="shared" si="4"/>
        <v>1.5966039846369087E-3</v>
      </c>
      <c r="H16">
        <f t="shared" si="7"/>
        <v>0.99844255622775846</v>
      </c>
      <c r="I16">
        <f t="shared" si="8"/>
        <v>9.9930639920991875E-6</v>
      </c>
      <c r="J16">
        <f t="shared" si="9"/>
        <v>1.5474507082494616E-3</v>
      </c>
    </row>
    <row r="17" spans="1:10" x14ac:dyDescent="0.75">
      <c r="A17">
        <f t="shared" si="5"/>
        <v>31.100000000000016</v>
      </c>
      <c r="B17">
        <f t="shared" si="6"/>
        <v>1.0999999999999999</v>
      </c>
      <c r="C17">
        <f t="shared" si="0"/>
        <v>1.0000000000000001E-5</v>
      </c>
      <c r="D17">
        <f t="shared" si="1"/>
        <v>1.6086071575852174E-3</v>
      </c>
      <c r="E17">
        <f t="shared" si="2"/>
        <v>-1.6158262243979266E-3</v>
      </c>
      <c r="F17">
        <f t="shared" si="3"/>
        <v>9.9828189738673859E-6</v>
      </c>
      <c r="G17">
        <f t="shared" si="4"/>
        <v>1.6058434054240592E-3</v>
      </c>
      <c r="H17">
        <f t="shared" si="7"/>
        <v>0.99828189738673856</v>
      </c>
      <c r="I17">
        <f t="shared" si="8"/>
        <v>1.0991506548326946E-5</v>
      </c>
      <c r="J17">
        <f t="shared" si="9"/>
        <v>1.7071111067131525E-3</v>
      </c>
    </row>
    <row r="18" spans="1:10" x14ac:dyDescent="0.75">
      <c r="A18">
        <f t="shared" si="5"/>
        <v>31.200000000000017</v>
      </c>
      <c r="B18">
        <f t="shared" si="6"/>
        <v>1.2</v>
      </c>
      <c r="C18">
        <f t="shared" si="0"/>
        <v>1.0000000000000001E-5</v>
      </c>
      <c r="D18">
        <f t="shared" si="1"/>
        <v>1.6182021630645237E-3</v>
      </c>
      <c r="E18">
        <f t="shared" si="2"/>
        <v>-1.6251416554978744E-3</v>
      </c>
      <c r="F18">
        <f t="shared" si="3"/>
        <v>9.9812031476429877E-6</v>
      </c>
      <c r="G18">
        <f t="shared" si="4"/>
        <v>1.6151604523502315E-3</v>
      </c>
      <c r="H18">
        <f t="shared" si="7"/>
        <v>0.99812031476429874</v>
      </c>
      <c r="I18">
        <f t="shared" si="8"/>
        <v>1.1989788445713684E-5</v>
      </c>
      <c r="J18">
        <f t="shared" si="9"/>
        <v>1.8676954472555585E-3</v>
      </c>
    </row>
    <row r="19" spans="1:10" x14ac:dyDescent="0.75">
      <c r="A19">
        <f t="shared" si="5"/>
        <v>31.300000000000018</v>
      </c>
      <c r="B19">
        <f t="shared" si="6"/>
        <v>1.3</v>
      </c>
      <c r="C19">
        <f t="shared" si="0"/>
        <v>1.0000000000000001E-5</v>
      </c>
      <c r="D19">
        <f t="shared" si="1"/>
        <v>1.6278802134073939E-3</v>
      </c>
      <c r="E19">
        <f t="shared" si="2"/>
        <v>-1.6345353354162524E-3</v>
      </c>
      <c r="F19">
        <f t="shared" si="3"/>
        <v>9.9795780059874895E-6</v>
      </c>
      <c r="G19">
        <f t="shared" si="4"/>
        <v>1.6245557574102649E-3</v>
      </c>
      <c r="H19">
        <f t="shared" si="7"/>
        <v>0.99795780059874895</v>
      </c>
      <c r="I19">
        <f t="shared" si="8"/>
        <v>1.2987908760477983E-5</v>
      </c>
      <c r="J19">
        <f t="shared" si="9"/>
        <v>2.0292114924905817E-3</v>
      </c>
    </row>
    <row r="20" spans="1:10" x14ac:dyDescent="0.75">
      <c r="A20">
        <f t="shared" si="5"/>
        <v>31.40000000000002</v>
      </c>
      <c r="B20">
        <f t="shared" si="6"/>
        <v>1.4000000000000001</v>
      </c>
      <c r="C20">
        <f t="shared" si="0"/>
        <v>1.0000000000000001E-5</v>
      </c>
      <c r="D20">
        <f t="shared" si="1"/>
        <v>1.637642027367911E-3</v>
      </c>
      <c r="E20">
        <f t="shared" si="2"/>
        <v>-1.6440079008947592E-3</v>
      </c>
      <c r="F20">
        <f t="shared" si="3"/>
        <v>9.9779434706520741E-6</v>
      </c>
      <c r="G20">
        <f t="shared" si="4"/>
        <v>1.6340299574241072E-3</v>
      </c>
      <c r="H20">
        <f t="shared" si="7"/>
        <v>0.99779434706520731</v>
      </c>
      <c r="I20">
        <f t="shared" si="8"/>
        <v>1.3985866561076731E-5</v>
      </c>
      <c r="J20">
        <f t="shared" si="9"/>
        <v>2.1916670682316083E-3</v>
      </c>
    </row>
    <row r="21" spans="1:10" x14ac:dyDescent="0.75">
      <c r="A21">
        <f t="shared" si="5"/>
        <v>31.500000000000021</v>
      </c>
      <c r="B21">
        <f t="shared" si="6"/>
        <v>1.5000000000000002</v>
      </c>
      <c r="C21">
        <f t="shared" si="0"/>
        <v>1.0000000000000001E-5</v>
      </c>
      <c r="D21">
        <f t="shared" si="1"/>
        <v>1.6474883299209819E-3</v>
      </c>
      <c r="E21">
        <f t="shared" si="2"/>
        <v>-1.6535599935307039E-3</v>
      </c>
      <c r="F21">
        <f t="shared" si="3"/>
        <v>9.9762994627511789E-6</v>
      </c>
      <c r="G21">
        <f t="shared" si="4"/>
        <v>1.6435836940679527E-3</v>
      </c>
      <c r="H21">
        <f t="shared" si="7"/>
        <v>0.99762994627511781</v>
      </c>
      <c r="I21">
        <f t="shared" si="8"/>
        <v>1.4983660908141938E-5</v>
      </c>
      <c r="J21">
        <f t="shared" si="9"/>
        <v>2.3550700639740191E-3</v>
      </c>
    </row>
    <row r="22" spans="1:10" x14ac:dyDescent="0.75">
      <c r="A22">
        <f t="shared" si="5"/>
        <v>31.600000000000023</v>
      </c>
      <c r="B22">
        <f t="shared" si="6"/>
        <v>1.6000000000000003</v>
      </c>
      <c r="C22">
        <f t="shared" si="0"/>
        <v>1.0000000000000001E-5</v>
      </c>
      <c r="D22">
        <f t="shared" si="1"/>
        <v>1.6574198523161775E-3</v>
      </c>
      <c r="E22">
        <f t="shared" si="2"/>
        <v>-1.6631922598082322E-3</v>
      </c>
      <c r="F22">
        <f t="shared" si="3"/>
        <v>9.9746459027576481E-6</v>
      </c>
      <c r="G22">
        <f t="shared" si="4"/>
        <v>1.6532176139054744E-3</v>
      </c>
      <c r="H22">
        <f t="shared" si="7"/>
        <v>0.99746459027576473</v>
      </c>
      <c r="I22">
        <f t="shared" si="8"/>
        <v>1.5981290854417057E-5</v>
      </c>
      <c r="J22">
        <f t="shared" si="9"/>
        <v>2.5194284333808145E-3</v>
      </c>
    </row>
    <row r="23" spans="1:10" x14ac:dyDescent="0.75">
      <c r="A23">
        <f t="shared" si="5"/>
        <v>31.700000000000024</v>
      </c>
      <c r="B23">
        <f t="shared" si="6"/>
        <v>1.7000000000000004</v>
      </c>
      <c r="C23">
        <f t="shared" si="0"/>
        <v>1.0000000000000001E-5</v>
      </c>
      <c r="D23">
        <f t="shared" si="1"/>
        <v>1.6674373321320407E-3</v>
      </c>
      <c r="E23">
        <f t="shared" si="2"/>
        <v>-1.6729053511296463E-3</v>
      </c>
      <c r="F23">
        <f t="shared" si="3"/>
        <v>9.9729827104978396E-6</v>
      </c>
      <c r="G23">
        <f t="shared" si="4"/>
        <v>1.6629323684191485E-3</v>
      </c>
      <c r="H23">
        <f t="shared" si="7"/>
        <v>0.99729827104978386</v>
      </c>
      <c r="I23">
        <f t="shared" si="8"/>
        <v>1.697875544469282E-5</v>
      </c>
      <c r="J23">
        <f t="shared" si="9"/>
        <v>2.6847501947713619E-3</v>
      </c>
    </row>
    <row r="24" spans="1:10" x14ac:dyDescent="0.75">
      <c r="A24">
        <f t="shared" si="5"/>
        <v>31.800000000000026</v>
      </c>
      <c r="B24">
        <f t="shared" si="6"/>
        <v>1.8000000000000005</v>
      </c>
      <c r="C24">
        <f t="shared" si="0"/>
        <v>1.0000000000000001E-5</v>
      </c>
      <c r="D24">
        <f t="shared" si="1"/>
        <v>1.6775415133308642E-3</v>
      </c>
      <c r="E24">
        <f t="shared" si="2"/>
        <v>-1.6826999238468161E-3</v>
      </c>
      <c r="F24">
        <f t="shared" si="3"/>
        <v>9.9713098051467091E-6</v>
      </c>
      <c r="G24">
        <f t="shared" si="4"/>
        <v>1.6727286140416694E-3</v>
      </c>
      <c r="H24">
        <f t="shared" si="7"/>
        <v>0.99713098051467086</v>
      </c>
      <c r="I24">
        <f t="shared" si="8"/>
        <v>1.7976053715742604E-5</v>
      </c>
      <c r="J24">
        <f t="shared" si="9"/>
        <v>2.8510434316132765E-3</v>
      </c>
    </row>
    <row r="25" spans="1:10" x14ac:dyDescent="0.75">
      <c r="A25">
        <f t="shared" si="5"/>
        <v>31.900000000000027</v>
      </c>
      <c r="B25">
        <f t="shared" si="6"/>
        <v>1.9000000000000006</v>
      </c>
      <c r="C25">
        <f t="shared" si="0"/>
        <v>1.0000000000000001E-5</v>
      </c>
      <c r="D25">
        <f t="shared" si="1"/>
        <v>1.6877331463139406E-3</v>
      </c>
      <c r="E25">
        <f t="shared" si="2"/>
        <v>-1.6925766392926753E-3</v>
      </c>
      <c r="F25">
        <f t="shared" si="3"/>
        <v>9.9696271052228618E-6</v>
      </c>
      <c r="G25">
        <f t="shared" si="4"/>
        <v>1.6826070121874525E-3</v>
      </c>
      <c r="H25">
        <f t="shared" si="7"/>
        <v>0.99696271052228613</v>
      </c>
      <c r="I25">
        <f t="shared" si="8"/>
        <v>1.8973184696257274E-5</v>
      </c>
      <c r="J25">
        <f t="shared" si="9"/>
        <v>3.0183162930174437E-3</v>
      </c>
    </row>
    <row r="26" spans="1:10" x14ac:dyDescent="0.75">
      <c r="A26">
        <f t="shared" si="5"/>
        <v>32.000000000000028</v>
      </c>
      <c r="B26">
        <f t="shared" si="6"/>
        <v>2.0000000000000004</v>
      </c>
      <c r="C26">
        <f t="shared" si="0"/>
        <v>1.0000000000000001E-5</v>
      </c>
      <c r="D26">
        <f t="shared" si="1"/>
        <v>1.6980129879772936E-3</v>
      </c>
      <c r="E26">
        <f t="shared" si="2"/>
        <v>-1.7025361638128057E-3</v>
      </c>
      <c r="F26">
        <f t="shared" si="3"/>
        <v>9.9679345285835699E-6</v>
      </c>
      <c r="G26">
        <f t="shared" si="4"/>
        <v>1.692568229284222E-3</v>
      </c>
      <c r="H26">
        <f t="shared" si="7"/>
        <v>0.99679345285835685</v>
      </c>
      <c r="I26">
        <f t="shared" si="8"/>
        <v>1.9970147406779559E-5</v>
      </c>
      <c r="J26">
        <f t="shared" si="9"/>
        <v>3.186576994236189E-3</v>
      </c>
    </row>
    <row r="27" spans="1:10" x14ac:dyDescent="0.75">
      <c r="A27">
        <f t="shared" si="5"/>
        <v>32.10000000000003</v>
      </c>
      <c r="B27">
        <f t="shared" si="6"/>
        <v>2.1000000000000005</v>
      </c>
      <c r="C27">
        <f t="shared" si="0"/>
        <v>1.0000000000000001E-5</v>
      </c>
      <c r="D27">
        <f t="shared" si="1"/>
        <v>1.7083818017678883E-3</v>
      </c>
      <c r="E27">
        <f t="shared" si="2"/>
        <v>-1.7125791687971033E-3</v>
      </c>
      <c r="F27">
        <f t="shared" si="3"/>
        <v>9.9662319924197569E-6</v>
      </c>
      <c r="G27">
        <f t="shared" si="4"/>
        <v>1.7026129368046836E-3</v>
      </c>
      <c r="H27">
        <f t="shared" si="7"/>
        <v>0.99662319924197562</v>
      </c>
      <c r="I27">
        <f t="shared" si="8"/>
        <v>2.0966940859637916E-5</v>
      </c>
      <c r="J27">
        <f t="shared" si="9"/>
        <v>3.3558338171646111E-3</v>
      </c>
    </row>
    <row r="28" spans="1:10" x14ac:dyDescent="0.75">
      <c r="A28">
        <f t="shared" si="5"/>
        <v>32.200000000000031</v>
      </c>
      <c r="B28">
        <f t="shared" si="6"/>
        <v>2.2000000000000006</v>
      </c>
      <c r="C28">
        <f t="shared" si="0"/>
        <v>1.0000000000000001E-5</v>
      </c>
      <c r="D28">
        <f t="shared" si="1"/>
        <v>1.7188403577403321E-3</v>
      </c>
      <c r="E28">
        <f t="shared" si="2"/>
        <v>-1.7227063307115272E-3</v>
      </c>
      <c r="F28">
        <f t="shared" si="3"/>
        <v>9.9645194132509607E-6</v>
      </c>
      <c r="G28">
        <f t="shared" si="4"/>
        <v>1.7127418112982762E-3</v>
      </c>
      <c r="H28">
        <f t="shared" si="7"/>
        <v>0.99645194132509596</v>
      </c>
      <c r="I28">
        <f t="shared" si="8"/>
        <v>2.1963564058879892E-5</v>
      </c>
      <c r="J28">
        <f t="shared" si="9"/>
        <v>3.5260951108450796E-3</v>
      </c>
    </row>
    <row r="29" spans="1:10" x14ac:dyDescent="0.75">
      <c r="A29">
        <f t="shared" si="5"/>
        <v>32.300000000000033</v>
      </c>
      <c r="B29">
        <f t="shared" si="6"/>
        <v>2.3000000000000007</v>
      </c>
      <c r="C29">
        <f t="shared" si="0"/>
        <v>1.0000000000000001E-5</v>
      </c>
      <c r="D29">
        <f t="shared" si="1"/>
        <v>1.7293894326140607E-3</v>
      </c>
      <c r="E29">
        <f t="shared" si="2"/>
        <v>-1.7329183311299244E-3</v>
      </c>
      <c r="F29">
        <f t="shared" si="3"/>
        <v>9.9627967069202499E-6</v>
      </c>
      <c r="G29">
        <f t="shared" si="4"/>
        <v>1.7229555344230041E-3</v>
      </c>
      <c r="H29">
        <f t="shared" si="7"/>
        <v>0.99627967069202483</v>
      </c>
      <c r="I29">
        <f t="shared" si="8"/>
        <v>2.296001600020499E-5</v>
      </c>
      <c r="J29">
        <f t="shared" si="9"/>
        <v>3.6973692919749072E-3</v>
      </c>
    </row>
    <row r="30" spans="1:10" x14ac:dyDescent="0.75">
      <c r="A30">
        <f t="shared" si="5"/>
        <v>32.400000000000034</v>
      </c>
      <c r="B30">
        <f t="shared" si="6"/>
        <v>2.4000000000000008</v>
      </c>
      <c r="C30">
        <f t="shared" si="0"/>
        <v>1.0000000000000001E-5</v>
      </c>
      <c r="D30">
        <f t="shared" si="1"/>
        <v>1.7400298098310246E-3</v>
      </c>
      <c r="E30">
        <f t="shared" si="2"/>
        <v>-1.7432158567659321E-3</v>
      </c>
      <c r="F30">
        <f t="shared" si="3"/>
        <v>9.9610637885891196E-6</v>
      </c>
      <c r="G30">
        <f t="shared" si="4"/>
        <v>1.7332547929773429E-3</v>
      </c>
      <c r="H30">
        <f t="shared" si="7"/>
        <v>0.99610637885891185</v>
      </c>
      <c r="I30">
        <f t="shared" si="8"/>
        <v>2.3956295670897016E-5</v>
      </c>
      <c r="J30">
        <f t="shared" si="9"/>
        <v>3.8696648454172077E-3</v>
      </c>
    </row>
    <row r="31" spans="1:10" x14ac:dyDescent="0.75">
      <c r="A31">
        <f t="shared" si="5"/>
        <v>32.500000000000036</v>
      </c>
      <c r="B31">
        <f t="shared" si="6"/>
        <v>2.5000000000000009</v>
      </c>
      <c r="C31">
        <f t="shared" si="0"/>
        <v>1.0000000000000001E-5</v>
      </c>
      <c r="D31">
        <f t="shared" si="1"/>
        <v>1.7507622796138721E-3</v>
      </c>
      <c r="E31">
        <f t="shared" si="2"/>
        <v>-1.7535995995049552E-3</v>
      </c>
      <c r="F31">
        <f t="shared" si="3"/>
        <v>9.9593205727323533E-6</v>
      </c>
      <c r="G31">
        <f t="shared" si="4"/>
        <v>1.7436402789322229E-3</v>
      </c>
      <c r="H31">
        <f t="shared" si="7"/>
        <v>0.9959320572732353</v>
      </c>
      <c r="I31">
        <f t="shared" si="8"/>
        <v>2.4952402049755929E-5</v>
      </c>
      <c r="J31">
        <f t="shared" si="9"/>
        <v>4.0429903247149422E-3</v>
      </c>
    </row>
    <row r="32" spans="1:10" x14ac:dyDescent="0.75">
      <c r="A32">
        <f t="shared" si="5"/>
        <v>32.600000000000037</v>
      </c>
      <c r="B32">
        <f t="shared" si="6"/>
        <v>2.600000000000001</v>
      </c>
      <c r="C32">
        <f t="shared" si="0"/>
        <v>1.0000000000000001E-5</v>
      </c>
      <c r="D32">
        <f t="shared" si="1"/>
        <v>1.7615876390246355E-3</v>
      </c>
      <c r="E32">
        <f t="shared" si="2"/>
        <v>-1.7640702564362108E-3</v>
      </c>
      <c r="F32">
        <f t="shared" si="3"/>
        <v>9.9575669731328492E-6</v>
      </c>
      <c r="G32">
        <f t="shared" si="4"/>
        <v>1.7541126894630779E-3</v>
      </c>
      <c r="H32">
        <f t="shared" si="7"/>
        <v>0.99575669731328476</v>
      </c>
      <c r="I32">
        <f t="shared" si="8"/>
        <v>2.5948334107029165E-5</v>
      </c>
      <c r="J32">
        <f t="shared" si="9"/>
        <v>4.2173543526081644E-3</v>
      </c>
    </row>
    <row r="33" spans="1:10" x14ac:dyDescent="0.75">
      <c r="A33">
        <f t="shared" si="5"/>
        <v>32.700000000000038</v>
      </c>
      <c r="B33">
        <f t="shared" si="6"/>
        <v>2.7000000000000011</v>
      </c>
      <c r="C33">
        <f t="shared" si="0"/>
        <v>1.0000000000000001E-5</v>
      </c>
      <c r="D33">
        <f t="shared" si="1"/>
        <v>1.7725066920239259E-3</v>
      </c>
      <c r="E33">
        <f t="shared" si="2"/>
        <v>-1.7746285298848431E-3</v>
      </c>
      <c r="F33">
        <f t="shared" si="3"/>
        <v>9.9558029028764125E-6</v>
      </c>
      <c r="G33">
        <f t="shared" si="4"/>
        <v>1.7646727269819667E-3</v>
      </c>
      <c r="H33">
        <f t="shared" si="7"/>
        <v>0.99558029028764117</v>
      </c>
      <c r="I33">
        <f t="shared" si="8"/>
        <v>2.6944090804342451E-5</v>
      </c>
      <c r="J33">
        <f t="shared" si="9"/>
        <v>4.3927656215544727E-3</v>
      </c>
    </row>
    <row r="34" spans="1:10" x14ac:dyDescent="0.75">
      <c r="A34">
        <f t="shared" si="5"/>
        <v>32.80000000000004</v>
      </c>
      <c r="B34">
        <f t="shared" si="6"/>
        <v>2.8000000000000012</v>
      </c>
      <c r="C34">
        <f t="shared" si="0"/>
        <v>1.0000000000000001E-5</v>
      </c>
      <c r="D34">
        <f t="shared" si="1"/>
        <v>1.7835202495306434E-3</v>
      </c>
      <c r="E34">
        <f t="shared" si="2"/>
        <v>-1.7852751274441063E-3</v>
      </c>
      <c r="F34">
        <f t="shared" si="3"/>
        <v>9.9540282743465277E-6</v>
      </c>
      <c r="G34">
        <f t="shared" si="4"/>
        <v>1.7753210991697597E-3</v>
      </c>
      <c r="H34">
        <f t="shared" si="7"/>
        <v>0.99540282743465269</v>
      </c>
      <c r="I34">
        <f t="shared" si="8"/>
        <v>2.7939671094630091E-5</v>
      </c>
      <c r="J34">
        <f t="shared" si="9"/>
        <v>4.5692328942526696E-3</v>
      </c>
    </row>
    <row r="35" spans="1:10" x14ac:dyDescent="0.75">
      <c r="A35">
        <f t="shared" si="5"/>
        <v>32.900000000000041</v>
      </c>
      <c r="B35">
        <f t="shared" si="6"/>
        <v>2.9000000000000012</v>
      </c>
      <c r="C35">
        <f t="shared" si="0"/>
        <v>1.0000000000000001E-5</v>
      </c>
      <c r="D35">
        <f t="shared" si="1"/>
        <v>1.7946291294821967E-3</v>
      </c>
      <c r="E35">
        <f t="shared" si="2"/>
        <v>-1.796010762007602E-3</v>
      </c>
      <c r="F35">
        <f t="shared" si="3"/>
        <v>9.9522429992190834E-6</v>
      </c>
      <c r="G35">
        <f t="shared" si="4"/>
        <v>1.786058519008383E-3</v>
      </c>
      <c r="H35">
        <f t="shared" si="7"/>
        <v>0.99522429992190831</v>
      </c>
      <c r="I35">
        <f t="shared" si="8"/>
        <v>2.8935073922064745E-5</v>
      </c>
      <c r="J35">
        <f t="shared" si="9"/>
        <v>4.7467650041696455E-3</v>
      </c>
    </row>
    <row r="36" spans="1:10" x14ac:dyDescent="0.75">
      <c r="A36">
        <f t="shared" si="5"/>
        <v>33.000000000000043</v>
      </c>
      <c r="B36">
        <f t="shared" si="6"/>
        <v>3.0000000000000013</v>
      </c>
      <c r="C36">
        <f t="shared" si="0"/>
        <v>1.0000000000000001E-5</v>
      </c>
      <c r="D36">
        <f t="shared" si="1"/>
        <v>1.8058341568952514E-3</v>
      </c>
      <c r="E36">
        <f t="shared" si="2"/>
        <v>-1.8068361518015848E-3</v>
      </c>
      <c r="F36">
        <f t="shared" si="3"/>
        <v>9.9504469884570762E-6</v>
      </c>
      <c r="G36">
        <f t="shared" si="4"/>
        <v>1.7968857048131276E-3</v>
      </c>
      <c r="H36">
        <f t="shared" si="7"/>
        <v>0.99504469884570756</v>
      </c>
      <c r="I36">
        <f t="shared" si="8"/>
        <v>2.9930298221986653E-5</v>
      </c>
      <c r="J36">
        <f t="shared" si="9"/>
        <v>4.9253708560704837E-3</v>
      </c>
    </row>
    <row r="37" spans="1:10" x14ac:dyDescent="0.75">
      <c r="A37">
        <f t="shared" si="5"/>
        <v>33.100000000000044</v>
      </c>
      <c r="B37">
        <f t="shared" si="6"/>
        <v>3.1000000000000014</v>
      </c>
      <c r="C37">
        <f t="shared" si="0"/>
        <v>1.0000000000000001E-5</v>
      </c>
      <c r="D37">
        <f t="shared" si="1"/>
        <v>1.8171361639270002E-3</v>
      </c>
      <c r="E37">
        <f t="shared" si="2"/>
        <v>-1.8177520204173186E-3</v>
      </c>
      <c r="F37">
        <f t="shared" si="3"/>
        <v>9.9486401523052748E-6</v>
      </c>
      <c r="G37">
        <f t="shared" si="4"/>
        <v>1.8078033802650132E-3</v>
      </c>
      <c r="H37">
        <f t="shared" si="7"/>
        <v>0.99486401523052737</v>
      </c>
      <c r="I37">
        <f t="shared" si="8"/>
        <v>3.0925342920832362E-5</v>
      </c>
      <c r="J37">
        <f t="shared" si="9"/>
        <v>5.1050594265517968E-3</v>
      </c>
    </row>
    <row r="38" spans="1:10" x14ac:dyDescent="0.75">
      <c r="A38">
        <f t="shared" si="5"/>
        <v>33.200000000000045</v>
      </c>
      <c r="B38">
        <f t="shared" si="6"/>
        <v>3.2000000000000015</v>
      </c>
      <c r="C38">
        <f t="shared" si="0"/>
        <v>1.0000000000000001E-5</v>
      </c>
      <c r="D38">
        <f t="shared" si="1"/>
        <v>1.8285359899369641E-3</v>
      </c>
      <c r="E38">
        <f t="shared" si="2"/>
        <v>-1.8287590968434886E-3</v>
      </c>
      <c r="F38">
        <f t="shared" si="3"/>
        <v>9.9468224002848565E-6</v>
      </c>
      <c r="G38">
        <f t="shared" si="4"/>
        <v>1.8188122744432038E-3</v>
      </c>
      <c r="H38">
        <f t="shared" si="7"/>
        <v>0.9946822400284856</v>
      </c>
      <c r="I38">
        <f t="shared" si="8"/>
        <v>3.1920206936062889E-5</v>
      </c>
      <c r="J38">
        <f t="shared" si="9"/>
        <v>5.2858397645782979E-3</v>
      </c>
    </row>
    <row r="39" spans="1:10" x14ac:dyDescent="0.75">
      <c r="A39">
        <f t="shared" si="5"/>
        <v>33.300000000000047</v>
      </c>
      <c r="B39">
        <f t="shared" si="6"/>
        <v>3.3000000000000016</v>
      </c>
      <c r="C39">
        <f t="shared" si="0"/>
        <v>1.0000000000000001E-5</v>
      </c>
      <c r="D39">
        <f t="shared" si="1"/>
        <v>1.8400344815493283E-3</v>
      </c>
      <c r="E39">
        <f t="shared" si="2"/>
        <v>-1.8398581154986631E-3</v>
      </c>
      <c r="F39">
        <f t="shared" si="3"/>
        <v>9.9449936411880131E-6</v>
      </c>
      <c r="G39">
        <f t="shared" si="4"/>
        <v>1.8299131218574751E-3</v>
      </c>
      <c r="H39">
        <f t="shared" si="7"/>
        <v>0.99449936411880124</v>
      </c>
      <c r="I39">
        <f t="shared" si="8"/>
        <v>3.2914889176091376E-5</v>
      </c>
      <c r="J39">
        <f t="shared" si="9"/>
        <v>5.4677209920226183E-3</v>
      </c>
    </row>
    <row r="40" spans="1:10" x14ac:dyDescent="0.75">
      <c r="A40">
        <f t="shared" si="5"/>
        <v>33.400000000000048</v>
      </c>
      <c r="B40">
        <f t="shared" si="6"/>
        <v>3.4000000000000017</v>
      </c>
      <c r="C40">
        <f t="shared" si="0"/>
        <v>1.0000000000000001E-5</v>
      </c>
      <c r="D40">
        <f t="shared" si="1"/>
        <v>1.8516324927158186E-3</v>
      </c>
      <c r="E40">
        <f t="shared" si="2"/>
        <v>-1.8510498162638007E-3</v>
      </c>
      <c r="F40">
        <f t="shared" si="3"/>
        <v>9.943153783072515E-6</v>
      </c>
      <c r="G40">
        <f t="shared" si="4"/>
        <v>1.8411066624807282E-3</v>
      </c>
      <c r="H40">
        <f t="shared" si="7"/>
        <v>0.99431537830725136</v>
      </c>
      <c r="I40">
        <f t="shared" si="8"/>
        <v>3.3909388540210175E-5</v>
      </c>
      <c r="J40">
        <f t="shared" si="9"/>
        <v>5.6507123042083655E-3</v>
      </c>
    </row>
    <row r="41" spans="1:10" x14ac:dyDescent="0.75">
      <c r="A41">
        <f t="shared" si="5"/>
        <v>33.50000000000005</v>
      </c>
      <c r="B41">
        <f>B40+$D$2</f>
        <v>3.5000000000000018</v>
      </c>
      <c r="C41">
        <f t="shared" si="0"/>
        <v>1.0000000000000001E-5</v>
      </c>
      <c r="D41">
        <f t="shared" si="1"/>
        <v>1.8633308847791222E-3</v>
      </c>
      <c r="E41">
        <f t="shared" si="2"/>
        <v>-1.8623349445148036E-3</v>
      </c>
      <c r="F41">
        <f t="shared" si="3"/>
        <v>9.9413027332562508E-6</v>
      </c>
      <c r="G41">
        <f t="shared" si="4"/>
        <v>1.8523936417815473E-3</v>
      </c>
      <c r="H41">
        <f t="shared" si="7"/>
        <v>0.99413027332562498</v>
      </c>
      <c r="I41">
        <f t="shared" si="8"/>
        <v>3.490370391851743E-5</v>
      </c>
      <c r="J41">
        <f t="shared" si="9"/>
        <v>5.8348229704564382E-3</v>
      </c>
    </row>
    <row r="42" spans="1:10" x14ac:dyDescent="0.75">
      <c r="A42">
        <f t="shared" si="5"/>
        <v>33.600000000000051</v>
      </c>
      <c r="B42">
        <f t="shared" si="6"/>
        <v>3.6000000000000019</v>
      </c>
      <c r="C42">
        <f t="shared" si="0"/>
        <v>1.0000000000000001E-5</v>
      </c>
      <c r="D42">
        <f t="shared" si="1"/>
        <v>1.8751305265368543E-3</v>
      </c>
      <c r="E42">
        <f t="shared" si="2"/>
        <v>-1.8737142511551083E-3</v>
      </c>
      <c r="F42">
        <f t="shared" si="3"/>
        <v>9.9394403983117355E-6</v>
      </c>
      <c r="G42">
        <f t="shared" si="4"/>
        <v>1.8637748107567965E-3</v>
      </c>
      <c r="H42">
        <f t="shared" si="7"/>
        <v>0.99394403983117352</v>
      </c>
      <c r="I42">
        <f t="shared" si="8"/>
        <v>3.5897834191843056E-5</v>
      </c>
      <c r="J42">
        <f t="shared" si="9"/>
        <v>6.0200623346345931E-3</v>
      </c>
    </row>
    <row r="43" spans="1:10" x14ac:dyDescent="0.75">
      <c r="A43">
        <f t="shared" si="5"/>
        <v>33.700000000000053</v>
      </c>
      <c r="B43">
        <f t="shared" si="6"/>
        <v>3.700000000000002</v>
      </c>
      <c r="C43">
        <f t="shared" si="0"/>
        <v>1.0000000000000001E-5</v>
      </c>
      <c r="D43">
        <f t="shared" si="1"/>
        <v>1.8870322943060815E-3</v>
      </c>
      <c r="E43">
        <f t="shared" si="2"/>
        <v>-1.8851884926483122E-3</v>
      </c>
      <c r="F43">
        <f t="shared" si="3"/>
        <v>9.9375666840605809E-6</v>
      </c>
      <c r="G43">
        <f t="shared" si="4"/>
        <v>1.8752509259642516E-3</v>
      </c>
      <c r="H43">
        <f t="shared" si="7"/>
        <v>0.99375666840605803</v>
      </c>
      <c r="I43">
        <f t="shared" si="8"/>
        <v>3.6891778231674229E-5</v>
      </c>
      <c r="J43">
        <f t="shared" si="9"/>
        <v>6.206439815710273E-3</v>
      </c>
    </row>
    <row r="44" spans="1:10" x14ac:dyDescent="0.75">
      <c r="A44">
        <f t="shared" si="5"/>
        <v>33.800000000000054</v>
      </c>
      <c r="B44">
        <f t="shared" si="6"/>
        <v>3.800000000000002</v>
      </c>
      <c r="C44">
        <f t="shared" si="0"/>
        <v>1.0000000000000001E-5</v>
      </c>
      <c r="D44">
        <f t="shared" si="1"/>
        <v>1.8990370719884034E-3</v>
      </c>
      <c r="E44">
        <f t="shared" si="2"/>
        <v>-1.8967584310508366E-3</v>
      </c>
      <c r="F44">
        <f t="shared" si="3"/>
        <v>9.9356814955679321E-6</v>
      </c>
      <c r="G44">
        <f t="shared" si="4"/>
        <v>1.8868227495552686E-3</v>
      </c>
      <c r="H44">
        <f t="shared" si="7"/>
        <v>0.99356814955679318</v>
      </c>
      <c r="I44">
        <f t="shared" si="8"/>
        <v>3.7885534900080284E-5</v>
      </c>
      <c r="J44">
        <f t="shared" si="9"/>
        <v>6.3939649083066983E-3</v>
      </c>
    </row>
    <row r="45" spans="1:10" x14ac:dyDescent="0.75">
      <c r="A45">
        <f t="shared" si="5"/>
        <v>33.900000000000055</v>
      </c>
      <c r="B45">
        <f t="shared" si="6"/>
        <v>3.9000000000000021</v>
      </c>
      <c r="C45">
        <f t="shared" si="0"/>
        <v>1.0000000000000001E-5</v>
      </c>
      <c r="D45">
        <f t="shared" si="1"/>
        <v>1.9111457511355966E-3</v>
      </c>
      <c r="E45">
        <f t="shared" si="2"/>
        <v>-1.9084248340446159E-3</v>
      </c>
      <c r="F45">
        <f t="shared" si="3"/>
        <v>9.9337847371368827E-6</v>
      </c>
      <c r="G45">
        <f t="shared" si="4"/>
        <v>1.8984910493074791E-3</v>
      </c>
      <c r="H45">
        <f t="shared" si="7"/>
        <v>0.99337847371368815</v>
      </c>
      <c r="I45">
        <f t="shared" si="8"/>
        <v>3.8879103049637079E-5</v>
      </c>
      <c r="J45">
        <f t="shared" si="9"/>
        <v>6.5826471832622253E-3</v>
      </c>
    </row>
    <row r="46" spans="1:10" x14ac:dyDescent="0.75">
      <c r="A46">
        <f t="shared" si="5"/>
        <v>34.000000000000057</v>
      </c>
      <c r="B46">
        <f t="shared" si="6"/>
        <v>4.0000000000000018</v>
      </c>
      <c r="C46">
        <f t="shared" si="0"/>
        <v>1.0000000000000001E-5</v>
      </c>
      <c r="D46">
        <f t="shared" si="1"/>
        <v>1.9233592310158257E-3</v>
      </c>
      <c r="E46">
        <f t="shared" si="2"/>
        <v>-1.9201884749698106E-3</v>
      </c>
      <c r="F46">
        <f t="shared" si="3"/>
        <v>9.9318763123028365E-6</v>
      </c>
      <c r="G46">
        <f t="shared" si="4"/>
        <v>1.9102565986575078E-3</v>
      </c>
      <c r="H46">
        <f t="shared" si="7"/>
        <v>0.99318763123028364</v>
      </c>
      <c r="I46">
        <f t="shared" si="8"/>
        <v>3.9872481523350768E-5</v>
      </c>
      <c r="J46">
        <f t="shared" si="9"/>
        <v>6.7724962881929732E-3</v>
      </c>
    </row>
    <row r="47" spans="1:10" x14ac:dyDescent="0.75">
      <c r="A47">
        <f t="shared" si="5"/>
        <v>34.100000000000058</v>
      </c>
      <c r="B47">
        <f t="shared" si="6"/>
        <v>4.1000000000000014</v>
      </c>
      <c r="C47">
        <f t="shared" si="0"/>
        <v>1.0000000000000001E-5</v>
      </c>
      <c r="D47">
        <f t="shared" si="1"/>
        <v>1.935678418680432E-3</v>
      </c>
      <c r="E47">
        <f t="shared" si="2"/>
        <v>-1.9320501328575477E-3</v>
      </c>
      <c r="F47">
        <f t="shared" si="3"/>
        <v>9.929956123827868E-6</v>
      </c>
      <c r="G47">
        <f t="shared" si="4"/>
        <v>1.9221201767337197E-3</v>
      </c>
      <c r="H47">
        <f t="shared" si="7"/>
        <v>0.99299561238278666</v>
      </c>
      <c r="I47">
        <f t="shared" si="8"/>
        <v>4.0865669154581052E-5</v>
      </c>
      <c r="J47">
        <f t="shared" si="9"/>
        <v>6.9635219480587238E-3</v>
      </c>
    </row>
    <row r="48" spans="1:10" x14ac:dyDescent="0.75">
      <c r="A48">
        <f t="shared" si="5"/>
        <v>34.20000000000006</v>
      </c>
      <c r="B48">
        <f t="shared" si="6"/>
        <v>4.2000000000000011</v>
      </c>
      <c r="C48">
        <f t="shared" si="0"/>
        <v>1.0000000000000001E-5</v>
      </c>
      <c r="D48">
        <f t="shared" si="1"/>
        <v>1.9481042290312922E-3</v>
      </c>
      <c r="E48">
        <f t="shared" si="2"/>
        <v>-1.9440105924626674E-3</v>
      </c>
      <c r="F48">
        <f t="shared" si="3"/>
        <v>9.9280240736950101E-6</v>
      </c>
      <c r="G48">
        <f t="shared" si="4"/>
        <v>1.9340825683889723E-3</v>
      </c>
      <c r="H48">
        <f t="shared" si="7"/>
        <v>0.99280240736950087</v>
      </c>
      <c r="I48">
        <f t="shared" si="8"/>
        <v>4.1858664766963839E-5</v>
      </c>
      <c r="J48">
        <f t="shared" si="9"/>
        <v>7.1557339657320959E-3</v>
      </c>
    </row>
    <row r="49" spans="1:10" x14ac:dyDescent="0.75">
      <c r="A49">
        <f t="shared" si="5"/>
        <v>34.300000000000061</v>
      </c>
      <c r="B49">
        <f t="shared" si="6"/>
        <v>4.3000000000000007</v>
      </c>
      <c r="C49">
        <f t="shared" si="0"/>
        <v>1.0000000000000001E-5</v>
      </c>
      <c r="D49">
        <f t="shared" si="1"/>
        <v>1.9606375848887697E-3</v>
      </c>
      <c r="E49">
        <f t="shared" si="2"/>
        <v>-1.9560706442964967E-3</v>
      </c>
      <c r="F49">
        <f t="shared" si="3"/>
        <v>9.9260800631025468E-6</v>
      </c>
      <c r="G49">
        <f t="shared" si="4"/>
        <v>1.9461445642333943E-3</v>
      </c>
      <c r="H49">
        <f t="shared" si="7"/>
        <v>0.99260800631025459</v>
      </c>
      <c r="I49">
        <f t="shared" si="8"/>
        <v>4.2851467174333337E-5</v>
      </c>
      <c r="J49">
        <f t="shared" si="9"/>
        <v>7.3491422225709932E-3</v>
      </c>
    </row>
    <row r="50" spans="1:10" x14ac:dyDescent="0.75">
      <c r="A50">
        <f t="shared" si="5"/>
        <v>34.400000000000063</v>
      </c>
      <c r="B50">
        <f t="shared" si="6"/>
        <v>4.4000000000000004</v>
      </c>
      <c r="C50">
        <f t="shared" si="0"/>
        <v>1.0000000000000001E-5</v>
      </c>
      <c r="D50">
        <f t="shared" si="1"/>
        <v>1.9732794170602445E-3</v>
      </c>
      <c r="E50">
        <f t="shared" si="2"/>
        <v>-1.9682310846596183E-3</v>
      </c>
      <c r="F50">
        <f t="shared" si="3"/>
        <v>9.9241239924582501E-6</v>
      </c>
      <c r="G50">
        <f t="shared" si="4"/>
        <v>1.9583069606671599E-3</v>
      </c>
      <c r="H50">
        <f t="shared" si="7"/>
        <v>0.99241239924582492</v>
      </c>
      <c r="I50">
        <f t="shared" si="8"/>
        <v>4.3844075180643594E-5</v>
      </c>
      <c r="J50">
        <f t="shared" si="9"/>
        <v>7.5437566789943325E-3</v>
      </c>
    </row>
    <row r="51" spans="1:10" x14ac:dyDescent="0.75">
      <c r="A51">
        <f t="shared" si="5"/>
        <v>34.500000000000064</v>
      </c>
      <c r="B51">
        <f t="shared" si="6"/>
        <v>4.5</v>
      </c>
      <c r="C51">
        <f t="shared" si="0"/>
        <v>1.0000000000000001E-5</v>
      </c>
      <c r="D51">
        <f t="shared" si="1"/>
        <v>1.9860306644092452E-3</v>
      </c>
      <c r="E51">
        <f t="shared" si="2"/>
        <v>-1.9804927156746549E-3</v>
      </c>
      <c r="F51">
        <f t="shared" si="3"/>
        <v>9.9221557613735911E-6</v>
      </c>
      <c r="G51">
        <f t="shared" si="4"/>
        <v>1.9705705599132812E-3</v>
      </c>
      <c r="H51">
        <f t="shared" si="7"/>
        <v>0.992215576137359</v>
      </c>
      <c r="I51">
        <f t="shared" si="8"/>
        <v>4.4836487579889416E-5</v>
      </c>
      <c r="J51">
        <f t="shared" si="9"/>
        <v>7.7395873750610482E-3</v>
      </c>
    </row>
    <row r="52" spans="1:10" x14ac:dyDescent="0.75">
      <c r="A52">
        <f t="shared" si="5"/>
        <v>34.600000000000065</v>
      </c>
      <c r="B52">
        <f t="shared" si="6"/>
        <v>4.5999999999999996</v>
      </c>
      <c r="C52">
        <f t="shared" si="0"/>
        <v>1.0000000000000001E-5</v>
      </c>
      <c r="D52">
        <f t="shared" si="1"/>
        <v>1.9988922739251737E-3</v>
      </c>
      <c r="E52">
        <f t="shared" si="2"/>
        <v>-1.9928563453190471E-3</v>
      </c>
      <c r="F52">
        <f t="shared" si="3"/>
        <v>9.9201752686579159E-6</v>
      </c>
      <c r="G52">
        <f t="shared" si="4"/>
        <v>1.9829361700503894E-3</v>
      </c>
      <c r="H52">
        <f t="shared" si="7"/>
        <v>0.99201752686579159</v>
      </c>
      <c r="I52">
        <f t="shared" si="8"/>
        <v>4.5828703156026774E-5</v>
      </c>
      <c r="J52">
        <f t="shared" si="9"/>
        <v>7.9366444310523757E-3</v>
      </c>
    </row>
    <row r="53" spans="1:10" x14ac:dyDescent="0.75">
      <c r="A53">
        <f t="shared" si="5"/>
        <v>34.700000000000067</v>
      </c>
      <c r="B53">
        <f t="shared" si="6"/>
        <v>4.6999999999999993</v>
      </c>
      <c r="C53">
        <f t="shared" si="0"/>
        <v>1.0000000000000001E-5</v>
      </c>
      <c r="D53">
        <f t="shared" si="1"/>
        <v>2.0118652007936303E-3</v>
      </c>
      <c r="E53">
        <f t="shared" si="2"/>
        <v>-2.0053227874578263E-3</v>
      </c>
      <c r="F53">
        <f t="shared" si="3"/>
        <v>9.9181824123125978E-6</v>
      </c>
      <c r="G53">
        <f t="shared" si="4"/>
        <v>1.9954046050455134E-3</v>
      </c>
      <c r="H53">
        <f t="shared" si="7"/>
        <v>0.99181824123125972</v>
      </c>
      <c r="I53">
        <f t="shared" si="8"/>
        <v>4.6820720682892563E-5</v>
      </c>
      <c r="J53">
        <f t="shared" si="9"/>
        <v>8.1349380480574152E-3</v>
      </c>
    </row>
    <row r="54" spans="1:10" x14ac:dyDescent="0.75">
      <c r="A54">
        <f t="shared" si="5"/>
        <v>34.800000000000068</v>
      </c>
      <c r="B54">
        <f t="shared" si="6"/>
        <v>4.7999999999999989</v>
      </c>
      <c r="C54">
        <f t="shared" si="0"/>
        <v>1.0000000000000001E-5</v>
      </c>
      <c r="D54">
        <f t="shared" si="1"/>
        <v>2.0249504084673617E-3</v>
      </c>
      <c r="E54">
        <f t="shared" si="2"/>
        <v>-2.0178928618763874E-3</v>
      </c>
      <c r="F54">
        <f t="shared" si="3"/>
        <v>9.9161770895251403E-6</v>
      </c>
      <c r="G54">
        <f t="shared" si="4"/>
        <v>2.0079766847868625E-3</v>
      </c>
      <c r="H54">
        <f t="shared" si="7"/>
        <v>0.99161770895251389</v>
      </c>
      <c r="I54">
        <f t="shared" si="8"/>
        <v>4.7812538924123822E-5</v>
      </c>
      <c r="J54">
        <f t="shared" si="9"/>
        <v>8.3344785085619662E-3</v>
      </c>
    </row>
    <row r="55" spans="1:10" x14ac:dyDescent="0.75">
      <c r="A55">
        <f t="shared" si="5"/>
        <v>34.90000000000007</v>
      </c>
      <c r="B55">
        <f t="shared" si="6"/>
        <v>4.8999999999999986</v>
      </c>
      <c r="C55">
        <f t="shared" si="0"/>
        <v>1.0000000000000001E-5</v>
      </c>
      <c r="D55">
        <f t="shared" si="1"/>
        <v>2.0381488687378022E-3</v>
      </c>
      <c r="E55">
        <f t="shared" si="2"/>
        <v>-2.030567394313234E-3</v>
      </c>
      <c r="F55">
        <f t="shared" si="3"/>
        <v>9.9141591966632629E-6</v>
      </c>
      <c r="G55">
        <f t="shared" si="4"/>
        <v>2.0206532351165706E-3</v>
      </c>
      <c r="H55">
        <f t="shared" si="7"/>
        <v>0.99141591966632625</v>
      </c>
      <c r="I55">
        <f t="shared" si="8"/>
        <v>4.8804156633076337E-5</v>
      </c>
      <c r="J55">
        <f t="shared" si="9"/>
        <v>8.5352761770406526E-3</v>
      </c>
    </row>
    <row r="56" spans="1:10" x14ac:dyDescent="0.75">
      <c r="A56">
        <f t="shared" si="5"/>
        <v>35.000000000000071</v>
      </c>
      <c r="B56">
        <f t="shared" si="6"/>
        <v>4.9999999999999982</v>
      </c>
      <c r="C56">
        <f t="shared" si="0"/>
        <v>1.0000000000000001E-5</v>
      </c>
      <c r="D56">
        <f t="shared" si="1"/>
        <v>2.0514615618072523E-3</v>
      </c>
      <c r="E56">
        <f t="shared" si="2"/>
        <v>-2.0433472164927149E-3</v>
      </c>
      <c r="F56">
        <f t="shared" si="3"/>
        <v>9.9121286292689498E-6</v>
      </c>
      <c r="G56">
        <f t="shared" si="4"/>
        <v>2.0334350878634458E-3</v>
      </c>
      <c r="H56">
        <f t="shared" si="7"/>
        <v>0.99121286292689492</v>
      </c>
      <c r="I56">
        <f t="shared" si="8"/>
        <v>4.9795572552742664E-5</v>
      </c>
      <c r="J56">
        <f t="shared" si="9"/>
        <v>8.7373415005523088E-3</v>
      </c>
    </row>
    <row r="57" spans="1:10" x14ac:dyDescent="0.75">
      <c r="A57">
        <f t="shared" si="5"/>
        <v>35.100000000000072</v>
      </c>
      <c r="B57">
        <f t="shared" si="6"/>
        <v>5.0999999999999979</v>
      </c>
      <c r="C57">
        <f t="shared" si="0"/>
        <v>1.0000000000000001E-5</v>
      </c>
      <c r="D57">
        <f t="shared" si="1"/>
        <v>2.0648894763616735E-3</v>
      </c>
      <c r="E57">
        <f t="shared" si="2"/>
        <v>-2.0562331661577349E-3</v>
      </c>
      <c r="F57">
        <f t="shared" si="3"/>
        <v>9.9100852820524567E-6</v>
      </c>
      <c r="G57">
        <f t="shared" si="4"/>
        <v>2.0463230808756825E-3</v>
      </c>
      <c r="H57">
        <f t="shared" si="7"/>
        <v>0.99100852820524565</v>
      </c>
      <c r="I57">
        <f t="shared" si="8"/>
        <v>5.0786785415669559E-5</v>
      </c>
      <c r="J57">
        <f t="shared" si="9"/>
        <v>8.9406850093386534E-3</v>
      </c>
    </row>
    <row r="58" spans="1:10" x14ac:dyDescent="0.75">
      <c r="A58">
        <f t="shared" si="5"/>
        <v>35.200000000000074</v>
      </c>
      <c r="B58">
        <f t="shared" si="6"/>
        <v>5.1999999999999975</v>
      </c>
      <c r="C58">
        <f t="shared" si="0"/>
        <v>1.0000000000000001E-5</v>
      </c>
      <c r="D58">
        <f t="shared" si="1"/>
        <v>2.0784336096441114E-3</v>
      </c>
      <c r="E58">
        <f t="shared" si="2"/>
        <v>-2.0692260871024324E-3</v>
      </c>
      <c r="F58">
        <f t="shared" si="3"/>
        <v>9.9080290488862999E-6</v>
      </c>
      <c r="G58">
        <f t="shared" si="4"/>
        <v>2.059318058053546E-3</v>
      </c>
      <c r="H58">
        <f t="shared" si="7"/>
        <v>0.99080290488862988</v>
      </c>
      <c r="I58">
        <f t="shared" si="8"/>
        <v>5.1777793943874805E-5</v>
      </c>
      <c r="J58">
        <f t="shared" si="9"/>
        <v>9.1453173174262225E-3</v>
      </c>
    </row>
    <row r="59" spans="1:10" x14ac:dyDescent="0.75">
      <c r="A59">
        <f t="shared" si="5"/>
        <v>35.300000000000075</v>
      </c>
      <c r="B59">
        <f t="shared" si="6"/>
        <v>5.2999999999999972</v>
      </c>
      <c r="C59">
        <f t="shared" si="0"/>
        <v>1.0000000000000001E-5</v>
      </c>
      <c r="D59">
        <f t="shared" si="1"/>
        <v>2.0920949675287603E-3</v>
      </c>
      <c r="E59">
        <f t="shared" si="2"/>
        <v>-2.0823268292048283E-3</v>
      </c>
      <c r="F59">
        <f t="shared" si="3"/>
        <v>9.9059598227991966E-6</v>
      </c>
      <c r="G59">
        <f t="shared" si="4"/>
        <v>2.0724208693820288E-3</v>
      </c>
      <c r="H59">
        <f t="shared" si="7"/>
        <v>0.99059598227991963</v>
      </c>
      <c r="I59">
        <f t="shared" si="8"/>
        <v>5.2768596848763433E-5</v>
      </c>
      <c r="J59">
        <f t="shared" si="9"/>
        <v>9.3512491232315767E-3</v>
      </c>
    </row>
    <row r="60" spans="1:10" x14ac:dyDescent="0.75">
      <c r="A60">
        <f t="shared" si="5"/>
        <v>35.400000000000077</v>
      </c>
      <c r="B60">
        <f>B59+$D$2</f>
        <v>5.3999999999999968</v>
      </c>
      <c r="C60">
        <f t="shared" si="0"/>
        <v>1.0000000000000001E-5</v>
      </c>
      <c r="D60">
        <f t="shared" si="1"/>
        <v>2.1058745645956686E-3</v>
      </c>
      <c r="E60">
        <f t="shared" si="2"/>
        <v>-2.0955362484594347E-3</v>
      </c>
      <c r="F60">
        <f t="shared" si="3"/>
        <v>9.903877495969992E-6</v>
      </c>
      <c r="G60">
        <f t="shared" si="4"/>
        <v>2.0856323709634648E-3</v>
      </c>
      <c r="H60">
        <f t="shared" si="7"/>
        <v>0.99038774959699916</v>
      </c>
      <c r="I60">
        <f t="shared" si="8"/>
        <v>5.3759192831043354E-5</v>
      </c>
      <c r="J60">
        <f t="shared" si="9"/>
        <v>9.5584912101697797E-3</v>
      </c>
    </row>
    <row r="61" spans="1:10" x14ac:dyDescent="0.75">
      <c r="A61">
        <f t="shared" si="5"/>
        <v>35.500000000000078</v>
      </c>
      <c r="B61">
        <f t="shared" si="6"/>
        <v>5.4999999999999964</v>
      </c>
      <c r="C61">
        <f t="shared" si="0"/>
        <v>1.0000000000000001E-5</v>
      </c>
      <c r="D61">
        <f t="shared" si="1"/>
        <v>2.1197734242060793E-3</v>
      </c>
      <c r="E61">
        <f t="shared" si="2"/>
        <v>-2.108855207009811E-3</v>
      </c>
      <c r="F61">
        <f t="shared" si="3"/>
        <v>9.9017819597215333E-6</v>
      </c>
      <c r="G61">
        <f t="shared" si="4"/>
        <v>2.0989534250500895E-3</v>
      </c>
      <c r="H61">
        <f t="shared" si="7"/>
        <v>0.99017819597215317</v>
      </c>
      <c r="I61">
        <f t="shared" si="8"/>
        <v>5.4749580580640354E-5</v>
      </c>
      <c r="J61">
        <f t="shared" si="9"/>
        <v>9.7670544472661259E-3</v>
      </c>
    </row>
    <row r="62" spans="1:10" x14ac:dyDescent="0.75">
      <c r="A62">
        <f t="shared" si="5"/>
        <v>35.60000000000008</v>
      </c>
      <c r="B62">
        <f t="shared" si="6"/>
        <v>5.5999999999999961</v>
      </c>
      <c r="C62">
        <f t="shared" si="0"/>
        <v>1.0000000000000001E-5</v>
      </c>
      <c r="D62">
        <f t="shared" si="1"/>
        <v>2.133792578578441E-3</v>
      </c>
      <c r="E62">
        <f t="shared" si="2"/>
        <v>-2.1222845731810828E-3</v>
      </c>
      <c r="F62">
        <f t="shared" si="3"/>
        <v>9.8996731045145218E-6</v>
      </c>
      <c r="G62">
        <f t="shared" si="4"/>
        <v>2.1123849000765681E-3</v>
      </c>
      <c r="H62">
        <f t="shared" si="7"/>
        <v>0.98996731045145214</v>
      </c>
      <c r="I62">
        <f t="shared" si="8"/>
        <v>5.5739758776612508E-5</v>
      </c>
      <c r="J62">
        <f t="shared" si="9"/>
        <v>9.9769497897711345E-3</v>
      </c>
    </row>
    <row r="63" spans="1:10" x14ac:dyDescent="0.75">
      <c r="A63">
        <f t="shared" si="5"/>
        <v>35.700000000000081</v>
      </c>
      <c r="B63">
        <f t="shared" si="6"/>
        <v>5.6999999999999957</v>
      </c>
      <c r="C63">
        <f t="shared" si="0"/>
        <v>1.0000000000000001E-5</v>
      </c>
      <c r="D63">
        <f t="shared" si="1"/>
        <v>2.1479330688650598E-3</v>
      </c>
      <c r="E63">
        <f t="shared" si="2"/>
        <v>-2.1358252215123905E-3</v>
      </c>
      <c r="F63">
        <f t="shared" si="3"/>
        <v>9.8975508199413419E-6</v>
      </c>
      <c r="G63">
        <f t="shared" si="4"/>
        <v>2.1259276706924492E-3</v>
      </c>
      <c r="H63">
        <f t="shared" si="7"/>
        <v>0.98975508199413409</v>
      </c>
      <c r="I63">
        <f t="shared" si="8"/>
        <v>5.672972608706396E-5</v>
      </c>
      <c r="J63">
        <f t="shared" si="9"/>
        <v>1.0188188279778791E-2</v>
      </c>
    </row>
    <row r="64" spans="1:10" x14ac:dyDescent="0.75">
      <c r="A64">
        <f t="shared" si="5"/>
        <v>35.800000000000082</v>
      </c>
      <c r="B64">
        <f t="shared" si="6"/>
        <v>5.7999999999999954</v>
      </c>
      <c r="C64">
        <f t="shared" si="0"/>
        <v>1.0000000000000001E-5</v>
      </c>
      <c r="D64">
        <f t="shared" si="1"/>
        <v>2.1621959452294264E-3</v>
      </c>
      <c r="E64">
        <f t="shared" si="2"/>
        <v>-2.149478032789288E-3</v>
      </c>
      <c r="F64">
        <f t="shared" si="3"/>
        <v>9.8954149947198299E-6</v>
      </c>
      <c r="G64">
        <f t="shared" si="4"/>
        <v>2.1395826177945678E-3</v>
      </c>
      <c r="H64">
        <f t="shared" si="7"/>
        <v>0.98954149947198289</v>
      </c>
      <c r="I64">
        <f t="shared" si="8"/>
        <v>5.7719481169058096E-5</v>
      </c>
      <c r="J64">
        <f t="shared" si="9"/>
        <v>1.0400781046848035E-2</v>
      </c>
    </row>
    <row r="65" spans="1:10" x14ac:dyDescent="0.75">
      <c r="A65">
        <f t="shared" si="5"/>
        <v>35.900000000000084</v>
      </c>
      <c r="B65">
        <f t="shared" si="6"/>
        <v>5.899999999999995</v>
      </c>
      <c r="C65">
        <f t="shared" si="0"/>
        <v>1.0000000000000001E-5</v>
      </c>
      <c r="D65">
        <f t="shared" si="1"/>
        <v>2.1765822669242065E-3</v>
      </c>
      <c r="E65">
        <f t="shared" si="2"/>
        <v>-2.1632438940760628E-3</v>
      </c>
      <c r="F65">
        <f t="shared" si="3"/>
        <v>9.8932655166870399E-6</v>
      </c>
      <c r="G65">
        <f t="shared" si="4"/>
        <v>2.153350628559376E-3</v>
      </c>
      <c r="H65">
        <f t="shared" si="7"/>
        <v>0.98932655166870398</v>
      </c>
      <c r="I65">
        <f t="shared" si="8"/>
        <v>5.8709022668530081E-5</v>
      </c>
      <c r="J65">
        <f t="shared" si="9"/>
        <v>1.0614739308627491E-2</v>
      </c>
    </row>
    <row r="66" spans="1:10" x14ac:dyDescent="0.75">
      <c r="A66">
        <f t="shared" si="5"/>
        <v>36.000000000000085</v>
      </c>
      <c r="B66">
        <f t="shared" si="6"/>
        <v>5.9999999999999947</v>
      </c>
      <c r="C66">
        <f t="shared" si="0"/>
        <v>1.0000000000000001E-5</v>
      </c>
      <c r="D66">
        <f t="shared" si="1"/>
        <v>2.1910931023699071E-3</v>
      </c>
      <c r="E66">
        <f t="shared" si="2"/>
        <v>-2.1771236987479905E-3</v>
      </c>
      <c r="F66">
        <f t="shared" si="3"/>
        <v>9.8911022727929658E-6</v>
      </c>
      <c r="G66">
        <f t="shared" si="4"/>
        <v>2.1672325964751976E-3</v>
      </c>
      <c r="H66">
        <f t="shared" si="7"/>
        <v>0.98911022727929643</v>
      </c>
      <c r="I66">
        <f t="shared" si="8"/>
        <v>5.9698349220198783E-5</v>
      </c>
      <c r="J66">
        <f t="shared" si="9"/>
        <v>1.0830074371483429E-2</v>
      </c>
    </row>
    <row r="67" spans="1:10" x14ac:dyDescent="0.75">
      <c r="A67">
        <f t="shared" si="5"/>
        <v>36.100000000000087</v>
      </c>
      <c r="B67">
        <f t="shared" si="6"/>
        <v>6.0999999999999943</v>
      </c>
      <c r="C67">
        <f t="shared" si="0"/>
        <v>1.0000000000000001E-5</v>
      </c>
      <c r="D67">
        <f t="shared" si="1"/>
        <v>2.2057295292342259E-3</v>
      </c>
      <c r="E67">
        <f t="shared" si="2"/>
        <v>-2.1911183465235027E-3</v>
      </c>
      <c r="F67">
        <f t="shared" si="3"/>
        <v>9.8889251490942171E-6</v>
      </c>
      <c r="G67">
        <f t="shared" si="4"/>
        <v>2.1812294213744083E-3</v>
      </c>
      <c r="H67">
        <f t="shared" si="7"/>
        <v>0.98889251490942165</v>
      </c>
      <c r="I67">
        <f t="shared" si="8"/>
        <v>6.0687459447478079E-5</v>
      </c>
      <c r="J67">
        <f t="shared" si="9"/>
        <v>1.1046797631130948E-2</v>
      </c>
    </row>
    <row r="68" spans="1:10" x14ac:dyDescent="0.75">
      <c r="A68">
        <f t="shared" si="5"/>
        <v>36.200000000000088</v>
      </c>
      <c r="B68">
        <f t="shared" si="6"/>
        <v>6.199999999999994</v>
      </c>
      <c r="C68">
        <f t="shared" si="0"/>
        <v>1.0000000000000001E-5</v>
      </c>
      <c r="D68">
        <f t="shared" si="1"/>
        <v>2.2204926345120828E-3</v>
      </c>
      <c r="E68">
        <f t="shared" si="2"/>
        <v>-2.2052287434962685E-3</v>
      </c>
      <c r="F68">
        <f t="shared" si="3"/>
        <v>9.8867340307476935E-6</v>
      </c>
      <c r="G68">
        <f t="shared" si="4"/>
        <v>2.1953420094655207E-3</v>
      </c>
      <c r="H68">
        <f t="shared" si="7"/>
        <v>0.98867340307476925</v>
      </c>
      <c r="I68">
        <f t="shared" si="8"/>
        <v>6.1676351962387495E-5</v>
      </c>
      <c r="J68">
        <f t="shared" si="9"/>
        <v>1.1264920573268389E-2</v>
      </c>
    </row>
    <row r="69" spans="1:10" x14ac:dyDescent="0.75">
      <c r="A69">
        <f t="shared" si="5"/>
        <v>36.30000000000009</v>
      </c>
      <c r="B69">
        <f t="shared" si="6"/>
        <v>6.2999999999999936</v>
      </c>
      <c r="C69">
        <f t="shared" si="0"/>
        <v>1.0000000000000001E-5</v>
      </c>
      <c r="D69">
        <f t="shared" si="1"/>
        <v>2.235383514606352E-3</v>
      </c>
      <c r="E69">
        <f t="shared" si="2"/>
        <v>-2.2194558021671898E-3</v>
      </c>
      <c r="F69">
        <f t="shared" si="3"/>
        <v>9.884528802004198E-6</v>
      </c>
      <c r="G69">
        <f t="shared" si="4"/>
        <v>2.2095712733651855E-3</v>
      </c>
      <c r="H69">
        <f t="shared" si="7"/>
        <v>0.98845288020041966</v>
      </c>
      <c r="I69">
        <f t="shared" si="8"/>
        <v>6.2665025365462264E-5</v>
      </c>
      <c r="J69">
        <f t="shared" si="9"/>
        <v>1.148445477421494E-2</v>
      </c>
    </row>
    <row r="70" spans="1:10" x14ac:dyDescent="0.75">
      <c r="A70">
        <f t="shared" si="5"/>
        <v>36.400000000000091</v>
      </c>
      <c r="B70">
        <f t="shared" si="6"/>
        <v>6.3999999999999932</v>
      </c>
      <c r="C70">
        <f t="shared" si="0"/>
        <v>1.0000000000000001E-5</v>
      </c>
      <c r="D70">
        <f t="shared" si="1"/>
        <v>2.2504032754092811E-3</v>
      </c>
      <c r="E70">
        <f t="shared" si="2"/>
        <v>-2.2338004414762819E-3</v>
      </c>
      <c r="F70">
        <f t="shared" si="3"/>
        <v>9.8823093462020301E-6</v>
      </c>
      <c r="G70">
        <f t="shared" si="4"/>
        <v>2.22391813213008E-3</v>
      </c>
      <c r="H70">
        <f t="shared" si="7"/>
        <v>0.98823093462020295</v>
      </c>
      <c r="I70">
        <f t="shared" si="8"/>
        <v>6.3653478245662685E-5</v>
      </c>
      <c r="J70">
        <f t="shared" si="9"/>
        <v>1.1705411901551459E-2</v>
      </c>
    </row>
    <row r="71" spans="1:10" x14ac:dyDescent="0.75">
      <c r="A71">
        <f t="shared" si="5"/>
        <v>36.500000000000092</v>
      </c>
      <c r="B71">
        <f t="shared" si="6"/>
        <v>6.4999999999999929</v>
      </c>
      <c r="C71">
        <f t="shared" ref="C71:C106" si="10">10^(-5)</f>
        <v>1.0000000000000001E-5</v>
      </c>
      <c r="D71">
        <f t="shared" ref="D71:D106" si="11">$G$2 + $H$2 * $I$2^(A71)</f>
        <v>2.2655530323846293E-3</v>
      </c>
      <c r="E71">
        <f t="shared" ref="E71:E106" si="12">-H71*(C71+D71)</f>
        <v>-2.2482635868344646E-3</v>
      </c>
      <c r="F71">
        <f t="shared" ref="F71:F106" si="13">H71*C71</f>
        <v>9.8800755457605536E-6</v>
      </c>
      <c r="G71">
        <f t="shared" ref="G71:G106" si="14">H71*D71</f>
        <v>2.2383835112887041E-3</v>
      </c>
      <c r="H71">
        <f t="shared" si="7"/>
        <v>0.98800755457605527</v>
      </c>
      <c r="I71">
        <f t="shared" si="8"/>
        <v>6.4641709180282892E-5</v>
      </c>
      <c r="J71">
        <f t="shared" si="9"/>
        <v>1.1927803714764467E-2</v>
      </c>
    </row>
    <row r="72" spans="1:10" x14ac:dyDescent="0.75">
      <c r="A72">
        <f t="shared" ref="A72:A105" si="15">A71 + $D$2</f>
        <v>36.600000000000094</v>
      </c>
      <c r="B72">
        <f t="shared" ref="B72:B74" si="16">B71+$D$2</f>
        <v>6.5999999999999925</v>
      </c>
      <c r="C72">
        <f t="shared" si="10"/>
        <v>1.0000000000000001E-5</v>
      </c>
      <c r="D72">
        <f t="shared" si="11"/>
        <v>2.2808339106505033E-3</v>
      </c>
      <c r="E72">
        <f t="shared" si="12"/>
        <v>-2.2628461701552252E-3</v>
      </c>
      <c r="F72">
        <f t="shared" si="13"/>
        <v>9.8778272821737182E-6</v>
      </c>
      <c r="G72">
        <f t="shared" si="14"/>
        <v>2.2529683428730513E-3</v>
      </c>
      <c r="H72">
        <f t="shared" ref="H72:H106" si="17">H71+$D$2*E71</f>
        <v>0.98778272821737179</v>
      </c>
      <c r="I72">
        <f t="shared" ref="I72:I106" si="18">I71+$D$2 *F71</f>
        <v>6.5629716734858941E-5</v>
      </c>
      <c r="J72">
        <f t="shared" ref="J72:J106" si="19">J71+$D$2 * G71</f>
        <v>1.2151642065893337E-2</v>
      </c>
    </row>
    <row r="73" spans="1:10" x14ac:dyDescent="0.75">
      <c r="A73">
        <f t="shared" si="15"/>
        <v>36.700000000000095</v>
      </c>
      <c r="B73">
        <f t="shared" si="16"/>
        <v>6.6999999999999922</v>
      </c>
      <c r="C73">
        <f t="shared" si="10"/>
        <v>1.0000000000000001E-5</v>
      </c>
      <c r="D73">
        <f t="shared" si="11"/>
        <v>2.2962470450629173E-3</v>
      </c>
      <c r="E73">
        <f t="shared" si="12"/>
        <v>-2.277549129886165E-3</v>
      </c>
      <c r="F73">
        <f t="shared" si="13"/>
        <v>9.8755644360035627E-6</v>
      </c>
      <c r="G73">
        <f t="shared" si="14"/>
        <v>2.2676735654501615E-3</v>
      </c>
      <c r="H73">
        <f t="shared" si="17"/>
        <v>0.98755644360035622</v>
      </c>
      <c r="I73">
        <f t="shared" si="18"/>
        <v>6.6617499463076315E-5</v>
      </c>
      <c r="J73">
        <f t="shared" si="19"/>
        <v>1.2376938900180642E-2</v>
      </c>
    </row>
    <row r="74" spans="1:10" x14ac:dyDescent="0.75">
      <c r="A74">
        <f t="shared" si="15"/>
        <v>36.800000000000097</v>
      </c>
      <c r="B74">
        <f t="shared" si="16"/>
        <v>6.7999999999999918</v>
      </c>
      <c r="C74">
        <f t="shared" si="10"/>
        <v>1.0000000000000001E-5</v>
      </c>
      <c r="D74">
        <f t="shared" si="11"/>
        <v>2.3117935803000766E-3</v>
      </c>
      <c r="E74">
        <f t="shared" si="12"/>
        <v>-2.2923734110404229E-3</v>
      </c>
      <c r="F74">
        <f t="shared" si="13"/>
        <v>9.8732868868736764E-6</v>
      </c>
      <c r="G74">
        <f t="shared" si="14"/>
        <v>2.2825001241535492E-3</v>
      </c>
      <c r="H74">
        <f t="shared" si="17"/>
        <v>0.98732868868736756</v>
      </c>
      <c r="I74">
        <f t="shared" si="18"/>
        <v>6.7605055906676668E-5</v>
      </c>
      <c r="J74">
        <f t="shared" si="19"/>
        <v>1.2603706256725659E-2</v>
      </c>
    </row>
    <row r="75" spans="1:10" x14ac:dyDescent="0.75">
      <c r="A75">
        <f t="shared" si="15"/>
        <v>36.900000000000098</v>
      </c>
      <c r="B75">
        <f>B74+$D$2</f>
        <v>6.8999999999999915</v>
      </c>
      <c r="C75">
        <f t="shared" si="10"/>
        <v>1.0000000000000001E-5</v>
      </c>
      <c r="D75">
        <f t="shared" si="11"/>
        <v>2.3274746709473874E-3</v>
      </c>
      <c r="E75">
        <f t="shared" si="12"/>
        <v>-2.3073199652279539E-3</v>
      </c>
      <c r="F75">
        <f t="shared" si="13"/>
        <v>9.8709945134626358E-6</v>
      </c>
      <c r="G75">
        <f t="shared" si="14"/>
        <v>2.2974489707144915E-3</v>
      </c>
      <c r="H75">
        <f t="shared" si="17"/>
        <v>0.98709945134626353</v>
      </c>
      <c r="I75">
        <f t="shared" si="18"/>
        <v>6.8592384595364029E-5</v>
      </c>
      <c r="J75">
        <f t="shared" si="19"/>
        <v>1.2831956269141014E-2</v>
      </c>
    </row>
    <row r="76" spans="1:10" x14ac:dyDescent="0.75">
      <c r="A76">
        <f t="shared" si="15"/>
        <v>37.000000000000099</v>
      </c>
      <c r="B76">
        <f t="shared" ref="B76:B87" si="20">B75+$D$2</f>
        <v>6.9999999999999911</v>
      </c>
      <c r="C76">
        <f t="shared" si="10"/>
        <v>1.0000000000000001E-5</v>
      </c>
      <c r="D76">
        <f t="shared" si="11"/>
        <v>2.3432914815832012E-3</v>
      </c>
      <c r="E76">
        <f t="shared" si="12"/>
        <v>-2.322389750686668E-3</v>
      </c>
      <c r="F76">
        <f t="shared" si="13"/>
        <v>9.8686871934974079E-6</v>
      </c>
      <c r="G76">
        <f t="shared" si="14"/>
        <v>2.3125210634931705E-3</v>
      </c>
      <c r="H76">
        <f t="shared" si="17"/>
        <v>0.98686871934974074</v>
      </c>
      <c r="I76">
        <f t="shared" si="18"/>
        <v>6.9579484046710299E-5</v>
      </c>
      <c r="J76">
        <f t="shared" si="19"/>
        <v>1.3061701166212462E-2</v>
      </c>
    </row>
    <row r="77" spans="1:10" x14ac:dyDescent="0.75">
      <c r="A77">
        <f t="shared" si="15"/>
        <v>37.100000000000101</v>
      </c>
      <c r="B77">
        <f t="shared" si="20"/>
        <v>7.0999999999999908</v>
      </c>
      <c r="C77">
        <f t="shared" si="10"/>
        <v>1.0000000000000001E-5</v>
      </c>
      <c r="D77">
        <f t="shared" si="11"/>
        <v>2.3592451868653091E-3</v>
      </c>
      <c r="E77">
        <f t="shared" si="12"/>
        <v>-2.3375837323134207E-3</v>
      </c>
      <c r="F77">
        <f t="shared" si="13"/>
        <v>9.8663648037467218E-6</v>
      </c>
      <c r="G77">
        <f t="shared" si="14"/>
        <v>2.3277173675096741E-3</v>
      </c>
      <c r="H77">
        <f t="shared" si="17"/>
        <v>0.98663648037467211</v>
      </c>
      <c r="I77">
        <f t="shared" si="18"/>
        <v>7.0566352766060044E-5</v>
      </c>
      <c r="J77">
        <f t="shared" si="19"/>
        <v>1.329295327256178E-2</v>
      </c>
    </row>
    <row r="78" spans="1:10" x14ac:dyDescent="0.75">
      <c r="A78">
        <f t="shared" si="15"/>
        <v>37.200000000000102</v>
      </c>
      <c r="B78">
        <f t="shared" si="20"/>
        <v>7.1999999999999904</v>
      </c>
      <c r="C78">
        <f t="shared" si="10"/>
        <v>1.0000000000000001E-5</v>
      </c>
      <c r="D78">
        <f t="shared" si="11"/>
        <v>2.3753369716181735E-3</v>
      </c>
      <c r="E78">
        <f t="shared" si="12"/>
        <v>-2.35290288169484E-3</v>
      </c>
      <c r="F78">
        <f t="shared" si="13"/>
        <v>9.8640272200144089E-6</v>
      </c>
      <c r="G78">
        <f t="shared" si="14"/>
        <v>2.3430388544748255E-3</v>
      </c>
      <c r="H78">
        <f t="shared" si="17"/>
        <v>0.98640272200144075</v>
      </c>
      <c r="I78">
        <f t="shared" si="18"/>
        <v>7.1552989246434723E-5</v>
      </c>
      <c r="J78">
        <f t="shared" si="19"/>
        <v>1.3525725009312747E-2</v>
      </c>
    </row>
    <row r="79" spans="1:10" x14ac:dyDescent="0.75">
      <c r="A79">
        <f t="shared" si="15"/>
        <v>37.300000000000104</v>
      </c>
      <c r="B79">
        <f t="shared" si="20"/>
        <v>7.2999999999999901</v>
      </c>
      <c r="C79">
        <f t="shared" si="10"/>
        <v>1.0000000000000001E-5</v>
      </c>
      <c r="D79">
        <f t="shared" si="11"/>
        <v>2.3915680309209253E-3</v>
      </c>
      <c r="E79">
        <f t="shared" si="12"/>
        <v>-2.3683481771379867E-3</v>
      </c>
      <c r="F79">
        <f t="shared" si="13"/>
        <v>9.861674317132713E-6</v>
      </c>
      <c r="G79">
        <f t="shared" si="14"/>
        <v>2.3584865028208543E-3</v>
      </c>
      <c r="H79">
        <f t="shared" si="17"/>
        <v>0.98616743171327126</v>
      </c>
      <c r="I79">
        <f t="shared" si="18"/>
        <v>7.2539391968436161E-5</v>
      </c>
      <c r="J79">
        <f t="shared" si="19"/>
        <v>1.376002889476023E-2</v>
      </c>
    </row>
    <row r="80" spans="1:10" x14ac:dyDescent="0.75">
      <c r="A80">
        <f t="shared" si="15"/>
        <v>37.400000000000105</v>
      </c>
      <c r="B80">
        <f t="shared" si="20"/>
        <v>7.3999999999999897</v>
      </c>
      <c r="C80">
        <f t="shared" si="10"/>
        <v>1.0000000000000001E-5</v>
      </c>
      <c r="D80">
        <f t="shared" si="11"/>
        <v>2.4079395701961186E-3</v>
      </c>
      <c r="E80">
        <f t="shared" si="12"/>
        <v>-2.383920603700847E-3</v>
      </c>
      <c r="F80">
        <f t="shared" si="13"/>
        <v>9.8593059689555754E-6</v>
      </c>
      <c r="G80">
        <f t="shared" si="14"/>
        <v>2.3740612977318915E-3</v>
      </c>
      <c r="H80">
        <f t="shared" si="17"/>
        <v>0.98593059689555751</v>
      </c>
      <c r="I80">
        <f t="shared" si="18"/>
        <v>7.3525559400149437E-5</v>
      </c>
      <c r="J80">
        <f t="shared" si="19"/>
        <v>1.3995877545042315E-2</v>
      </c>
    </row>
    <row r="81" spans="1:10" x14ac:dyDescent="0.75">
      <c r="A81">
        <f t="shared" si="15"/>
        <v>37.500000000000107</v>
      </c>
      <c r="B81">
        <f t="shared" si="20"/>
        <v>7.4999999999999893</v>
      </c>
      <c r="C81">
        <f t="shared" si="10"/>
        <v>1.0000000000000001E-5</v>
      </c>
      <c r="D81">
        <f t="shared" si="11"/>
        <v>2.424452805299248E-3</v>
      </c>
      <c r="E81">
        <f t="shared" si="12"/>
        <v>-2.3996211532226227E-3</v>
      </c>
      <c r="F81">
        <f t="shared" si="13"/>
        <v>9.8569220483518752E-6</v>
      </c>
      <c r="G81">
        <f t="shared" si="14"/>
        <v>2.3897642311742711E-3</v>
      </c>
      <c r="H81">
        <f t="shared" si="17"/>
        <v>0.98569220483518738</v>
      </c>
      <c r="I81">
        <f t="shared" si="18"/>
        <v>7.4511489997044992E-5</v>
      </c>
      <c r="J81">
        <f t="shared" si="19"/>
        <v>1.4233283674815505E-2</v>
      </c>
    </row>
    <row r="82" spans="1:10" x14ac:dyDescent="0.75">
      <c r="A82">
        <f t="shared" si="15"/>
        <v>37.600000000000108</v>
      </c>
      <c r="B82">
        <f t="shared" si="20"/>
        <v>7.599999999999989</v>
      </c>
      <c r="C82">
        <f t="shared" si="10"/>
        <v>1.0000000000000001E-5</v>
      </c>
      <c r="D82">
        <f t="shared" si="11"/>
        <v>2.4411089626090506E-3</v>
      </c>
      <c r="E82">
        <f t="shared" si="12"/>
        <v>-2.4154508243538508E-3</v>
      </c>
      <c r="F82">
        <f t="shared" si="13"/>
        <v>9.8545224271986517E-6</v>
      </c>
      <c r="G82">
        <f t="shared" si="14"/>
        <v>2.4055963019266524E-3</v>
      </c>
      <c r="H82">
        <f t="shared" si="17"/>
        <v>0.98545224271986509</v>
      </c>
      <c r="I82">
        <f t="shared" si="18"/>
        <v>7.5497182201880183E-5</v>
      </c>
      <c r="J82">
        <f t="shared" si="19"/>
        <v>1.4472260097932932E-2</v>
      </c>
    </row>
    <row r="83" spans="1:10" x14ac:dyDescent="0.75">
      <c r="A83">
        <f t="shared" si="15"/>
        <v>37.700000000000109</v>
      </c>
      <c r="B83">
        <f t="shared" si="20"/>
        <v>7.6999999999999886</v>
      </c>
      <c r="C83">
        <f t="shared" si="10"/>
        <v>1.0000000000000001E-5</v>
      </c>
      <c r="D83">
        <f t="shared" si="11"/>
        <v>2.4579092791185827E-3</v>
      </c>
      <c r="E83">
        <f t="shared" si="12"/>
        <v>-2.4314106225863052E-3</v>
      </c>
      <c r="F83">
        <f t="shared" si="13"/>
        <v>9.8521069763742988E-6</v>
      </c>
      <c r="G83">
        <f t="shared" si="14"/>
        <v>2.4215585156099309E-3</v>
      </c>
      <c r="H83">
        <f t="shared" si="17"/>
        <v>0.98521069763742974</v>
      </c>
      <c r="I83">
        <f t="shared" si="18"/>
        <v>7.648263444460005E-5</v>
      </c>
      <c r="J83">
        <f t="shared" si="19"/>
        <v>1.4712819728125597E-2</v>
      </c>
    </row>
    <row r="84" spans="1:10" x14ac:dyDescent="0.75">
      <c r="A84">
        <f t="shared" si="15"/>
        <v>37.800000000000111</v>
      </c>
      <c r="B84">
        <f t="shared" si="20"/>
        <v>7.7999999999999883</v>
      </c>
      <c r="C84">
        <f t="shared" si="10"/>
        <v>1.0000000000000001E-5</v>
      </c>
      <c r="D84">
        <f t="shared" si="11"/>
        <v>2.4748550025270868E-3</v>
      </c>
      <c r="E84">
        <f t="shared" si="12"/>
        <v>-2.4475015602826952E-3</v>
      </c>
      <c r="F84">
        <f t="shared" si="13"/>
        <v>9.8496755657517113E-6</v>
      </c>
      <c r="G84">
        <f t="shared" si="14"/>
        <v>2.4376518847169437E-3</v>
      </c>
      <c r="H84">
        <f t="shared" si="17"/>
        <v>0.9849675565751711</v>
      </c>
      <c r="I84">
        <f t="shared" si="18"/>
        <v>7.7467845142237479E-5</v>
      </c>
      <c r="J84">
        <f t="shared" si="19"/>
        <v>1.4954975579686589E-2</v>
      </c>
    </row>
    <row r="85" spans="1:10" x14ac:dyDescent="0.75">
      <c r="A85">
        <f t="shared" si="15"/>
        <v>37.900000000000112</v>
      </c>
      <c r="B85">
        <f t="shared" si="20"/>
        <v>7.8999999999999879</v>
      </c>
      <c r="C85">
        <f t="shared" si="10"/>
        <v>1.0000000000000001E-5</v>
      </c>
      <c r="D85">
        <f t="shared" si="11"/>
        <v>2.4919473913326551E-3</v>
      </c>
      <c r="E85">
        <f t="shared" si="12"/>
        <v>-2.4637246567061452E-3</v>
      </c>
      <c r="F85">
        <f t="shared" si="13"/>
        <v>9.8472280641914291E-6</v>
      </c>
      <c r="G85">
        <f t="shared" si="14"/>
        <v>2.4538774286419541E-3</v>
      </c>
      <c r="H85">
        <f t="shared" si="17"/>
        <v>0.98472280641914278</v>
      </c>
      <c r="I85">
        <f t="shared" si="18"/>
        <v>7.8452812698812652E-5</v>
      </c>
      <c r="J85">
        <f t="shared" si="19"/>
        <v>1.5198740768158284E-2</v>
      </c>
    </row>
    <row r="86" spans="1:10" x14ac:dyDescent="0.75">
      <c r="A86">
        <f t="shared" si="15"/>
        <v>38.000000000000114</v>
      </c>
      <c r="B86">
        <f t="shared" si="20"/>
        <v>7.9999999999999876</v>
      </c>
      <c r="C86">
        <f t="shared" si="10"/>
        <v>1.0000000000000001E-5</v>
      </c>
      <c r="D86">
        <f t="shared" si="11"/>
        <v>2.509187714925692E-3</v>
      </c>
      <c r="E86">
        <f t="shared" si="12"/>
        <v>-2.4800809380494415E-3</v>
      </c>
      <c r="F86">
        <f t="shared" si="13"/>
        <v>9.8447643395347231E-6</v>
      </c>
      <c r="G86">
        <f t="shared" si="14"/>
        <v>2.4702361737099069E-3</v>
      </c>
      <c r="H86">
        <f t="shared" si="17"/>
        <v>0.98447643395347217</v>
      </c>
      <c r="I86">
        <f t="shared" si="18"/>
        <v>7.9437535505231797E-5</v>
      </c>
      <c r="J86">
        <f t="shared" si="19"/>
        <v>1.5444128511022479E-2</v>
      </c>
    </row>
    <row r="87" spans="1:10" x14ac:dyDescent="0.75">
      <c r="A87">
        <f t="shared" si="15"/>
        <v>38.100000000000115</v>
      </c>
      <c r="B87">
        <f t="shared" si="20"/>
        <v>8.0999999999999872</v>
      </c>
      <c r="C87">
        <f t="shared" si="10"/>
        <v>1.0000000000000001E-5</v>
      </c>
      <c r="D87">
        <f t="shared" si="11"/>
        <v>2.5265772536831889E-3</v>
      </c>
      <c r="E87">
        <f t="shared" si="12"/>
        <v>-2.4965714374640428E-3</v>
      </c>
      <c r="F87">
        <f t="shared" si="13"/>
        <v>9.8422842585966721E-6</v>
      </c>
      <c r="G87">
        <f t="shared" si="14"/>
        <v>2.4867291532054462E-3</v>
      </c>
      <c r="H87">
        <f t="shared" si="17"/>
        <v>0.98422842585966719</v>
      </c>
      <c r="I87">
        <f t="shared" si="18"/>
        <v>8.0422011939185274E-5</v>
      </c>
      <c r="J87">
        <f t="shared" si="19"/>
        <v>1.5691152128393469E-2</v>
      </c>
    </row>
    <row r="88" spans="1:10" x14ac:dyDescent="0.75">
      <c r="A88">
        <f t="shared" si="15"/>
        <v>38.200000000000117</v>
      </c>
      <c r="B88">
        <f>B87+$D$2</f>
        <v>8.1999999999999869</v>
      </c>
      <c r="C88">
        <f t="shared" si="10"/>
        <v>1.0000000000000001E-5</v>
      </c>
      <c r="D88">
        <f t="shared" si="11"/>
        <v>2.5441172990638113E-3</v>
      </c>
      <c r="E88">
        <f t="shared" si="12"/>
        <v>-2.5131971950888422E-3</v>
      </c>
      <c r="F88">
        <f t="shared" si="13"/>
        <v>9.8397876871592084E-6</v>
      </c>
      <c r="G88">
        <f t="shared" si="14"/>
        <v>2.503357407401683E-3</v>
      </c>
      <c r="H88">
        <f t="shared" si="17"/>
        <v>0.98397876871592083</v>
      </c>
      <c r="I88">
        <f t="shared" si="18"/>
        <v>8.1406240365044938E-5</v>
      </c>
      <c r="J88">
        <f t="shared" si="19"/>
        <v>1.5939825043714013E-2</v>
      </c>
    </row>
    <row r="89" spans="1:10" x14ac:dyDescent="0.75">
      <c r="A89">
        <f t="shared" si="15"/>
        <v>38.300000000000118</v>
      </c>
      <c r="B89">
        <f t="shared" ref="B89:B98" si="21">B88+$D$2</f>
        <v>8.2999999999999865</v>
      </c>
      <c r="C89">
        <f t="shared" si="10"/>
        <v>1.0000000000000001E-5</v>
      </c>
      <c r="D89">
        <f t="shared" si="11"/>
        <v>2.5618091537038118E-3</v>
      </c>
      <c r="E89">
        <f t="shared" si="12"/>
        <v>-2.5299592580786717E-3</v>
      </c>
      <c r="F89">
        <f t="shared" si="13"/>
        <v>9.8372744899641199E-6</v>
      </c>
      <c r="G89">
        <f t="shared" si="14"/>
        <v>2.5201219835887076E-3</v>
      </c>
      <c r="H89">
        <f t="shared" si="17"/>
        <v>0.98372744899641196</v>
      </c>
      <c r="I89">
        <f t="shared" si="18"/>
        <v>8.2390219133760863E-5</v>
      </c>
      <c r="J89">
        <f t="shared" si="19"/>
        <v>1.6190160784454181E-2</v>
      </c>
    </row>
    <row r="90" spans="1:10" x14ac:dyDescent="0.75">
      <c r="A90">
        <f t="shared" si="15"/>
        <v>38.400000000000119</v>
      </c>
      <c r="B90">
        <f t="shared" si="21"/>
        <v>8.3999999999999861</v>
      </c>
      <c r="C90">
        <f t="shared" si="10"/>
        <v>1.0000000000000001E-5</v>
      </c>
      <c r="D90">
        <f t="shared" si="11"/>
        <v>2.5796541315137723E-3</v>
      </c>
      <c r="E90">
        <f t="shared" si="12"/>
        <v>-2.5468586806325377E-3</v>
      </c>
      <c r="F90">
        <f t="shared" si="13"/>
        <v>9.8347445307060414E-6</v>
      </c>
      <c r="G90">
        <f t="shared" si="14"/>
        <v>2.5370239361018313E-3</v>
      </c>
      <c r="H90">
        <f t="shared" si="17"/>
        <v>0.9834744530706041</v>
      </c>
      <c r="I90">
        <f t="shared" si="18"/>
        <v>8.3373946582757276E-5</v>
      </c>
      <c r="J90">
        <f t="shared" si="19"/>
        <v>1.6442172982813051E-2</v>
      </c>
    </row>
    <row r="91" spans="1:10" x14ac:dyDescent="0.75">
      <c r="A91">
        <f t="shared" si="15"/>
        <v>38.500000000000121</v>
      </c>
      <c r="B91">
        <f t="shared" si="21"/>
        <v>8.4999999999999858</v>
      </c>
      <c r="C91">
        <f t="shared" si="10"/>
        <v>1.0000000000000001E-5</v>
      </c>
      <c r="D91">
        <f t="shared" si="11"/>
        <v>2.5976535577761834E-3</v>
      </c>
      <c r="E91">
        <f t="shared" si="12"/>
        <v>-2.5638965240215765E-3</v>
      </c>
      <c r="F91">
        <f t="shared" si="13"/>
        <v>9.832197672025409E-6</v>
      </c>
      <c r="G91">
        <f t="shared" si="14"/>
        <v>2.5540643263495511E-3</v>
      </c>
      <c r="H91">
        <f t="shared" si="17"/>
        <v>0.9832197672025409</v>
      </c>
      <c r="I91">
        <f t="shared" si="18"/>
        <v>8.4357421035827885E-5</v>
      </c>
      <c r="J91">
        <f t="shared" si="19"/>
        <v>1.6695875376423235E-2</v>
      </c>
    </row>
    <row r="92" spans="1:10" x14ac:dyDescent="0.75">
      <c r="A92">
        <f t="shared" si="15"/>
        <v>38.600000000000122</v>
      </c>
      <c r="B92">
        <f t="shared" si="21"/>
        <v>8.5999999999999854</v>
      </c>
      <c r="C92">
        <f t="shared" si="10"/>
        <v>1.0000000000000001E-5</v>
      </c>
      <c r="D92">
        <f t="shared" si="11"/>
        <v>2.6158087692438677E-3</v>
      </c>
      <c r="E92">
        <f t="shared" si="12"/>
        <v>-2.5810738566167252E-3</v>
      </c>
      <c r="F92">
        <f t="shared" si="13"/>
        <v>9.8296337755013877E-6</v>
      </c>
      <c r="G92">
        <f t="shared" si="14"/>
        <v>2.5712442228412236E-3</v>
      </c>
      <c r="H92">
        <f t="shared" si="17"/>
        <v>0.98296337755013874</v>
      </c>
      <c r="I92">
        <f t="shared" si="18"/>
        <v>8.5340640803030423E-5</v>
      </c>
      <c r="J92">
        <f t="shared" si="19"/>
        <v>1.6951281809058191E-2</v>
      </c>
    </row>
    <row r="93" spans="1:10" x14ac:dyDescent="0.75">
      <c r="A93">
        <f t="shared" si="15"/>
        <v>38.700000000000124</v>
      </c>
      <c r="B93">
        <f t="shared" si="21"/>
        <v>8.6999999999999851</v>
      </c>
      <c r="C93">
        <f t="shared" si="10"/>
        <v>1.0000000000000001E-5</v>
      </c>
      <c r="D93">
        <f t="shared" si="11"/>
        <v>2.6341211142392575E-3</v>
      </c>
      <c r="E93">
        <f t="shared" si="12"/>
        <v>-2.5983917539160878E-3</v>
      </c>
      <c r="F93">
        <f t="shared" si="13"/>
        <v>9.8270527016447714E-6</v>
      </c>
      <c r="G93">
        <f t="shared" si="14"/>
        <v>2.5885647012144431E-3</v>
      </c>
      <c r="H93">
        <f t="shared" si="17"/>
        <v>0.98270527016447706</v>
      </c>
      <c r="I93">
        <f t="shared" si="18"/>
        <v>8.6323604180580559E-5</v>
      </c>
      <c r="J93">
        <f t="shared" si="19"/>
        <v>1.7208406231342312E-2</v>
      </c>
    </row>
    <row r="94" spans="1:10" x14ac:dyDescent="0.75">
      <c r="A94">
        <f t="shared" si="15"/>
        <v>38.800000000000125</v>
      </c>
      <c r="B94">
        <f t="shared" si="21"/>
        <v>8.7999999999999847</v>
      </c>
      <c r="C94">
        <f t="shared" si="10"/>
        <v>1.0000000000000001E-5</v>
      </c>
      <c r="D94">
        <f t="shared" si="11"/>
        <v>2.6525919527545269E-3</v>
      </c>
      <c r="E94">
        <f t="shared" si="12"/>
        <v>-2.615851298571992E-3</v>
      </c>
      <c r="F94">
        <f t="shared" si="13"/>
        <v>9.8244543098908558E-6</v>
      </c>
      <c r="G94">
        <f t="shared" si="14"/>
        <v>2.6060268442621008E-3</v>
      </c>
      <c r="H94">
        <f t="shared" si="17"/>
        <v>0.98244543098908543</v>
      </c>
      <c r="I94">
        <f t="shared" si="18"/>
        <v>8.7306309450745038E-5</v>
      </c>
      <c r="J94">
        <f t="shared" si="19"/>
        <v>1.7467262701463756E-2</v>
      </c>
    </row>
    <row r="95" spans="1:10" x14ac:dyDescent="0.75">
      <c r="A95">
        <f t="shared" si="15"/>
        <v>38.900000000000126</v>
      </c>
      <c r="B95">
        <f t="shared" si="21"/>
        <v>8.8999999999999844</v>
      </c>
      <c r="C95">
        <f t="shared" si="10"/>
        <v>1.0000000000000001E-5</v>
      </c>
      <c r="D95">
        <f t="shared" si="11"/>
        <v>2.671222656552597E-3</v>
      </c>
      <c r="E95">
        <f t="shared" si="12"/>
        <v>-2.6334535804177265E-3</v>
      </c>
      <c r="F95">
        <f t="shared" si="13"/>
        <v>9.8218384585922828E-6</v>
      </c>
      <c r="G95">
        <f t="shared" si="14"/>
        <v>2.6236317419591343E-3</v>
      </c>
      <c r="H95">
        <f t="shared" si="17"/>
        <v>0.98218384585922824</v>
      </c>
      <c r="I95">
        <f t="shared" si="18"/>
        <v>8.8288754881734127E-5</v>
      </c>
      <c r="J95">
        <f t="shared" si="19"/>
        <v>1.7727865385889965E-2</v>
      </c>
    </row>
    <row r="96" spans="1:10" x14ac:dyDescent="0.75">
      <c r="A96">
        <f t="shared" si="15"/>
        <v>39.000000000000128</v>
      </c>
      <c r="B96">
        <f t="shared" si="21"/>
        <v>8.999999999999984</v>
      </c>
      <c r="C96">
        <f t="shared" si="10"/>
        <v>1.0000000000000001E-5</v>
      </c>
      <c r="D96">
        <f t="shared" si="11"/>
        <v>2.6900146092690073E-3</v>
      </c>
      <c r="E96">
        <f t="shared" si="12"/>
        <v>-2.6511996964939393E-3</v>
      </c>
      <c r="F96">
        <f t="shared" si="13"/>
        <v>9.8192050050118663E-6</v>
      </c>
      <c r="G96">
        <f t="shared" si="14"/>
        <v>2.6413804914889273E-3</v>
      </c>
      <c r="H96">
        <f t="shared" si="17"/>
        <v>0.98192050050118651</v>
      </c>
      <c r="I96">
        <f t="shared" si="18"/>
        <v>8.9270938727593357E-5</v>
      </c>
      <c r="J96">
        <f t="shared" si="19"/>
        <v>1.7990228560085877E-2</v>
      </c>
    </row>
    <row r="97" spans="1:10" x14ac:dyDescent="0.75">
      <c r="A97">
        <f t="shared" si="15"/>
        <v>39.100000000000129</v>
      </c>
      <c r="B97">
        <f t="shared" si="21"/>
        <v>9.0999999999999837</v>
      </c>
      <c r="C97">
        <f t="shared" si="10"/>
        <v>1.0000000000000001E-5</v>
      </c>
      <c r="D97">
        <f t="shared" si="11"/>
        <v>2.7089692065146794E-3</v>
      </c>
      <c r="E97">
        <f t="shared" si="12"/>
        <v>-2.6690907510746992E-3</v>
      </c>
      <c r="F97">
        <f t="shared" si="13"/>
        <v>9.8165538053153717E-6</v>
      </c>
      <c r="G97">
        <f t="shared" si="14"/>
        <v>2.6592741972693837E-3</v>
      </c>
      <c r="H97">
        <f t="shared" si="17"/>
        <v>0.98165538053153711</v>
      </c>
      <c r="I97">
        <f t="shared" si="18"/>
        <v>9.0252859228094547E-5</v>
      </c>
      <c r="J97">
        <f t="shared" si="19"/>
        <v>1.8254366609234771E-2</v>
      </c>
    </row>
    <row r="98" spans="1:10" x14ac:dyDescent="0.75">
      <c r="A98">
        <f t="shared" si="15"/>
        <v>39.200000000000131</v>
      </c>
      <c r="B98">
        <f t="shared" si="21"/>
        <v>9.1999999999999833</v>
      </c>
      <c r="C98">
        <f t="shared" si="10"/>
        <v>1.0000000000000001E-5</v>
      </c>
      <c r="D98">
        <f t="shared" si="11"/>
        <v>2.7280878559795578E-3</v>
      </c>
      <c r="E98">
        <f t="shared" si="12"/>
        <v>-2.6871278556931909E-3</v>
      </c>
      <c r="F98">
        <f t="shared" si="13"/>
        <v>9.8138847145642963E-6</v>
      </c>
      <c r="G98">
        <f t="shared" si="14"/>
        <v>2.6773139709786267E-3</v>
      </c>
      <c r="H98">
        <f t="shared" si="17"/>
        <v>0.9813884714564296</v>
      </c>
      <c r="I98">
        <f t="shared" si="18"/>
        <v>9.1234514608626085E-5</v>
      </c>
      <c r="J98">
        <f t="shared" si="19"/>
        <v>1.8520294028961711E-2</v>
      </c>
    </row>
    <row r="99" spans="1:10" x14ac:dyDescent="0.75">
      <c r="A99">
        <f t="shared" si="15"/>
        <v>39.300000000000132</v>
      </c>
      <c r="B99">
        <f>B98+$D$2</f>
        <v>9.2999999999999829</v>
      </c>
      <c r="C99">
        <f t="shared" si="10"/>
        <v>1.0000000000000001E-5</v>
      </c>
      <c r="D99">
        <f t="shared" si="11"/>
        <v>2.7473719775371573E-3</v>
      </c>
      <c r="E99">
        <f t="shared" si="12"/>
        <v>-2.7053121291670487E-3</v>
      </c>
      <c r="F99">
        <f t="shared" si="13"/>
        <v>9.8111975867086046E-6</v>
      </c>
      <c r="G99">
        <f t="shared" si="14"/>
        <v>2.6955009315803402E-3</v>
      </c>
      <c r="H99">
        <f t="shared" si="17"/>
        <v>0.98111975867086032</v>
      </c>
      <c r="I99">
        <f t="shared" si="18"/>
        <v>9.2215903080082514E-5</v>
      </c>
      <c r="J99">
        <f t="shared" si="19"/>
        <v>1.8788025426059573E-2</v>
      </c>
    </row>
    <row r="100" spans="1:10" x14ac:dyDescent="0.75">
      <c r="A100">
        <f t="shared" si="15"/>
        <v>39.400000000000134</v>
      </c>
      <c r="B100">
        <f t="shared" ref="B100:B104" si="22">B99+$D$2</f>
        <v>9.3999999999999826</v>
      </c>
      <c r="C100">
        <f t="shared" si="10"/>
        <v>1.0000000000000001E-5</v>
      </c>
      <c r="D100">
        <f t="shared" si="11"/>
        <v>2.7668230033500141E-3</v>
      </c>
      <c r="E100">
        <f t="shared" si="12"/>
        <v>-2.723644697623308E-3</v>
      </c>
      <c r="F100">
        <f t="shared" si="13"/>
        <v>9.8084922745794357E-6</v>
      </c>
      <c r="G100">
        <f t="shared" si="14"/>
        <v>2.7138362053487288E-3</v>
      </c>
      <c r="H100">
        <f t="shared" si="17"/>
        <v>0.98084922745794356</v>
      </c>
      <c r="I100">
        <f t="shared" si="18"/>
        <v>9.3197022838753372E-5</v>
      </c>
      <c r="J100">
        <f t="shared" si="19"/>
        <v>1.9057575519217607E-2</v>
      </c>
    </row>
    <row r="101" spans="1:10" x14ac:dyDescent="0.75">
      <c r="A101">
        <f t="shared" si="15"/>
        <v>39.500000000000135</v>
      </c>
      <c r="B101">
        <f t="shared" si="22"/>
        <v>9.4999999999999822</v>
      </c>
      <c r="C101">
        <f t="shared" si="10"/>
        <v>1.0000000000000001E-5</v>
      </c>
      <c r="D101">
        <f t="shared" si="11"/>
        <v>2.7864423779760425E-3</v>
      </c>
      <c r="E101">
        <f t="shared" si="12"/>
        <v>-2.7421266945229575E-3</v>
      </c>
      <c r="F101">
        <f t="shared" si="13"/>
        <v>9.8057686298818136E-6</v>
      </c>
      <c r="G101">
        <f t="shared" si="14"/>
        <v>2.7323209258930756E-3</v>
      </c>
      <c r="H101">
        <f t="shared" si="17"/>
        <v>0.98057686298818125</v>
      </c>
      <c r="I101">
        <f t="shared" si="18"/>
        <v>9.417787206621132E-5</v>
      </c>
      <c r="J101">
        <f t="shared" si="19"/>
        <v>1.932895913975248E-2</v>
      </c>
    </row>
    <row r="102" spans="1:10" x14ac:dyDescent="0.75">
      <c r="A102">
        <f t="shared" si="15"/>
        <v>39.600000000000136</v>
      </c>
      <c r="B102">
        <f t="shared" si="22"/>
        <v>9.5999999999999819</v>
      </c>
      <c r="C102">
        <f t="shared" si="10"/>
        <v>1.0000000000000001E-5</v>
      </c>
      <c r="D102">
        <f t="shared" si="11"/>
        <v>2.8062315584758192E-3</v>
      </c>
      <c r="E102">
        <f t="shared" si="12"/>
        <v>-2.7607592606850901E-3</v>
      </c>
      <c r="F102">
        <f t="shared" si="13"/>
        <v>9.8030265031872901E-6</v>
      </c>
      <c r="G102">
        <f t="shared" si="14"/>
        <v>2.7509562341819028E-3</v>
      </c>
      <c r="H102">
        <f t="shared" si="17"/>
        <v>0.98030265031872899</v>
      </c>
      <c r="I102">
        <f t="shared" si="18"/>
        <v>9.5158448929199505E-5</v>
      </c>
      <c r="J102">
        <f t="shared" si="19"/>
        <v>1.9602191232341786E-2</v>
      </c>
    </row>
    <row r="103" spans="1:10" x14ac:dyDescent="0.75">
      <c r="A103">
        <f t="shared" si="15"/>
        <v>39.700000000000138</v>
      </c>
      <c r="B103">
        <f t="shared" si="22"/>
        <v>9.6999999999999815</v>
      </c>
      <c r="C103">
        <f t="shared" si="10"/>
        <v>1.0000000000000001E-5</v>
      </c>
      <c r="D103">
        <f t="shared" si="11"/>
        <v>2.8261920145207938E-3</v>
      </c>
      <c r="E103">
        <f t="shared" si="12"/>
        <v>-2.7795435443106324E-3</v>
      </c>
      <c r="F103">
        <f t="shared" si="13"/>
        <v>9.8002657439266057E-6</v>
      </c>
      <c r="G103">
        <f t="shared" si="14"/>
        <v>2.7697432785667056E-3</v>
      </c>
      <c r="H103">
        <f t="shared" si="17"/>
        <v>0.9800265743926605</v>
      </c>
      <c r="I103">
        <f t="shared" si="18"/>
        <v>9.6138751579518232E-5</v>
      </c>
      <c r="J103">
        <f t="shared" si="19"/>
        <v>1.9877286855759978E-2</v>
      </c>
    </row>
    <row r="104" spans="1:10" x14ac:dyDescent="0.75">
      <c r="A104">
        <f t="shared" si="15"/>
        <v>39.800000000000139</v>
      </c>
      <c r="B104">
        <f t="shared" si="22"/>
        <v>9.7999999999999812</v>
      </c>
      <c r="C104">
        <f t="shared" si="10"/>
        <v>1.0000000000000001E-5</v>
      </c>
      <c r="D104">
        <f t="shared" si="11"/>
        <v>2.8463252285024381E-3</v>
      </c>
      <c r="E104">
        <f t="shared" si="12"/>
        <v>-2.7984807010056445E-3</v>
      </c>
      <c r="F104">
        <f t="shared" si="13"/>
        <v>9.7974862003822953E-6</v>
      </c>
      <c r="G104">
        <f t="shared" si="14"/>
        <v>2.7886832148052618E-3</v>
      </c>
      <c r="H104">
        <f t="shared" si="17"/>
        <v>0.97974862003822949</v>
      </c>
      <c r="I104">
        <f t="shared" si="18"/>
        <v>9.7118778153910897E-5</v>
      </c>
      <c r="J104">
        <f t="shared" si="19"/>
        <v>2.0154261183616649E-2</v>
      </c>
    </row>
    <row r="105" spans="1:10" x14ac:dyDescent="0.75">
      <c r="A105">
        <f t="shared" si="15"/>
        <v>39.900000000000141</v>
      </c>
      <c r="B105">
        <f>B104+$D$2</f>
        <v>9.8999999999999808</v>
      </c>
      <c r="C105">
        <f t="shared" si="10"/>
        <v>1.0000000000000001E-5</v>
      </c>
      <c r="D105">
        <f t="shared" si="11"/>
        <v>2.8666326956423328E-3</v>
      </c>
      <c r="E105">
        <f t="shared" si="12"/>
        <v>-2.817571893804164E-3</v>
      </c>
      <c r="F105">
        <f t="shared" si="13"/>
        <v>9.7946877196812902E-6</v>
      </c>
      <c r="G105">
        <f t="shared" si="14"/>
        <v>2.8077772060844828E-3</v>
      </c>
      <c r="H105">
        <f t="shared" si="17"/>
        <v>0.97946877196812887</v>
      </c>
      <c r="I105">
        <f t="shared" si="18"/>
        <v>9.8098526773949122E-5</v>
      </c>
      <c r="J105">
        <f t="shared" si="19"/>
        <v>2.0433129505097177E-2</v>
      </c>
    </row>
    <row r="106" spans="1:10" x14ac:dyDescent="0.75">
      <c r="A106">
        <f>A105 + $D$2</f>
        <v>40.000000000000142</v>
      </c>
      <c r="B106">
        <f t="shared" ref="B106" si="23">B105+$D$2</f>
        <v>9.9999999999999805</v>
      </c>
      <c r="C106">
        <f t="shared" si="10"/>
        <v>1.0000000000000001E-5</v>
      </c>
      <c r="D106">
        <f t="shared" si="11"/>
        <v>2.8871159241032206E-3</v>
      </c>
      <c r="E106">
        <f t="shared" si="12"/>
        <v>-2.8368182931906077E-3</v>
      </c>
      <c r="F106">
        <f t="shared" si="13"/>
        <v>9.7918701477874861E-6</v>
      </c>
      <c r="G106">
        <f t="shared" si="14"/>
        <v>2.8270264230428202E-3</v>
      </c>
      <c r="H106" s="2">
        <f t="shared" si="17"/>
        <v>0.97918701477874848</v>
      </c>
      <c r="I106" s="2">
        <f t="shared" si="18"/>
        <v>9.9077995545917256E-5</v>
      </c>
      <c r="J106" s="2">
        <f t="shared" si="19"/>
        <v>2.0713907225705624E-2</v>
      </c>
    </row>
  </sheetData>
  <mergeCells count="2">
    <mergeCell ref="A1:C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Joseph</dc:creator>
  <cp:lastModifiedBy>Joe Joseph</cp:lastModifiedBy>
  <dcterms:created xsi:type="dcterms:W3CDTF">2026-01-27T16:48:58Z</dcterms:created>
  <dcterms:modified xsi:type="dcterms:W3CDTF">2026-01-31T18:18:41Z</dcterms:modified>
</cp:coreProperties>
</file>