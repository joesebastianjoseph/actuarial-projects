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bd9e86679a8ca7/Documents/"/>
    </mc:Choice>
  </mc:AlternateContent>
  <xr:revisionPtr revIDLastSave="330" documentId="8_{19C63E25-DCB9-458B-AE80-5E234107370D}" xr6:coauthVersionLast="47" xr6:coauthVersionMax="47" xr10:uidLastSave="{D215F9E7-7433-4A6C-B510-42D2B11B8C1E}"/>
  <bookViews>
    <workbookView xWindow="-90" yWindow="-90" windowWidth="19380" windowHeight="11460" activeTab="3" xr2:uid="{6D15048B-55BC-4C18-9160-A8A5D10278E7}"/>
  </bookViews>
  <sheets>
    <sheet name="1.a" sheetId="1" r:id="rId1"/>
    <sheet name="1.b" sheetId="2" r:id="rId2"/>
    <sheet name="2.a" sheetId="7" r:id="rId3"/>
    <sheet name="2.b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6" l="1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7" i="6"/>
  <c r="C7" i="7"/>
  <c r="C6" i="6"/>
  <c r="C6" i="7"/>
  <c r="C5" i="6"/>
  <c r="C5" i="7"/>
  <c r="D5" i="7"/>
  <c r="C8" i="7"/>
  <c r="C6" i="1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H2" i="7"/>
  <c r="B6" i="7"/>
  <c r="B7" i="7" s="1"/>
  <c r="A6" i="7"/>
  <c r="B5" i="7"/>
  <c r="A5" i="7"/>
  <c r="F2" i="7"/>
  <c r="G2" i="7" s="1"/>
  <c r="D2" i="7"/>
  <c r="C2" i="7"/>
  <c r="E25" i="7" s="1"/>
  <c r="B2" i="7"/>
  <c r="E2" i="7" s="1"/>
  <c r="E126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31" i="1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7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6" i="2"/>
  <c r="A2" i="2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6" i="1"/>
  <c r="A2" i="1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5" i="6"/>
  <c r="D6" i="7" l="1"/>
  <c r="B8" i="7"/>
  <c r="A7" i="7"/>
  <c r="D7" i="7" s="1"/>
  <c r="F16" i="6"/>
  <c r="F17" i="6"/>
  <c r="F18" i="6"/>
  <c r="F19" i="6"/>
  <c r="F20" i="6"/>
  <c r="F21" i="6"/>
  <c r="F22" i="6"/>
  <c r="F23" i="6"/>
  <c r="F24" i="6"/>
  <c r="F15" i="6"/>
  <c r="F6" i="6"/>
  <c r="F7" i="6"/>
  <c r="F8" i="6"/>
  <c r="F9" i="6"/>
  <c r="F10" i="6"/>
  <c r="F11" i="6"/>
  <c r="F12" i="6"/>
  <c r="F13" i="6"/>
  <c r="F14" i="6"/>
  <c r="F5" i="6"/>
  <c r="D2" i="6"/>
  <c r="E2" i="6"/>
  <c r="B6" i="6"/>
  <c r="B7" i="6" s="1"/>
  <c r="A6" i="6"/>
  <c r="D6" i="6" s="1"/>
  <c r="B5" i="6"/>
  <c r="A5" i="6"/>
  <c r="D5" i="6" s="1"/>
  <c r="C2" i="6"/>
  <c r="E25" i="6" s="1"/>
  <c r="E406" i="2"/>
  <c r="E405" i="2"/>
  <c r="E404" i="2" s="1"/>
  <c r="E403" i="2" s="1"/>
  <c r="E402" i="2" s="1"/>
  <c r="E401" i="2" s="1"/>
  <c r="E400" i="2" s="1"/>
  <c r="E399" i="2" s="1"/>
  <c r="E398" i="2" s="1"/>
  <c r="E397" i="2" s="1"/>
  <c r="E396" i="2" s="1"/>
  <c r="E395" i="2" s="1"/>
  <c r="E394" i="2" s="1"/>
  <c r="E393" i="2" s="1"/>
  <c r="E392" i="2" s="1"/>
  <c r="E391" i="2" s="1"/>
  <c r="E390" i="2" s="1"/>
  <c r="E389" i="2" s="1"/>
  <c r="E388" i="2" s="1"/>
  <c r="E387" i="2" s="1"/>
  <c r="E386" i="2" s="1"/>
  <c r="E385" i="2" s="1"/>
  <c r="E384" i="2" s="1"/>
  <c r="E383" i="2" s="1"/>
  <c r="E382" i="2" s="1"/>
  <c r="E381" i="2" s="1"/>
  <c r="E380" i="2" s="1"/>
  <c r="E379" i="2" s="1"/>
  <c r="E378" i="2" s="1"/>
  <c r="E377" i="2" s="1"/>
  <c r="E376" i="2" s="1"/>
  <c r="E375" i="2" s="1"/>
  <c r="E374" i="2" s="1"/>
  <c r="E373" i="2" s="1"/>
  <c r="E372" i="2" s="1"/>
  <c r="E371" i="2" s="1"/>
  <c r="E370" i="2" s="1"/>
  <c r="E369" i="2" s="1"/>
  <c r="E368" i="2" s="1"/>
  <c r="E367" i="2" s="1"/>
  <c r="E366" i="2" s="1"/>
  <c r="E365" i="2" s="1"/>
  <c r="E364" i="2" s="1"/>
  <c r="E363" i="2" s="1"/>
  <c r="E362" i="2" s="1"/>
  <c r="E361" i="2" s="1"/>
  <c r="E360" i="2" s="1"/>
  <c r="E359" i="2" s="1"/>
  <c r="E358" i="2" s="1"/>
  <c r="E357" i="2" s="1"/>
  <c r="E356" i="2" s="1"/>
  <c r="E355" i="2" s="1"/>
  <c r="E354" i="2" s="1"/>
  <c r="E353" i="2" s="1"/>
  <c r="E352" i="2" s="1"/>
  <c r="E351" i="2" s="1"/>
  <c r="E350" i="2" s="1"/>
  <c r="E349" i="2" s="1"/>
  <c r="E348" i="2" s="1"/>
  <c r="E347" i="2" s="1"/>
  <c r="E346" i="2" s="1"/>
  <c r="E345" i="2" s="1"/>
  <c r="E344" i="2" s="1"/>
  <c r="E343" i="2" s="1"/>
  <c r="E342" i="2" s="1"/>
  <c r="E341" i="2" s="1"/>
  <c r="E340" i="2" s="1"/>
  <c r="E339" i="2" s="1"/>
  <c r="E338" i="2" s="1"/>
  <c r="E337" i="2" s="1"/>
  <c r="E336" i="2" s="1"/>
  <c r="E335" i="2" s="1"/>
  <c r="E334" i="2" s="1"/>
  <c r="E333" i="2" s="1"/>
  <c r="E332" i="2" s="1"/>
  <c r="E331" i="2" s="1"/>
  <c r="E330" i="2" s="1"/>
  <c r="E329" i="2" s="1"/>
  <c r="E328" i="2" s="1"/>
  <c r="E327" i="2" s="1"/>
  <c r="E326" i="2" s="1"/>
  <c r="E325" i="2" s="1"/>
  <c r="E324" i="2" s="1"/>
  <c r="E323" i="2" s="1"/>
  <c r="E322" i="2" s="1"/>
  <c r="E321" i="2" s="1"/>
  <c r="E320" i="2" s="1"/>
  <c r="E319" i="2" s="1"/>
  <c r="E318" i="2" s="1"/>
  <c r="E317" i="2" s="1"/>
  <c r="E316" i="2" s="1"/>
  <c r="E315" i="2" s="1"/>
  <c r="E314" i="2" s="1"/>
  <c r="E313" i="2" s="1"/>
  <c r="E312" i="2" s="1"/>
  <c r="E311" i="2" s="1"/>
  <c r="E310" i="2" s="1"/>
  <c r="E309" i="2" s="1"/>
  <c r="E308" i="2" s="1"/>
  <c r="E307" i="2" s="1"/>
  <c r="E306" i="2" s="1"/>
  <c r="E305" i="2" s="1"/>
  <c r="E304" i="2" s="1"/>
  <c r="E303" i="2" s="1"/>
  <c r="E302" i="2" s="1"/>
  <c r="E301" i="2" s="1"/>
  <c r="E300" i="2" s="1"/>
  <c r="E299" i="2" s="1"/>
  <c r="E298" i="2" s="1"/>
  <c r="E297" i="2" s="1"/>
  <c r="E296" i="2" s="1"/>
  <c r="E295" i="2" s="1"/>
  <c r="E294" i="2" s="1"/>
  <c r="E293" i="2" s="1"/>
  <c r="E292" i="2" s="1"/>
  <c r="E291" i="2" s="1"/>
  <c r="E290" i="2" s="1"/>
  <c r="E289" i="2" s="1"/>
  <c r="E288" i="2" s="1"/>
  <c r="E287" i="2" s="1"/>
  <c r="E286" i="2" s="1"/>
  <c r="E285" i="2" s="1"/>
  <c r="E284" i="2" s="1"/>
  <c r="E283" i="2" s="1"/>
  <c r="E282" i="2" s="1"/>
  <c r="E281" i="2" s="1"/>
  <c r="E280" i="2" s="1"/>
  <c r="E279" i="2" s="1"/>
  <c r="E278" i="2" s="1"/>
  <c r="E277" i="2" s="1"/>
  <c r="E276" i="2" s="1"/>
  <c r="E275" i="2" s="1"/>
  <c r="E274" i="2" s="1"/>
  <c r="E273" i="2" s="1"/>
  <c r="E272" i="2" s="1"/>
  <c r="E271" i="2" s="1"/>
  <c r="E270" i="2" s="1"/>
  <c r="E269" i="2" s="1"/>
  <c r="E268" i="2" s="1"/>
  <c r="E267" i="2" s="1"/>
  <c r="E266" i="2" s="1"/>
  <c r="E265" i="2" s="1"/>
  <c r="E264" i="2" s="1"/>
  <c r="E263" i="2" s="1"/>
  <c r="E262" i="2" s="1"/>
  <c r="E261" i="2" s="1"/>
  <c r="E260" i="2" s="1"/>
  <c r="E259" i="2" s="1"/>
  <c r="E258" i="2" s="1"/>
  <c r="E257" i="2" s="1"/>
  <c r="E256" i="2" s="1"/>
  <c r="E255" i="2" s="1"/>
  <c r="E254" i="2" s="1"/>
  <c r="E253" i="2" s="1"/>
  <c r="E252" i="2" s="1"/>
  <c r="E251" i="2" s="1"/>
  <c r="E250" i="2" s="1"/>
  <c r="E249" i="2" s="1"/>
  <c r="E248" i="2" s="1"/>
  <c r="E247" i="2" s="1"/>
  <c r="E246" i="2" s="1"/>
  <c r="E245" i="2" s="1"/>
  <c r="E244" i="2" s="1"/>
  <c r="E243" i="2" s="1"/>
  <c r="E242" i="2" s="1"/>
  <c r="E241" i="2" s="1"/>
  <c r="E240" i="2" s="1"/>
  <c r="E239" i="2" s="1"/>
  <c r="E238" i="2" s="1"/>
  <c r="E237" i="2" s="1"/>
  <c r="E236" i="2" s="1"/>
  <c r="E235" i="2" s="1"/>
  <c r="E234" i="2" s="1"/>
  <c r="E233" i="2" s="1"/>
  <c r="E232" i="2" s="1"/>
  <c r="E231" i="2" s="1"/>
  <c r="E230" i="2" s="1"/>
  <c r="E229" i="2" s="1"/>
  <c r="E228" i="2" s="1"/>
  <c r="E227" i="2" s="1"/>
  <c r="E226" i="2" s="1"/>
  <c r="E225" i="2" s="1"/>
  <c r="E224" i="2" s="1"/>
  <c r="E223" i="2" s="1"/>
  <c r="E222" i="2" s="1"/>
  <c r="E221" i="2" s="1"/>
  <c r="E220" i="2" s="1"/>
  <c r="E219" i="2" s="1"/>
  <c r="E218" i="2" s="1"/>
  <c r="E217" i="2" s="1"/>
  <c r="E216" i="2" s="1"/>
  <c r="E215" i="2" s="1"/>
  <c r="E214" i="2" s="1"/>
  <c r="E213" i="2" s="1"/>
  <c r="E212" i="2" s="1"/>
  <c r="E211" i="2" s="1"/>
  <c r="E210" i="2" s="1"/>
  <c r="E209" i="2" s="1"/>
  <c r="E208" i="2" s="1"/>
  <c r="E207" i="2" s="1"/>
  <c r="E206" i="2" s="1"/>
  <c r="E205" i="2" s="1"/>
  <c r="E204" i="2" s="1"/>
  <c r="E203" i="2" s="1"/>
  <c r="E202" i="2" s="1"/>
  <c r="E201" i="2" s="1"/>
  <c r="E200" i="2" s="1"/>
  <c r="E199" i="2" s="1"/>
  <c r="E198" i="2" s="1"/>
  <c r="E197" i="2" s="1"/>
  <c r="E196" i="2" s="1"/>
  <c r="E195" i="2" s="1"/>
  <c r="E194" i="2" s="1"/>
  <c r="E193" i="2" s="1"/>
  <c r="E192" i="2" s="1"/>
  <c r="E191" i="2" s="1"/>
  <c r="E190" i="2" s="1"/>
  <c r="E189" i="2" s="1"/>
  <c r="E188" i="2" s="1"/>
  <c r="E187" i="2" s="1"/>
  <c r="E186" i="2" s="1"/>
  <c r="E185" i="2" s="1"/>
  <c r="E184" i="2" s="1"/>
  <c r="E183" i="2" s="1"/>
  <c r="E182" i="2" s="1"/>
  <c r="E181" i="2" s="1"/>
  <c r="E180" i="2" s="1"/>
  <c r="E179" i="2" s="1"/>
  <c r="E178" i="2" s="1"/>
  <c r="E177" i="2" s="1"/>
  <c r="E176" i="2" s="1"/>
  <c r="E175" i="2" s="1"/>
  <c r="E174" i="2" s="1"/>
  <c r="E173" i="2" s="1"/>
  <c r="E172" i="2" s="1"/>
  <c r="E171" i="2" s="1"/>
  <c r="E170" i="2" s="1"/>
  <c r="E169" i="2" s="1"/>
  <c r="E168" i="2" s="1"/>
  <c r="E167" i="2" s="1"/>
  <c r="E166" i="2" s="1"/>
  <c r="E165" i="2" s="1"/>
  <c r="E164" i="2" s="1"/>
  <c r="E163" i="2" s="1"/>
  <c r="E162" i="2" s="1"/>
  <c r="E161" i="2" s="1"/>
  <c r="E160" i="2" s="1"/>
  <c r="E159" i="2" s="1"/>
  <c r="E158" i="2" s="1"/>
  <c r="E157" i="2" s="1"/>
  <c r="E156" i="2" s="1"/>
  <c r="E155" i="2" s="1"/>
  <c r="E154" i="2" s="1"/>
  <c r="E153" i="2" s="1"/>
  <c r="E152" i="2" s="1"/>
  <c r="E151" i="2" s="1"/>
  <c r="E150" i="2" s="1"/>
  <c r="E149" i="2" s="1"/>
  <c r="E148" i="2" s="1"/>
  <c r="E147" i="2" s="1"/>
  <c r="E146" i="2" s="1"/>
  <c r="E145" i="2" s="1"/>
  <c r="E144" i="2" s="1"/>
  <c r="E143" i="2" s="1"/>
  <c r="E142" i="2" s="1"/>
  <c r="E141" i="2" s="1"/>
  <c r="E140" i="2" s="1"/>
  <c r="E139" i="2" s="1"/>
  <c r="E138" i="2" s="1"/>
  <c r="E137" i="2" s="1"/>
  <c r="E136" i="2" s="1"/>
  <c r="E135" i="2" s="1"/>
  <c r="E134" i="2" s="1"/>
  <c r="E133" i="2" s="1"/>
  <c r="E132" i="2" s="1"/>
  <c r="E131" i="2" s="1"/>
  <c r="E130" i="2" s="1"/>
  <c r="E129" i="2" s="1"/>
  <c r="E128" i="2" s="1"/>
  <c r="E127" i="2" s="1"/>
  <c r="E126" i="2" s="1"/>
  <c r="E125" i="2" s="1"/>
  <c r="E124" i="2" s="1"/>
  <c r="E123" i="2" s="1"/>
  <c r="E122" i="2" s="1"/>
  <c r="E121" i="2" s="1"/>
  <c r="E120" i="2" s="1"/>
  <c r="E119" i="2" s="1"/>
  <c r="E118" i="2" s="1"/>
  <c r="E117" i="2" s="1"/>
  <c r="E116" i="2" s="1"/>
  <c r="E115" i="2" s="1"/>
  <c r="E114" i="2" s="1"/>
  <c r="E113" i="2" s="1"/>
  <c r="E112" i="2" s="1"/>
  <c r="E111" i="2" s="1"/>
  <c r="E110" i="2" s="1"/>
  <c r="E109" i="2" s="1"/>
  <c r="E108" i="2" s="1"/>
  <c r="E107" i="2" s="1"/>
  <c r="E106" i="2" s="1"/>
  <c r="E105" i="2" s="1"/>
  <c r="E104" i="2" s="1"/>
  <c r="E103" i="2" s="1"/>
  <c r="E102" i="2" s="1"/>
  <c r="E101" i="2" s="1"/>
  <c r="E100" i="2" s="1"/>
  <c r="E99" i="2" s="1"/>
  <c r="E98" i="2" s="1"/>
  <c r="E97" i="2" s="1"/>
  <c r="E96" i="2" s="1"/>
  <c r="E95" i="2" s="1"/>
  <c r="E94" i="2" s="1"/>
  <c r="E93" i="2" s="1"/>
  <c r="E92" i="2" s="1"/>
  <c r="E91" i="2" s="1"/>
  <c r="E90" i="2" s="1"/>
  <c r="E89" i="2" s="1"/>
  <c r="E88" i="2" s="1"/>
  <c r="E87" i="2" s="1"/>
  <c r="E86" i="2" s="1"/>
  <c r="E85" i="2" s="1"/>
  <c r="E84" i="2" s="1"/>
  <c r="E83" i="2" s="1"/>
  <c r="E82" i="2" s="1"/>
  <c r="E81" i="2" s="1"/>
  <c r="E80" i="2" s="1"/>
  <c r="E79" i="2" s="1"/>
  <c r="E78" i="2" s="1"/>
  <c r="E77" i="2" s="1"/>
  <c r="E76" i="2" s="1"/>
  <c r="E75" i="2" s="1"/>
  <c r="E74" i="2" s="1"/>
  <c r="E73" i="2" s="1"/>
  <c r="E72" i="2" s="1"/>
  <c r="E71" i="2" s="1"/>
  <c r="E70" i="2" s="1"/>
  <c r="E69" i="2" s="1"/>
  <c r="E68" i="2" s="1"/>
  <c r="E67" i="2" s="1"/>
  <c r="E66" i="2" s="1"/>
  <c r="E65" i="2" s="1"/>
  <c r="E64" i="2" s="1"/>
  <c r="E63" i="2" s="1"/>
  <c r="E62" i="2" s="1"/>
  <c r="E61" i="2" s="1"/>
  <c r="E60" i="2" s="1"/>
  <c r="E59" i="2" s="1"/>
  <c r="E58" i="2" s="1"/>
  <c r="E57" i="2" s="1"/>
  <c r="E56" i="2" s="1"/>
  <c r="E55" i="2" s="1"/>
  <c r="E54" i="2" s="1"/>
  <c r="E53" i="2" s="1"/>
  <c r="E52" i="2" s="1"/>
  <c r="E51" i="2" s="1"/>
  <c r="E50" i="2" s="1"/>
  <c r="E49" i="2" s="1"/>
  <c r="E48" i="2" s="1"/>
  <c r="E47" i="2" s="1"/>
  <c r="E245" i="1"/>
  <c r="E244" i="1" s="1"/>
  <c r="E243" i="1" s="1"/>
  <c r="E242" i="1" s="1"/>
  <c r="E241" i="1" s="1"/>
  <c r="E240" i="1" s="1"/>
  <c r="E239" i="1" s="1"/>
  <c r="E238" i="1" s="1"/>
  <c r="E237" i="1" s="1"/>
  <c r="E236" i="1" s="1"/>
  <c r="E235" i="1" s="1"/>
  <c r="E234" i="1" s="1"/>
  <c r="E233" i="1" s="1"/>
  <c r="E232" i="1" s="1"/>
  <c r="E231" i="1" s="1"/>
  <c r="E230" i="1" s="1"/>
  <c r="E229" i="1" s="1"/>
  <c r="E228" i="1" s="1"/>
  <c r="E227" i="1" s="1"/>
  <c r="E226" i="1" s="1"/>
  <c r="E225" i="1" s="1"/>
  <c r="E224" i="1" s="1"/>
  <c r="E223" i="1" s="1"/>
  <c r="E222" i="1" s="1"/>
  <c r="E221" i="1" s="1"/>
  <c r="E220" i="1" s="1"/>
  <c r="E219" i="1" s="1"/>
  <c r="E218" i="1" s="1"/>
  <c r="E217" i="1" s="1"/>
  <c r="E216" i="1" s="1"/>
  <c r="E215" i="1" s="1"/>
  <c r="E214" i="1" s="1"/>
  <c r="E213" i="1" s="1"/>
  <c r="E212" i="1" s="1"/>
  <c r="E211" i="1" s="1"/>
  <c r="E210" i="1" s="1"/>
  <c r="E209" i="1" s="1"/>
  <c r="E208" i="1" s="1"/>
  <c r="E207" i="1" s="1"/>
  <c r="E206" i="1" s="1"/>
  <c r="E205" i="1" s="1"/>
  <c r="E204" i="1" s="1"/>
  <c r="E203" i="1" s="1"/>
  <c r="E202" i="1" s="1"/>
  <c r="E201" i="1" s="1"/>
  <c r="E200" i="1" s="1"/>
  <c r="E199" i="1" s="1"/>
  <c r="E198" i="1" s="1"/>
  <c r="E197" i="1" s="1"/>
  <c r="E196" i="1" s="1"/>
  <c r="E195" i="1" s="1"/>
  <c r="E194" i="1" s="1"/>
  <c r="E193" i="1" s="1"/>
  <c r="E192" i="1" s="1"/>
  <c r="E191" i="1" s="1"/>
  <c r="E190" i="1" s="1"/>
  <c r="E189" i="1" s="1"/>
  <c r="E188" i="1" s="1"/>
  <c r="E187" i="1" s="1"/>
  <c r="E186" i="1" s="1"/>
  <c r="E185" i="1" s="1"/>
  <c r="E184" i="1" s="1"/>
  <c r="E183" i="1" s="1"/>
  <c r="E182" i="1" s="1"/>
  <c r="E181" i="1" s="1"/>
  <c r="E180" i="1" s="1"/>
  <c r="E179" i="1" s="1"/>
  <c r="E178" i="1" s="1"/>
  <c r="E177" i="1" s="1"/>
  <c r="E176" i="1" s="1"/>
  <c r="E175" i="1" s="1"/>
  <c r="E174" i="1" s="1"/>
  <c r="E173" i="1" s="1"/>
  <c r="E172" i="1" s="1"/>
  <c r="E171" i="1" s="1"/>
  <c r="E170" i="1" s="1"/>
  <c r="E169" i="1" s="1"/>
  <c r="E168" i="1" s="1"/>
  <c r="E167" i="1" s="1"/>
  <c r="E166" i="1" s="1"/>
  <c r="E165" i="1" s="1"/>
  <c r="E164" i="1" s="1"/>
  <c r="E163" i="1" s="1"/>
  <c r="E162" i="1" s="1"/>
  <c r="E161" i="1" s="1"/>
  <c r="E160" i="1" s="1"/>
  <c r="E159" i="1" s="1"/>
  <c r="E158" i="1" s="1"/>
  <c r="E157" i="1" s="1"/>
  <c r="E156" i="1" s="1"/>
  <c r="E155" i="1" s="1"/>
  <c r="E154" i="1" s="1"/>
  <c r="E153" i="1" s="1"/>
  <c r="E152" i="1" s="1"/>
  <c r="E151" i="1" s="1"/>
  <c r="E150" i="1" s="1"/>
  <c r="E149" i="1" s="1"/>
  <c r="E148" i="1" s="1"/>
  <c r="E147" i="1" s="1"/>
  <c r="E146" i="1" s="1"/>
  <c r="E145" i="1" s="1"/>
  <c r="E144" i="1" s="1"/>
  <c r="E143" i="1" s="1"/>
  <c r="E142" i="1" s="1"/>
  <c r="E141" i="1" s="1"/>
  <c r="E140" i="1" s="1"/>
  <c r="E139" i="1" s="1"/>
  <c r="E138" i="1" s="1"/>
  <c r="E137" i="1" s="1"/>
  <c r="E136" i="1" s="1"/>
  <c r="E135" i="1" s="1"/>
  <c r="E134" i="1" s="1"/>
  <c r="E133" i="1" s="1"/>
  <c r="E132" i="1" s="1"/>
  <c r="E131" i="1" s="1"/>
  <c r="E130" i="1" s="1"/>
  <c r="E129" i="1" s="1"/>
  <c r="E128" i="1" s="1"/>
  <c r="E127" i="1" s="1"/>
  <c r="E125" i="1" s="1"/>
  <c r="E124" i="1" s="1"/>
  <c r="E123" i="1" s="1"/>
  <c r="E122" i="1" s="1"/>
  <c r="E121" i="1" s="1"/>
  <c r="E120" i="1" s="1"/>
  <c r="E119" i="1" s="1"/>
  <c r="E118" i="1" s="1"/>
  <c r="E117" i="1" s="1"/>
  <c r="E116" i="1" s="1"/>
  <c r="E115" i="1" s="1"/>
  <c r="E114" i="1" s="1"/>
  <c r="E113" i="1" s="1"/>
  <c r="E112" i="1" s="1"/>
  <c r="E111" i="1" s="1"/>
  <c r="E110" i="1" s="1"/>
  <c r="E109" i="1" s="1"/>
  <c r="E108" i="1" s="1"/>
  <c r="E107" i="1" s="1"/>
  <c r="E106" i="1" s="1"/>
  <c r="E105" i="1" s="1"/>
  <c r="E104" i="1" s="1"/>
  <c r="E103" i="1" s="1"/>
  <c r="E102" i="1" s="1"/>
  <c r="E101" i="1" s="1"/>
  <c r="E100" i="1" s="1"/>
  <c r="E99" i="1" s="1"/>
  <c r="E98" i="1" s="1"/>
  <c r="E97" i="1" s="1"/>
  <c r="E96" i="1" s="1"/>
  <c r="E95" i="1" s="1"/>
  <c r="E94" i="1" s="1"/>
  <c r="E93" i="1" s="1"/>
  <c r="E92" i="1" s="1"/>
  <c r="E91" i="1" s="1"/>
  <c r="E90" i="1" s="1"/>
  <c r="E89" i="1" s="1"/>
  <c r="E88" i="1" s="1"/>
  <c r="E87" i="1" s="1"/>
  <c r="E86" i="1" s="1"/>
  <c r="E85" i="1" s="1"/>
  <c r="E84" i="1" s="1"/>
  <c r="E83" i="1" s="1"/>
  <c r="E82" i="1" s="1"/>
  <c r="E81" i="1" s="1"/>
  <c r="E80" i="1" s="1"/>
  <c r="E79" i="1" s="1"/>
  <c r="E78" i="1" s="1"/>
  <c r="E77" i="1" s="1"/>
  <c r="E76" i="1" s="1"/>
  <c r="E75" i="1" s="1"/>
  <c r="E74" i="1" s="1"/>
  <c r="E73" i="1" s="1"/>
  <c r="E72" i="1" s="1"/>
  <c r="E71" i="1" s="1"/>
  <c r="E70" i="1" s="1"/>
  <c r="E69" i="1" s="1"/>
  <c r="E68" i="1" s="1"/>
  <c r="E67" i="1" s="1"/>
  <c r="E66" i="1" s="1"/>
  <c r="E65" i="1" s="1"/>
  <c r="E64" i="1" s="1"/>
  <c r="E63" i="1" s="1"/>
  <c r="E62" i="1" s="1"/>
  <c r="E61" i="1" s="1"/>
  <c r="E60" i="1" s="1"/>
  <c r="E59" i="1" s="1"/>
  <c r="E58" i="1" s="1"/>
  <c r="E57" i="1" s="1"/>
  <c r="E56" i="1" s="1"/>
  <c r="E55" i="1" s="1"/>
  <c r="E54" i="1" s="1"/>
  <c r="E53" i="1" s="1"/>
  <c r="E52" i="1" s="1"/>
  <c r="E51" i="1" s="1"/>
  <c r="E50" i="1" s="1"/>
  <c r="E49" i="1" s="1"/>
  <c r="E48" i="1" s="1"/>
  <c r="E47" i="1" s="1"/>
  <c r="E46" i="1" s="1"/>
  <c r="E45" i="1" s="1"/>
  <c r="E44" i="1" s="1"/>
  <c r="E43" i="1" s="1"/>
  <c r="E42" i="1" s="1"/>
  <c r="E41" i="1" s="1"/>
  <c r="E40" i="1" s="1"/>
  <c r="E39" i="1" s="1"/>
  <c r="E38" i="1" s="1"/>
  <c r="E37" i="1" s="1"/>
  <c r="E36" i="1" s="1"/>
  <c r="E35" i="1" s="1"/>
  <c r="E34" i="1" s="1"/>
  <c r="E33" i="1" s="1"/>
  <c r="E32" i="1" s="1"/>
  <c r="E31" i="1" s="1"/>
  <c r="E30" i="1" s="1"/>
  <c r="E29" i="1" s="1"/>
  <c r="E28" i="1" s="1"/>
  <c r="E27" i="1" s="1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B395" i="2"/>
  <c r="B396" i="2"/>
  <c r="B397" i="2"/>
  <c r="B398" i="2"/>
  <c r="B399" i="2"/>
  <c r="B400" i="2"/>
  <c r="B401" i="2" s="1"/>
  <c r="B402" i="2" s="1"/>
  <c r="B403" i="2" s="1"/>
  <c r="B404" i="2" s="1"/>
  <c r="B405" i="2" s="1"/>
  <c r="B406" i="2" s="1"/>
  <c r="B392" i="2"/>
  <c r="B393" i="2"/>
  <c r="B394" i="2"/>
  <c r="B386" i="2"/>
  <c r="B387" i="2"/>
  <c r="B388" i="2"/>
  <c r="B389" i="2"/>
  <c r="B390" i="2"/>
  <c r="B391" i="2"/>
  <c r="B380" i="2"/>
  <c r="B381" i="2"/>
  <c r="B382" i="2"/>
  <c r="B383" i="2"/>
  <c r="B384" i="2"/>
  <c r="B385" i="2"/>
  <c r="B370" i="2"/>
  <c r="B371" i="2"/>
  <c r="B372" i="2"/>
  <c r="B373" i="2"/>
  <c r="B374" i="2"/>
  <c r="B375" i="2"/>
  <c r="B376" i="2" s="1"/>
  <c r="B377" i="2" s="1"/>
  <c r="B378" i="2" s="1"/>
  <c r="B379" i="2" s="1"/>
  <c r="B360" i="2"/>
  <c r="B361" i="2"/>
  <c r="B362" i="2"/>
  <c r="B363" i="2"/>
  <c r="B364" i="2"/>
  <c r="B365" i="2"/>
  <c r="B366" i="2" s="1"/>
  <c r="B367" i="2" s="1"/>
  <c r="B368" i="2" s="1"/>
  <c r="B369" i="2" s="1"/>
  <c r="B350" i="2"/>
  <c r="B351" i="2"/>
  <c r="B352" i="2"/>
  <c r="B353" i="2"/>
  <c r="B354" i="2"/>
  <c r="B355" i="2"/>
  <c r="B356" i="2" s="1"/>
  <c r="B357" i="2" s="1"/>
  <c r="B358" i="2" s="1"/>
  <c r="B359" i="2" s="1"/>
  <c r="B341" i="2"/>
  <c r="B342" i="2"/>
  <c r="B343" i="2"/>
  <c r="B344" i="2"/>
  <c r="B345" i="2"/>
  <c r="B346" i="2"/>
  <c r="B347" i="2" s="1"/>
  <c r="B348" i="2" s="1"/>
  <c r="B349" i="2" s="1"/>
  <c r="B334" i="2"/>
  <c r="B335" i="2"/>
  <c r="B336" i="2"/>
  <c r="B337" i="2"/>
  <c r="B338" i="2"/>
  <c r="B339" i="2"/>
  <c r="B340" i="2" s="1"/>
  <c r="B282" i="2"/>
  <c r="B283" i="2"/>
  <c r="B284" i="2"/>
  <c r="B285" i="2"/>
  <c r="B286" i="2"/>
  <c r="B287" i="2"/>
  <c r="B288" i="2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247" i="2"/>
  <c r="B248" i="2"/>
  <c r="B249" i="2"/>
  <c r="B250" i="2"/>
  <c r="B251" i="2"/>
  <c r="B252" i="2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D2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7" i="2"/>
  <c r="D6" i="2"/>
  <c r="B6" i="2"/>
  <c r="C2" i="2"/>
  <c r="B2" i="2"/>
  <c r="E24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6" i="1"/>
  <c r="B246" i="1"/>
  <c r="B245" i="1"/>
  <c r="B243" i="1"/>
  <c r="B244" i="1"/>
  <c r="B240" i="1"/>
  <c r="B241" i="1"/>
  <c r="B242" i="1"/>
  <c r="B238" i="1"/>
  <c r="B239" i="1"/>
  <c r="B235" i="1"/>
  <c r="B236" i="1"/>
  <c r="B237" i="1"/>
  <c r="B229" i="1"/>
  <c r="B230" i="1"/>
  <c r="B231" i="1"/>
  <c r="B232" i="1"/>
  <c r="B233" i="1"/>
  <c r="B234" i="1"/>
  <c r="B222" i="1"/>
  <c r="B223" i="1"/>
  <c r="B224" i="1"/>
  <c r="B225" i="1"/>
  <c r="B226" i="1"/>
  <c r="B227" i="1"/>
  <c r="B228" i="1"/>
  <c r="B215" i="1"/>
  <c r="B216" i="1"/>
  <c r="B217" i="1"/>
  <c r="B218" i="1"/>
  <c r="B219" i="1"/>
  <c r="B220" i="1"/>
  <c r="B221" i="1"/>
  <c r="B202" i="1"/>
  <c r="B203" i="1"/>
  <c r="B204" i="1"/>
  <c r="B205" i="1"/>
  <c r="B206" i="1"/>
  <c r="B207" i="1"/>
  <c r="B208" i="1"/>
  <c r="B209" i="1" s="1"/>
  <c r="B210" i="1" s="1"/>
  <c r="B211" i="1" s="1"/>
  <c r="B212" i="1" s="1"/>
  <c r="B213" i="1" s="1"/>
  <c r="B214" i="1" s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 s="1"/>
  <c r="B170" i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9" i="1"/>
  <c r="B10" i="1"/>
  <c r="B11" i="1"/>
  <c r="B12" i="1"/>
  <c r="B13" i="1"/>
  <c r="B14" i="1"/>
  <c r="B15" i="1"/>
  <c r="B8" i="1"/>
  <c r="B7" i="1"/>
  <c r="B6" i="1"/>
  <c r="D2" i="1"/>
  <c r="C2" i="1"/>
  <c r="B2" i="1"/>
  <c r="B9" i="7" l="1"/>
  <c r="A8" i="7"/>
  <c r="D8" i="7" s="1"/>
  <c r="B8" i="6"/>
  <c r="A7" i="6"/>
  <c r="D7" i="6" s="1"/>
  <c r="E46" i="2"/>
  <c r="E45" i="2" s="1"/>
  <c r="E44" i="2" s="1"/>
  <c r="E43" i="2" s="1"/>
  <c r="E42" i="2" s="1"/>
  <c r="E41" i="2" s="1"/>
  <c r="E40" i="2" s="1"/>
  <c r="E39" i="2" s="1"/>
  <c r="E38" i="2" s="1"/>
  <c r="E37" i="2" s="1"/>
  <c r="E36" i="2" s="1"/>
  <c r="E35" i="2" s="1"/>
  <c r="E34" i="2" s="1"/>
  <c r="E33" i="2" s="1"/>
  <c r="E32" i="2" s="1"/>
  <c r="E31" i="2" s="1"/>
  <c r="E30" i="2" s="1"/>
  <c r="E29" i="2" s="1"/>
  <c r="E28" i="2" s="1"/>
  <c r="E27" i="2" s="1"/>
  <c r="E26" i="2" s="1"/>
  <c r="E25" i="2" s="1"/>
  <c r="E24" i="2" s="1"/>
  <c r="E23" i="2" s="1"/>
  <c r="E22" i="2" s="1"/>
  <c r="E21" i="2" s="1"/>
  <c r="E20" i="2" s="1"/>
  <c r="E19" i="2" s="1"/>
  <c r="E18" i="2" s="1"/>
  <c r="E17" i="2" s="1"/>
  <c r="E16" i="2" s="1"/>
  <c r="E15" i="2" s="1"/>
  <c r="E14" i="2" s="1"/>
  <c r="E13" i="2" s="1"/>
  <c r="E12" i="2" s="1"/>
  <c r="E11" i="2" s="1"/>
  <c r="E10" i="2" s="1"/>
  <c r="E9" i="2" s="1"/>
  <c r="E8" i="2" s="1"/>
  <c r="E7" i="2" s="1"/>
  <c r="E6" i="2" s="1"/>
  <c r="E26" i="1"/>
  <c r="E25" i="1" s="1"/>
  <c r="E24" i="1" s="1"/>
  <c r="E23" i="1" s="1"/>
  <c r="E22" i="1" s="1"/>
  <c r="E21" i="1" s="1"/>
  <c r="E20" i="1" s="1"/>
  <c r="E19" i="1" s="1"/>
  <c r="E18" i="1" s="1"/>
  <c r="E17" i="1" s="1"/>
  <c r="E16" i="1" s="1"/>
  <c r="E15" i="1" s="1"/>
  <c r="E14" i="1" s="1"/>
  <c r="E13" i="1" s="1"/>
  <c r="E12" i="1" s="1"/>
  <c r="E11" i="1" s="1"/>
  <c r="E10" i="1" s="1"/>
  <c r="E9" i="1" s="1"/>
  <c r="E8" i="1" s="1"/>
  <c r="E7" i="1" s="1"/>
  <c r="E6" i="1" s="1"/>
  <c r="B8" i="2"/>
  <c r="B9" i="2"/>
  <c r="A9" i="7" l="1"/>
  <c r="D9" i="7" s="1"/>
  <c r="B10" i="7"/>
  <c r="B9" i="6"/>
  <c r="A8" i="6"/>
  <c r="D8" i="6" s="1"/>
  <c r="B10" i="2"/>
  <c r="B11" i="7" l="1"/>
  <c r="A10" i="7"/>
  <c r="D10" i="7" s="1"/>
  <c r="A9" i="6"/>
  <c r="D9" i="6" s="1"/>
  <c r="B10" i="6"/>
  <c r="B11" i="2"/>
  <c r="B12" i="7" l="1"/>
  <c r="A11" i="7"/>
  <c r="D11" i="7" s="1"/>
  <c r="B11" i="6"/>
  <c r="A10" i="6"/>
  <c r="D10" i="6" s="1"/>
  <c r="B12" i="2"/>
  <c r="B13" i="7" l="1"/>
  <c r="A12" i="7"/>
  <c r="D12" i="7" s="1"/>
  <c r="A11" i="6"/>
  <c r="D11" i="6" s="1"/>
  <c r="B12" i="6"/>
  <c r="B13" i="2"/>
  <c r="A13" i="7" l="1"/>
  <c r="D13" i="7" s="1"/>
  <c r="B14" i="7"/>
  <c r="B13" i="6"/>
  <c r="A12" i="6"/>
  <c r="D12" i="6" s="1"/>
  <c r="B14" i="2"/>
  <c r="A14" i="7" l="1"/>
  <c r="D14" i="7" s="1"/>
  <c r="B15" i="7"/>
  <c r="A13" i="6"/>
  <c r="D13" i="6" s="1"/>
  <c r="B14" i="6"/>
  <c r="B15" i="2"/>
  <c r="B16" i="7" l="1"/>
  <c r="A15" i="7"/>
  <c r="D15" i="7" s="1"/>
  <c r="B15" i="6"/>
  <c r="A14" i="6"/>
  <c r="D14" i="6" s="1"/>
  <c r="B16" i="2"/>
  <c r="B17" i="7" l="1"/>
  <c r="A16" i="7"/>
  <c r="D16" i="7" s="1"/>
  <c r="A15" i="6"/>
  <c r="D15" i="6" s="1"/>
  <c r="B16" i="6"/>
  <c r="B17" i="2"/>
  <c r="B18" i="7" l="1"/>
  <c r="A17" i="7"/>
  <c r="D17" i="7" s="1"/>
  <c r="A16" i="6"/>
  <c r="D16" i="6" s="1"/>
  <c r="B17" i="6"/>
  <c r="B18" i="2"/>
  <c r="B19" i="7" l="1"/>
  <c r="A18" i="7"/>
  <c r="D18" i="7" s="1"/>
  <c r="A17" i="6"/>
  <c r="D17" i="6" s="1"/>
  <c r="B18" i="6"/>
  <c r="B19" i="2"/>
  <c r="A19" i="7" l="1"/>
  <c r="D19" i="7" s="1"/>
  <c r="B20" i="7"/>
  <c r="B19" i="6"/>
  <c r="A18" i="6"/>
  <c r="D18" i="6" s="1"/>
  <c r="B20" i="2"/>
  <c r="B21" i="7" l="1"/>
  <c r="A20" i="7"/>
  <c r="D20" i="7" s="1"/>
  <c r="B20" i="6"/>
  <c r="A19" i="6"/>
  <c r="D19" i="6" s="1"/>
  <c r="B21" i="2"/>
  <c r="A21" i="7" l="1"/>
  <c r="D21" i="7" s="1"/>
  <c r="B22" i="7"/>
  <c r="B21" i="6"/>
  <c r="A20" i="6"/>
  <c r="D20" i="6" s="1"/>
  <c r="B22" i="2"/>
  <c r="B23" i="7" l="1"/>
  <c r="A22" i="7"/>
  <c r="D22" i="7" s="1"/>
  <c r="B22" i="6"/>
  <c r="A21" i="6"/>
  <c r="D21" i="6" s="1"/>
  <c r="B23" i="2"/>
  <c r="B24" i="7" l="1"/>
  <c r="A23" i="7"/>
  <c r="D23" i="7" s="1"/>
  <c r="A22" i="6"/>
  <c r="D22" i="6" s="1"/>
  <c r="B23" i="6"/>
  <c r="B24" i="2"/>
  <c r="B25" i="7" l="1"/>
  <c r="A25" i="7" s="1"/>
  <c r="D25" i="7" s="1"/>
  <c r="A24" i="7"/>
  <c r="D24" i="7" s="1"/>
  <c r="E24" i="7" s="1"/>
  <c r="E23" i="7" s="1"/>
  <c r="E22" i="7" s="1"/>
  <c r="E21" i="7" s="1"/>
  <c r="E20" i="7" s="1"/>
  <c r="E19" i="7" s="1"/>
  <c r="E18" i="7" s="1"/>
  <c r="E17" i="7" s="1"/>
  <c r="E16" i="7" s="1"/>
  <c r="E15" i="7" s="1"/>
  <c r="E14" i="7" s="1"/>
  <c r="E13" i="7" s="1"/>
  <c r="E12" i="7" s="1"/>
  <c r="E11" i="7" s="1"/>
  <c r="E10" i="7" s="1"/>
  <c r="E9" i="7" s="1"/>
  <c r="E8" i="7" s="1"/>
  <c r="E7" i="7" s="1"/>
  <c r="E6" i="7" s="1"/>
  <c r="E5" i="7" s="1"/>
  <c r="B24" i="6"/>
  <c r="A23" i="6"/>
  <c r="D23" i="6" s="1"/>
  <c r="B25" i="2"/>
  <c r="B25" i="6" l="1"/>
  <c r="A25" i="6" s="1"/>
  <c r="D25" i="6" s="1"/>
  <c r="A24" i="6"/>
  <c r="D24" i="6" s="1"/>
  <c r="E24" i="6" s="1"/>
  <c r="E23" i="6" s="1"/>
  <c r="E22" i="6" s="1"/>
  <c r="E21" i="6" s="1"/>
  <c r="E20" i="6" s="1"/>
  <c r="E19" i="6" s="1"/>
  <c r="E18" i="6" s="1"/>
  <c r="E17" i="6" s="1"/>
  <c r="E16" i="6" s="1"/>
  <c r="E15" i="6" s="1"/>
  <c r="E14" i="6" s="1"/>
  <c r="E13" i="6" s="1"/>
  <c r="E12" i="6" s="1"/>
  <c r="E11" i="6" s="1"/>
  <c r="E10" i="6" s="1"/>
  <c r="E9" i="6" s="1"/>
  <c r="E8" i="6" s="1"/>
  <c r="E7" i="6" s="1"/>
  <c r="E6" i="6" s="1"/>
  <c r="E5" i="6" s="1"/>
  <c r="B26" i="2"/>
  <c r="B27" i="2" l="1"/>
  <c r="B28" i="2" l="1"/>
  <c r="B29" i="2" l="1"/>
  <c r="B30" i="2" l="1"/>
  <c r="B31" i="2" l="1"/>
  <c r="B32" i="2" l="1"/>
  <c r="B33" i="2" l="1"/>
  <c r="B34" i="2" l="1"/>
  <c r="B35" i="2" l="1"/>
  <c r="B36" i="2" l="1"/>
  <c r="B37" i="2" l="1"/>
  <c r="B38" i="2" l="1"/>
  <c r="B39" i="2" l="1"/>
  <c r="B40" i="2" l="1"/>
  <c r="B41" i="2" l="1"/>
  <c r="B42" i="2" l="1"/>
  <c r="B43" i="2" l="1"/>
  <c r="B44" i="2" l="1"/>
  <c r="B45" i="2" l="1"/>
  <c r="B46" i="2" l="1"/>
  <c r="B47" i="2" l="1"/>
  <c r="B48" i="2" l="1"/>
  <c r="B49" i="2" l="1"/>
  <c r="B50" i="2" l="1"/>
  <c r="B51" i="2" l="1"/>
  <c r="B52" i="2" l="1"/>
  <c r="B53" i="2" l="1"/>
  <c r="B54" i="2" l="1"/>
  <c r="B55" i="2" l="1"/>
  <c r="B56" i="2" l="1"/>
  <c r="B57" i="2" l="1"/>
  <c r="B58" i="2" l="1"/>
  <c r="B59" i="2" l="1"/>
  <c r="B60" i="2" l="1"/>
  <c r="B61" i="2" l="1"/>
  <c r="B62" i="2" l="1"/>
  <c r="B63" i="2" l="1"/>
  <c r="B64" i="2" l="1"/>
  <c r="B65" i="2" l="1"/>
  <c r="B66" i="2" l="1"/>
  <c r="B67" i="2" l="1"/>
  <c r="B68" i="2" l="1"/>
  <c r="B69" i="2" l="1"/>
  <c r="B70" i="2" l="1"/>
  <c r="B71" i="2" l="1"/>
  <c r="B72" i="2" l="1"/>
  <c r="B73" i="2" l="1"/>
  <c r="B74" i="2" l="1"/>
  <c r="B75" i="2" l="1"/>
  <c r="B76" i="2" l="1"/>
  <c r="B77" i="2" l="1"/>
  <c r="B78" i="2" l="1"/>
  <c r="B79" i="2" l="1"/>
  <c r="B80" i="2" l="1"/>
  <c r="B81" i="2" l="1"/>
  <c r="B82" i="2" l="1"/>
  <c r="B83" i="2" l="1"/>
  <c r="B84" i="2" l="1"/>
  <c r="B85" i="2" l="1"/>
  <c r="B86" i="2" l="1"/>
  <c r="B87" i="2" l="1"/>
  <c r="B88" i="2" l="1"/>
  <c r="B89" i="2" l="1"/>
  <c r="B90" i="2" l="1"/>
  <c r="B91" i="2" l="1"/>
  <c r="B92" i="2" l="1"/>
  <c r="B93" i="2" l="1"/>
  <c r="B94" i="2" l="1"/>
  <c r="B95" i="2" l="1"/>
  <c r="B96" i="2" l="1"/>
  <c r="B97" i="2" l="1"/>
  <c r="B98" i="2" l="1"/>
  <c r="B99" i="2" l="1"/>
  <c r="B100" i="2" l="1"/>
  <c r="B101" i="2" l="1"/>
  <c r="B102" i="2" l="1"/>
  <c r="B103" i="2" l="1"/>
  <c r="B104" i="2" l="1"/>
  <c r="B105" i="2" l="1"/>
  <c r="B106" i="2" l="1"/>
  <c r="B107" i="2" l="1"/>
  <c r="B108" i="2" l="1"/>
  <c r="B109" i="2" l="1"/>
  <c r="B110" i="2" l="1"/>
  <c r="B111" i="2" l="1"/>
  <c r="B112" i="2" l="1"/>
  <c r="B113" i="2" l="1"/>
  <c r="B114" i="2" l="1"/>
  <c r="B115" i="2" l="1"/>
  <c r="B116" i="2" l="1"/>
  <c r="B117" i="2" l="1"/>
  <c r="B118" i="2" l="1"/>
  <c r="B119" i="2" l="1"/>
  <c r="B120" i="2" l="1"/>
  <c r="B121" i="2" l="1"/>
  <c r="B122" i="2" l="1"/>
  <c r="B123" i="2" l="1"/>
  <c r="B124" i="2" l="1"/>
  <c r="B125" i="2" l="1"/>
  <c r="B126" i="2" l="1"/>
  <c r="B127" i="2" l="1"/>
  <c r="B128" i="2" l="1"/>
  <c r="B129" i="2" l="1"/>
  <c r="B130" i="2" l="1"/>
  <c r="B131" i="2" l="1"/>
  <c r="B132" i="2" l="1"/>
  <c r="B133" i="2" l="1"/>
  <c r="B134" i="2" l="1"/>
  <c r="B135" i="2" l="1"/>
  <c r="B136" i="2" l="1"/>
  <c r="B137" i="2" l="1"/>
  <c r="B138" i="2" l="1"/>
  <c r="B139" i="2" l="1"/>
  <c r="B140" i="2" l="1"/>
  <c r="B141" i="2" l="1"/>
  <c r="B142" i="2" l="1"/>
  <c r="B143" i="2" l="1"/>
  <c r="B144" i="2" l="1"/>
  <c r="B145" i="2" l="1"/>
  <c r="B146" i="2" l="1"/>
  <c r="B147" i="2" l="1"/>
  <c r="B148" i="2" l="1"/>
  <c r="B149" i="2" l="1"/>
  <c r="B150" i="2" l="1"/>
  <c r="B151" i="2" l="1"/>
  <c r="B152" i="2" l="1"/>
  <c r="B153" i="2" l="1"/>
  <c r="B154" i="2" l="1"/>
  <c r="B155" i="2" l="1"/>
  <c r="B156" i="2" l="1"/>
  <c r="B157" i="2" l="1"/>
  <c r="B158" i="2" l="1"/>
  <c r="B159" i="2" l="1"/>
  <c r="B160" i="2" l="1"/>
  <c r="B161" i="2" l="1"/>
  <c r="B162" i="2" l="1"/>
  <c r="B163" i="2" l="1"/>
  <c r="B164" i="2" l="1"/>
  <c r="B165" i="2" l="1"/>
  <c r="B166" i="2" l="1"/>
  <c r="B167" i="2" l="1"/>
  <c r="B168" i="2" l="1"/>
  <c r="B169" i="2" l="1"/>
  <c r="B170" i="2" l="1"/>
  <c r="B171" i="2" l="1"/>
  <c r="B172" i="2" l="1"/>
  <c r="B173" i="2" l="1"/>
  <c r="B174" i="2" l="1"/>
  <c r="B175" i="2" l="1"/>
  <c r="B176" i="2" l="1"/>
  <c r="B177" i="2" l="1"/>
  <c r="B178" i="2" l="1"/>
  <c r="B179" i="2" l="1"/>
  <c r="B180" i="2" l="1"/>
  <c r="B181" i="2" l="1"/>
  <c r="B182" i="2" l="1"/>
  <c r="B183" i="2" l="1"/>
  <c r="B184" i="2" l="1"/>
  <c r="B185" i="2" l="1"/>
  <c r="B186" i="2" l="1"/>
  <c r="B187" i="2" l="1"/>
  <c r="B188" i="2" l="1"/>
  <c r="B189" i="2" l="1"/>
  <c r="B190" i="2" l="1"/>
  <c r="B191" i="2" l="1"/>
  <c r="B192" i="2" l="1"/>
  <c r="B193" i="2" l="1"/>
  <c r="B194" i="2" l="1"/>
  <c r="B195" i="2" l="1"/>
  <c r="B196" i="2" l="1"/>
  <c r="B197" i="2" l="1"/>
  <c r="B198" i="2" l="1"/>
  <c r="B199" i="2" l="1"/>
  <c r="B200" i="2" l="1"/>
  <c r="B201" i="2" l="1"/>
  <c r="B202" i="2" l="1"/>
  <c r="B203" i="2" l="1"/>
  <c r="B204" i="2" l="1"/>
  <c r="B205" i="2" l="1"/>
  <c r="B206" i="2" l="1"/>
  <c r="B207" i="2" l="1"/>
  <c r="B208" i="2" l="1"/>
  <c r="B209" i="2" l="1"/>
  <c r="B210" i="2" l="1"/>
  <c r="B211" i="2" l="1"/>
  <c r="B212" i="2" l="1"/>
  <c r="B213" i="2" l="1"/>
  <c r="B214" i="2" l="1"/>
  <c r="B215" i="2" l="1"/>
  <c r="B216" i="2" l="1"/>
  <c r="B217" i="2" l="1"/>
  <c r="B218" i="2" l="1"/>
  <c r="B219" i="2" l="1"/>
  <c r="B220" i="2" l="1"/>
  <c r="B221" i="2" l="1"/>
  <c r="B222" i="2" l="1"/>
  <c r="B223" i="2" l="1"/>
  <c r="B224" i="2" l="1"/>
  <c r="B225" i="2" l="1"/>
  <c r="B226" i="2" l="1"/>
  <c r="B227" i="2" l="1"/>
  <c r="B228" i="2" l="1"/>
  <c r="B229" i="2" l="1"/>
  <c r="B230" i="2" l="1"/>
  <c r="B231" i="2" l="1"/>
  <c r="B232" i="2" l="1"/>
  <c r="B233" i="2" l="1"/>
  <c r="B234" i="2" l="1"/>
  <c r="B235" i="2" l="1"/>
  <c r="B236" i="2" l="1"/>
  <c r="B237" i="2" l="1"/>
  <c r="B238" i="2" l="1"/>
  <c r="B239" i="2" l="1"/>
  <c r="B240" i="2" l="1"/>
  <c r="B241" i="2" l="1"/>
  <c r="B242" i="2" l="1"/>
  <c r="B243" i="2" l="1"/>
  <c r="B244" i="2" l="1"/>
  <c r="B245" i="2" l="1"/>
  <c r="B246" i="2" l="1"/>
</calcChain>
</file>

<file path=xl/sharedStrings.xml><?xml version="1.0" encoding="utf-8"?>
<sst xmlns="http://schemas.openxmlformats.org/spreadsheetml/2006/main" count="45" uniqueCount="19">
  <si>
    <t>P</t>
  </si>
  <si>
    <t>S</t>
  </si>
  <si>
    <t>h</t>
  </si>
  <si>
    <t>delta</t>
  </si>
  <si>
    <t>mu</t>
  </si>
  <si>
    <t>t</t>
  </si>
  <si>
    <t>tV</t>
  </si>
  <si>
    <t>E</t>
  </si>
  <si>
    <t>e</t>
  </si>
  <si>
    <t>i</t>
  </si>
  <si>
    <t>v</t>
  </si>
  <si>
    <t>x</t>
  </si>
  <si>
    <t>[x]+t</t>
  </si>
  <si>
    <t>[x]</t>
  </si>
  <si>
    <t>p[x]+t</t>
  </si>
  <si>
    <t>q[x]+t</t>
  </si>
  <si>
    <t>[x] + t</t>
  </si>
  <si>
    <t>e (t= 1 - 19)</t>
  </si>
  <si>
    <t>e (t=0)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</si>
</sst>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F5FC-6BFE-4E24-B7C8-5C7468545F8F}">
  <dimension ref="A1:E246"/>
  <sheetViews>
    <sheetView zoomScale="113" workbookViewId="0">
      <selection activeCell="F1" sqref="F1"/>
    </sheetView>
  </sheetViews>
  <sheetFormatPr defaultRowHeight="14.75" x14ac:dyDescent="0.75"/>
  <cols>
    <col min="2" max="2" width="11.90625" customWidth="1"/>
    <col min="3" max="3" width="14.5" customWidth="1"/>
  </cols>
  <sheetData>
    <row r="1" spans="1:5" x14ac:dyDescent="0.75">
      <c r="A1" t="s">
        <v>11</v>
      </c>
      <c r="B1" t="s">
        <v>0</v>
      </c>
      <c r="C1" t="s">
        <v>1</v>
      </c>
      <c r="D1" t="s">
        <v>2</v>
      </c>
    </row>
    <row r="2" spans="1:5" x14ac:dyDescent="0.75">
      <c r="A2">
        <f>30</f>
        <v>30</v>
      </c>
      <c r="B2">
        <f>2500</f>
        <v>2500</v>
      </c>
      <c r="C2">
        <f>100000</f>
        <v>100000</v>
      </c>
      <c r="D2">
        <f>1/12</f>
        <v>8.3333333333333329E-2</v>
      </c>
    </row>
    <row r="5" spans="1:5" x14ac:dyDescent="0.75">
      <c r="A5" t="s">
        <v>16</v>
      </c>
      <c r="B5" t="s">
        <v>5</v>
      </c>
      <c r="C5" t="s">
        <v>4</v>
      </c>
      <c r="D5" t="s">
        <v>3</v>
      </c>
      <c r="E5" t="s">
        <v>6</v>
      </c>
    </row>
    <row r="6" spans="1:5" x14ac:dyDescent="0.75">
      <c r="A6">
        <f>$A$2+B6</f>
        <v>30</v>
      </c>
      <c r="B6">
        <f>0</f>
        <v>0</v>
      </c>
      <c r="C6">
        <f>(0.00022  + 0.0000027*1.124^A6)*0.9^(2-B6)</f>
        <v>2.5111856611734369E-4</v>
      </c>
      <c r="D6">
        <f>0.04</f>
        <v>0.04</v>
      </c>
      <c r="E6">
        <f t="shared" ref="E6:E69" si="0">(E7 -$D$2*$B$2+$D$2*C6*$C$2)/(1+$D$2*D6+$D$2*C6)</f>
        <v>10946.256734074912</v>
      </c>
    </row>
    <row r="7" spans="1:5" x14ac:dyDescent="0.75">
      <c r="A7">
        <f t="shared" ref="A7:A70" si="1">$A$2+B7</f>
        <v>30.083333333333332</v>
      </c>
      <c r="B7">
        <f>B6+$D$2</f>
        <v>8.3333333333333329E-2</v>
      </c>
      <c r="C7">
        <f t="shared" ref="C7:C30" si="2">(0.00022  + 0.0000027*1.124^A7)*0.9^(2-B7)</f>
        <v>2.5405318146655377E-4</v>
      </c>
      <c r="D7">
        <f t="shared" ref="D7:D70" si="3">0.04</f>
        <v>0.04</v>
      </c>
      <c r="E7">
        <f t="shared" si="0"/>
        <v>11189.21400249547</v>
      </c>
    </row>
    <row r="8" spans="1:5" x14ac:dyDescent="0.75">
      <c r="A8">
        <f t="shared" si="1"/>
        <v>30.166666666666668</v>
      </c>
      <c r="B8">
        <f>B7+$D$2</f>
        <v>0.16666666666666666</v>
      </c>
      <c r="C8">
        <f t="shared" si="2"/>
        <v>2.570271372431229E-4</v>
      </c>
      <c r="D8">
        <f t="shared" si="3"/>
        <v>0.04</v>
      </c>
      <c r="E8">
        <f t="shared" si="0"/>
        <v>11432.964493942854</v>
      </c>
    </row>
    <row r="9" spans="1:5" x14ac:dyDescent="0.75">
      <c r="A9">
        <f t="shared" si="1"/>
        <v>30.25</v>
      </c>
      <c r="B9">
        <f t="shared" ref="B9:B72" si="4">B8+$D$2</f>
        <v>0.25</v>
      </c>
      <c r="C9">
        <f t="shared" si="2"/>
        <v>2.6004103201409041E-4</v>
      </c>
      <c r="D9">
        <f t="shared" si="3"/>
        <v>0.04</v>
      </c>
      <c r="E9">
        <f t="shared" si="0"/>
        <v>11677.510697956812</v>
      </c>
    </row>
    <row r="10" spans="1:5" x14ac:dyDescent="0.75">
      <c r="A10">
        <f t="shared" si="1"/>
        <v>30.333333333333332</v>
      </c>
      <c r="B10">
        <f t="shared" si="4"/>
        <v>0.33333333333333331</v>
      </c>
      <c r="C10">
        <f t="shared" si="2"/>
        <v>2.6309547432909702E-4</v>
      </c>
      <c r="D10">
        <f t="shared" si="3"/>
        <v>0.04</v>
      </c>
      <c r="E10">
        <f t="shared" si="0"/>
        <v>11922.855111010989</v>
      </c>
    </row>
    <row r="11" spans="1:5" x14ac:dyDescent="0.75">
      <c r="A11">
        <f t="shared" si="1"/>
        <v>30.416666666666668</v>
      </c>
      <c r="B11">
        <f t="shared" si="4"/>
        <v>0.41666666666666663</v>
      </c>
      <c r="C11">
        <f t="shared" si="2"/>
        <v>2.6619108289635432E-4</v>
      </c>
      <c r="D11">
        <f t="shared" si="3"/>
        <v>0.04</v>
      </c>
      <c r="E11">
        <f t="shared" si="0"/>
        <v>12169.000236530019</v>
      </c>
    </row>
    <row r="12" spans="1:5" x14ac:dyDescent="0.75">
      <c r="A12">
        <f t="shared" si="1"/>
        <v>30.5</v>
      </c>
      <c r="B12">
        <f t="shared" si="4"/>
        <v>0.49999999999999994</v>
      </c>
      <c r="C12">
        <f t="shared" si="2"/>
        <v>2.6932848676180956E-4</v>
      </c>
      <c r="D12">
        <f t="shared" si="3"/>
        <v>0.04</v>
      </c>
      <c r="E12">
        <f t="shared" si="0"/>
        <v>12415.948584906879</v>
      </c>
    </row>
    <row r="13" spans="1:5" x14ac:dyDescent="0.75">
      <c r="A13">
        <f t="shared" si="1"/>
        <v>30.583333333333332</v>
      </c>
      <c r="B13">
        <f t="shared" si="4"/>
        <v>0.58333333333333326</v>
      </c>
      <c r="C13">
        <f t="shared" si="2"/>
        <v>2.7250832549156553E-4</v>
      </c>
      <c r="D13">
        <f t="shared" si="3"/>
        <v>0.04</v>
      </c>
      <c r="E13">
        <f t="shared" si="0"/>
        <v>12663.702673520562</v>
      </c>
    </row>
    <row r="14" spans="1:5" x14ac:dyDescent="0.75">
      <c r="A14">
        <f t="shared" si="1"/>
        <v>30.666666666666668</v>
      </c>
      <c r="B14">
        <f t="shared" si="4"/>
        <v>0.66666666666666663</v>
      </c>
      <c r="C14">
        <f t="shared" si="2"/>
        <v>2.7573124935761461E-4</v>
      </c>
      <c r="D14">
        <f t="shared" si="3"/>
        <v>0.04</v>
      </c>
      <c r="E14">
        <f t="shared" si="0"/>
        <v>12912.265026754043</v>
      </c>
    </row>
    <row r="15" spans="1:5" x14ac:dyDescent="0.75">
      <c r="A15">
        <f t="shared" si="1"/>
        <v>30.75</v>
      </c>
      <c r="B15">
        <f t="shared" si="4"/>
        <v>0.75</v>
      </c>
      <c r="C15">
        <f t="shared" si="2"/>
        <v>2.7899791952694895E-4</v>
      </c>
      <c r="D15">
        <f t="shared" si="3"/>
        <v>0.04</v>
      </c>
      <c r="E15">
        <f t="shared" si="0"/>
        <v>13161.638176012568</v>
      </c>
    </row>
    <row r="16" spans="1:5" x14ac:dyDescent="0.75">
      <c r="A16">
        <f t="shared" si="1"/>
        <v>30.833333333333332</v>
      </c>
      <c r="B16">
        <f t="shared" si="4"/>
        <v>0.83333333333333337</v>
      </c>
      <c r="C16">
        <f t="shared" si="2"/>
        <v>2.8230900825410824E-4</v>
      </c>
      <c r="D16">
        <f t="shared" si="3"/>
        <v>0.04</v>
      </c>
      <c r="E16">
        <f t="shared" si="0"/>
        <v>13411.824659742277</v>
      </c>
    </row>
    <row r="17" spans="1:5" x14ac:dyDescent="0.75">
      <c r="A17">
        <f t="shared" si="1"/>
        <v>30.916666666666668</v>
      </c>
      <c r="B17">
        <f t="shared" si="4"/>
        <v>0.91666666666666674</v>
      </c>
      <c r="C17">
        <f t="shared" si="2"/>
        <v>2.856651990772292E-4</v>
      </c>
      <c r="D17">
        <f t="shared" si="3"/>
        <v>0.04</v>
      </c>
      <c r="E17">
        <f t="shared" si="0"/>
        <v>13662.827023449181</v>
      </c>
    </row>
    <row r="18" spans="1:5" x14ac:dyDescent="0.75">
      <c r="A18">
        <f t="shared" si="1"/>
        <v>31</v>
      </c>
      <c r="B18">
        <f t="shared" si="4"/>
        <v>1</v>
      </c>
      <c r="C18">
        <f t="shared" si="2"/>
        <v>2.8906718701766037E-4</v>
      </c>
      <c r="D18">
        <f t="shared" si="3"/>
        <v>0.04</v>
      </c>
      <c r="E18">
        <f t="shared" si="0"/>
        <v>13914.647819718504</v>
      </c>
    </row>
    <row r="19" spans="1:5" x14ac:dyDescent="0.75">
      <c r="A19">
        <f t="shared" si="1"/>
        <v>31.083333333333332</v>
      </c>
      <c r="B19">
        <f t="shared" si="4"/>
        <v>1.0833333333333333</v>
      </c>
      <c r="C19">
        <f t="shared" si="2"/>
        <v>2.9251567878320973E-4</v>
      </c>
      <c r="D19">
        <f t="shared" si="3"/>
        <v>0.04</v>
      </c>
      <c r="E19">
        <f t="shared" si="0"/>
        <v>14167.289608234385</v>
      </c>
    </row>
    <row r="20" spans="1:5" x14ac:dyDescent="0.75">
      <c r="A20">
        <f t="shared" si="1"/>
        <v>31.166666666666668</v>
      </c>
      <c r="B20">
        <f t="shared" si="4"/>
        <v>1.1666666666666665</v>
      </c>
      <c r="C20">
        <f t="shared" si="2"/>
        <v>2.9601139297509045E-4</v>
      </c>
      <c r="D20">
        <f t="shared" si="3"/>
        <v>0.04</v>
      </c>
      <c r="E20">
        <f t="shared" si="0"/>
        <v>14420.754955799997</v>
      </c>
    </row>
    <row r="21" spans="1:5" x14ac:dyDescent="0.75">
      <c r="A21">
        <f t="shared" si="1"/>
        <v>31.25</v>
      </c>
      <c r="B21">
        <f t="shared" si="4"/>
        <v>1.2499999999999998</v>
      </c>
      <c r="C21">
        <f t="shared" si="2"/>
        <v>2.995550602986328E-4</v>
      </c>
      <c r="D21">
        <f t="shared" si="3"/>
        <v>0.04</v>
      </c>
      <c r="E21">
        <f t="shared" si="0"/>
        <v>14675.04643635806</v>
      </c>
    </row>
    <row r="22" spans="1:5" x14ac:dyDescent="0.75">
      <c r="A22">
        <f t="shared" si="1"/>
        <v>31.333333333333332</v>
      </c>
      <c r="B22">
        <f t="shared" si="4"/>
        <v>1.333333333333333</v>
      </c>
      <c r="C22">
        <f t="shared" si="2"/>
        <v>3.0314742377783479E-4</v>
      </c>
      <c r="D22">
        <f t="shared" si="3"/>
        <v>0.04</v>
      </c>
      <c r="E22">
        <f t="shared" si="0"/>
        <v>14930.166631011776</v>
      </c>
    </row>
    <row r="23" spans="1:5" x14ac:dyDescent="0.75">
      <c r="A23">
        <f t="shared" si="1"/>
        <v>31.416666666666668</v>
      </c>
      <c r="B23">
        <f t="shared" si="4"/>
        <v>1.4166666666666663</v>
      </c>
      <c r="C23">
        <f t="shared" si="2"/>
        <v>3.0678923897381808E-4</v>
      </c>
      <c r="D23">
        <f t="shared" si="3"/>
        <v>0.04</v>
      </c>
      <c r="E23">
        <f t="shared" si="0"/>
        <v>15186.118128046232</v>
      </c>
    </row>
    <row r="24" spans="1:5" x14ac:dyDescent="0.75">
      <c r="A24">
        <f t="shared" si="1"/>
        <v>31.5</v>
      </c>
      <c r="B24">
        <f t="shared" si="4"/>
        <v>1.4999999999999996</v>
      </c>
      <c r="C24">
        <f t="shared" si="2"/>
        <v>3.1048127420726419E-4</v>
      </c>
      <c r="D24">
        <f t="shared" si="3"/>
        <v>0.04</v>
      </c>
      <c r="E24">
        <f t="shared" si="0"/>
        <v>15442.903522950228</v>
      </c>
    </row>
    <row r="25" spans="1:5" x14ac:dyDescent="0.75">
      <c r="A25">
        <f t="shared" si="1"/>
        <v>31.583333333333332</v>
      </c>
      <c r="B25">
        <f t="shared" si="4"/>
        <v>1.5833333333333328</v>
      </c>
      <c r="C25">
        <f t="shared" si="2"/>
        <v>3.1422431078490404E-4</v>
      </c>
      <c r="D25">
        <f t="shared" si="3"/>
        <v>0.04</v>
      </c>
      <c r="E25">
        <f t="shared" si="0"/>
        <v>15700.525418438609</v>
      </c>
    </row>
    <row r="26" spans="1:5" x14ac:dyDescent="0.75">
      <c r="A26">
        <f t="shared" si="1"/>
        <v>31.666666666666664</v>
      </c>
      <c r="B26">
        <f t="shared" si="4"/>
        <v>1.6666666666666661</v>
      </c>
      <c r="C26">
        <f t="shared" si="2"/>
        <v>3.1801914323013484E-4</v>
      </c>
      <c r="D26">
        <f t="shared" si="3"/>
        <v>0.04</v>
      </c>
      <c r="E26">
        <f t="shared" si="0"/>
        <v>15958.986424475079</v>
      </c>
    </row>
    <row r="27" spans="1:5" x14ac:dyDescent="0.75">
      <c r="A27">
        <f t="shared" si="1"/>
        <v>31.75</v>
      </c>
      <c r="B27">
        <f t="shared" si="4"/>
        <v>1.7499999999999993</v>
      </c>
      <c r="C27">
        <f t="shared" si="2"/>
        <v>3.218665795178408E-4</v>
      </c>
      <c r="D27">
        <f t="shared" si="3"/>
        <v>0.04</v>
      </c>
      <c r="E27">
        <f t="shared" si="0"/>
        <v>16218.28915829554</v>
      </c>
    </row>
    <row r="28" spans="1:5" x14ac:dyDescent="0.75">
      <c r="A28">
        <f t="shared" si="1"/>
        <v>31.833333333333332</v>
      </c>
      <c r="B28">
        <f t="shared" si="4"/>
        <v>1.8333333333333326</v>
      </c>
      <c r="C28">
        <f t="shared" si="2"/>
        <v>3.2576744131349597E-4</v>
      </c>
      <c r="D28">
        <f t="shared" si="3"/>
        <v>0.04</v>
      </c>
      <c r="E28">
        <f t="shared" si="0"/>
        <v>16478.436244431963</v>
      </c>
    </row>
    <row r="29" spans="1:5" x14ac:dyDescent="0.75">
      <c r="A29">
        <f t="shared" si="1"/>
        <v>31.916666666666664</v>
      </c>
      <c r="B29">
        <f t="shared" si="4"/>
        <v>1.9166666666666659</v>
      </c>
      <c r="C29">
        <f t="shared" si="2"/>
        <v>3.2972256421662802E-4</v>
      </c>
      <c r="D29">
        <f t="shared" si="3"/>
        <v>0.04</v>
      </c>
      <c r="E29">
        <f t="shared" si="0"/>
        <v>16739.430314736808</v>
      </c>
    </row>
    <row r="30" spans="1:5" x14ac:dyDescent="0.75">
      <c r="A30">
        <f t="shared" si="1"/>
        <v>32</v>
      </c>
      <c r="B30">
        <f t="shared" si="4"/>
        <v>1.9999999999999991</v>
      </c>
      <c r="C30">
        <f t="shared" si="2"/>
        <v>3.3373279800872247E-4</v>
      </c>
      <c r="D30">
        <f t="shared" si="3"/>
        <v>0.04</v>
      </c>
      <c r="E30">
        <f t="shared" si="0"/>
        <v>17001.274008408036</v>
      </c>
    </row>
    <row r="31" spans="1:5" x14ac:dyDescent="0.75">
      <c r="A31">
        <f t="shared" si="1"/>
        <v>32.083333333333336</v>
      </c>
      <c r="B31">
        <f t="shared" si="4"/>
        <v>2.0833333333333326</v>
      </c>
      <c r="C31">
        <f>(0.00022  + 0.0000027*1.124^A31)</f>
        <v>3.3484609940639899E-4</v>
      </c>
      <c r="D31">
        <f t="shared" si="3"/>
        <v>0.04</v>
      </c>
      <c r="E31">
        <f t="shared" si="0"/>
        <v>17263.9699720147</v>
      </c>
    </row>
    <row r="32" spans="1:5" x14ac:dyDescent="0.75">
      <c r="A32">
        <f t="shared" si="1"/>
        <v>32.166666666666664</v>
      </c>
      <c r="B32">
        <f t="shared" si="4"/>
        <v>2.1666666666666661</v>
      </c>
      <c r="C32">
        <f t="shared" ref="C32:C95" si="5">(0.00022  + 0.0000027*1.124^A32)</f>
        <v>3.3597029862795531E-4</v>
      </c>
      <c r="D32">
        <f t="shared" si="3"/>
        <v>0.04</v>
      </c>
      <c r="E32">
        <f t="shared" si="0"/>
        <v>17527.541218843478</v>
      </c>
    </row>
    <row r="33" spans="1:5" x14ac:dyDescent="0.75">
      <c r="A33">
        <f t="shared" si="1"/>
        <v>32.25</v>
      </c>
      <c r="B33">
        <f t="shared" si="4"/>
        <v>2.2499999999999996</v>
      </c>
      <c r="C33">
        <f t="shared" si="5"/>
        <v>3.3710550234941449E-4</v>
      </c>
      <c r="D33">
        <f t="shared" si="3"/>
        <v>0.04</v>
      </c>
      <c r="E33">
        <f t="shared" si="0"/>
        <v>17791.99066485585</v>
      </c>
    </row>
    <row r="34" spans="1:5" x14ac:dyDescent="0.75">
      <c r="A34">
        <f t="shared" si="1"/>
        <v>32.333333333333336</v>
      </c>
      <c r="B34">
        <f t="shared" si="4"/>
        <v>2.333333333333333</v>
      </c>
      <c r="C34">
        <f t="shared" si="5"/>
        <v>3.3825181829102362E-4</v>
      </c>
      <c r="D34">
        <f t="shared" si="3"/>
        <v>0.04</v>
      </c>
      <c r="E34">
        <f t="shared" si="0"/>
        <v>18057.321236048363</v>
      </c>
    </row>
    <row r="35" spans="1:5" x14ac:dyDescent="0.75">
      <c r="A35">
        <f t="shared" si="1"/>
        <v>32.416666666666664</v>
      </c>
      <c r="B35">
        <f t="shared" si="4"/>
        <v>2.4166666666666665</v>
      </c>
      <c r="C35">
        <f t="shared" si="5"/>
        <v>3.3940935522747606E-4</v>
      </c>
      <c r="D35">
        <f t="shared" si="3"/>
        <v>0.04</v>
      </c>
      <c r="E35">
        <f t="shared" si="0"/>
        <v>18323.535868494564</v>
      </c>
    </row>
    <row r="36" spans="1:5" x14ac:dyDescent="0.75">
      <c r="A36">
        <f t="shared" si="1"/>
        <v>32.5</v>
      </c>
      <c r="B36">
        <f t="shared" si="4"/>
        <v>2.5</v>
      </c>
      <c r="C36">
        <f t="shared" si="5"/>
        <v>3.4057822299823291E-4</v>
      </c>
      <c r="D36">
        <f t="shared" si="3"/>
        <v>0.04</v>
      </c>
      <c r="E36">
        <f t="shared" si="0"/>
        <v>18590.637508387201</v>
      </c>
    </row>
    <row r="37" spans="1:5" x14ac:dyDescent="0.75">
      <c r="A37">
        <f t="shared" si="1"/>
        <v>32.583333333333336</v>
      </c>
      <c r="B37">
        <f t="shared" si="4"/>
        <v>2.5833333333333335</v>
      </c>
      <c r="C37">
        <f t="shared" si="5"/>
        <v>3.4175853251794581E-4</v>
      </c>
      <c r="D37">
        <f t="shared" si="3"/>
        <v>0.04</v>
      </c>
      <c r="E37">
        <f t="shared" si="0"/>
        <v>18858.629112080755</v>
      </c>
    </row>
    <row r="38" spans="1:5" x14ac:dyDescent="0.75">
      <c r="A38">
        <f t="shared" si="1"/>
        <v>32.666666666666664</v>
      </c>
      <c r="B38">
        <f t="shared" si="4"/>
        <v>2.666666666666667</v>
      </c>
      <c r="C38">
        <f t="shared" si="5"/>
        <v>3.429503957869816E-4</v>
      </c>
      <c r="D38">
        <f t="shared" si="3"/>
        <v>0.04</v>
      </c>
      <c r="E38">
        <f t="shared" si="0"/>
        <v>19127.513646134263</v>
      </c>
    </row>
    <row r="39" spans="1:5" x14ac:dyDescent="0.75">
      <c r="A39">
        <f t="shared" si="1"/>
        <v>32.75</v>
      </c>
      <c r="B39">
        <f t="shared" si="4"/>
        <v>2.7500000000000004</v>
      </c>
      <c r="C39">
        <f t="shared" si="5"/>
        <v>3.4415392590205027E-4</v>
      </c>
      <c r="D39">
        <f t="shared" si="3"/>
        <v>0.04</v>
      </c>
      <c r="E39">
        <f t="shared" si="0"/>
        <v>19397.294087354428</v>
      </c>
    </row>
    <row r="40" spans="1:5" x14ac:dyDescent="0.75">
      <c r="A40">
        <f t="shared" si="1"/>
        <v>32.833333333333336</v>
      </c>
      <c r="B40">
        <f t="shared" si="4"/>
        <v>2.8333333333333339</v>
      </c>
      <c r="C40">
        <f t="shared" si="5"/>
        <v>3.4536923706693677E-4</v>
      </c>
      <c r="D40">
        <f t="shared" si="3"/>
        <v>0.04</v>
      </c>
      <c r="E40">
        <f t="shared" si="0"/>
        <v>19667.973422839095</v>
      </c>
    </row>
    <row r="41" spans="1:5" x14ac:dyDescent="0.75">
      <c r="A41">
        <f t="shared" si="1"/>
        <v>32.916666666666664</v>
      </c>
      <c r="B41">
        <f t="shared" si="4"/>
        <v>2.9166666666666674</v>
      </c>
      <c r="C41">
        <f t="shared" si="5"/>
        <v>3.4659644460333756E-4</v>
      </c>
      <c r="D41">
        <f t="shared" si="3"/>
        <v>0.04</v>
      </c>
      <c r="E41">
        <f t="shared" si="0"/>
        <v>19939.554650020978</v>
      </c>
    </row>
    <row r="42" spans="1:5" x14ac:dyDescent="0.75">
      <c r="A42">
        <f t="shared" si="1"/>
        <v>33</v>
      </c>
      <c r="B42">
        <f t="shared" si="4"/>
        <v>3.0000000000000009</v>
      </c>
      <c r="C42">
        <f t="shared" si="5"/>
        <v>3.4783566496180416E-4</v>
      </c>
      <c r="D42">
        <f t="shared" si="3"/>
        <v>0.04</v>
      </c>
      <c r="E42">
        <f t="shared" si="0"/>
        <v>20212.040776711743</v>
      </c>
    </row>
    <row r="43" spans="1:5" x14ac:dyDescent="0.75">
      <c r="A43">
        <f t="shared" si="1"/>
        <v>33.083333333333336</v>
      </c>
      <c r="B43">
        <f t="shared" si="4"/>
        <v>3.0833333333333344</v>
      </c>
      <c r="C43">
        <f t="shared" si="5"/>
        <v>3.4908701573279244E-4</v>
      </c>
      <c r="D43">
        <f t="shared" si="3"/>
        <v>0.04</v>
      </c>
      <c r="E43">
        <f t="shared" si="0"/>
        <v>20485.434821146417</v>
      </c>
    </row>
    <row r="44" spans="1:5" x14ac:dyDescent="0.75">
      <c r="A44">
        <f t="shared" si="1"/>
        <v>33.166666666666671</v>
      </c>
      <c r="B44">
        <f t="shared" si="4"/>
        <v>3.1666666666666679</v>
      </c>
      <c r="C44">
        <f t="shared" si="5"/>
        <v>3.503506156578219E-4</v>
      </c>
      <c r="D44">
        <f t="shared" si="3"/>
        <v>0.04</v>
      </c>
      <c r="E44">
        <f t="shared" si="0"/>
        <v>20759.73981202811</v>
      </c>
    </row>
    <row r="45" spans="1:5" x14ac:dyDescent="0.75">
      <c r="A45">
        <f t="shared" si="1"/>
        <v>33.25</v>
      </c>
      <c r="B45">
        <f t="shared" si="4"/>
        <v>3.2500000000000013</v>
      </c>
      <c r="C45">
        <f t="shared" si="5"/>
        <v>3.5162658464074186E-4</v>
      </c>
      <c r="D45">
        <f t="shared" si="3"/>
        <v>0.04</v>
      </c>
      <c r="E45">
        <f t="shared" si="0"/>
        <v>21034.958788573062</v>
      </c>
    </row>
    <row r="46" spans="1:5" x14ac:dyDescent="0.75">
      <c r="A46">
        <f t="shared" si="1"/>
        <v>33.333333333333336</v>
      </c>
      <c r="B46">
        <f t="shared" si="4"/>
        <v>3.3333333333333348</v>
      </c>
      <c r="C46">
        <f t="shared" si="5"/>
        <v>3.5291504375911057E-4</v>
      </c>
      <c r="D46">
        <f t="shared" si="3"/>
        <v>0.04</v>
      </c>
      <c r="E46">
        <f t="shared" si="0"/>
        <v>21311.094800556039</v>
      </c>
    </row>
    <row r="47" spans="1:5" x14ac:dyDescent="0.75">
      <c r="A47">
        <f t="shared" si="1"/>
        <v>33.416666666666671</v>
      </c>
      <c r="B47">
        <f t="shared" si="4"/>
        <v>3.4166666666666683</v>
      </c>
      <c r="C47">
        <f t="shared" si="5"/>
        <v>3.5421611527568318E-4</v>
      </c>
      <c r="D47">
        <f t="shared" si="3"/>
        <v>0.04</v>
      </c>
      <c r="E47">
        <f t="shared" si="0"/>
        <v>21588.150908356074</v>
      </c>
    </row>
    <row r="48" spans="1:5" x14ac:dyDescent="0.75">
      <c r="A48">
        <f t="shared" si="1"/>
        <v>33.5</v>
      </c>
      <c r="B48">
        <f t="shared" si="4"/>
        <v>3.5000000000000018</v>
      </c>
      <c r="C48">
        <f t="shared" si="5"/>
        <v>3.5552992265001378E-4</v>
      </c>
      <c r="D48">
        <f t="shared" si="3"/>
        <v>0.04</v>
      </c>
      <c r="E48">
        <f t="shared" si="0"/>
        <v>21866.13018300253</v>
      </c>
    </row>
    <row r="49" spans="1:5" x14ac:dyDescent="0.75">
      <c r="A49">
        <f t="shared" si="1"/>
        <v>33.583333333333336</v>
      </c>
      <c r="B49">
        <f t="shared" si="4"/>
        <v>3.5833333333333353</v>
      </c>
      <c r="C49">
        <f t="shared" si="5"/>
        <v>3.5685659055017112E-4</v>
      </c>
      <c r="D49">
        <f t="shared" si="3"/>
        <v>0.04</v>
      </c>
      <c r="E49">
        <f t="shared" si="0"/>
        <v>22145.035706221504</v>
      </c>
    </row>
    <row r="50" spans="1:5" x14ac:dyDescent="0.75">
      <c r="A50">
        <f t="shared" si="1"/>
        <v>33.666666666666671</v>
      </c>
      <c r="B50">
        <f t="shared" si="4"/>
        <v>3.6666666666666687</v>
      </c>
      <c r="C50">
        <f t="shared" si="5"/>
        <v>3.5819624486456745E-4</v>
      </c>
      <c r="D50">
        <f t="shared" si="3"/>
        <v>0.04</v>
      </c>
      <c r="E50">
        <f t="shared" si="0"/>
        <v>22424.870570482635</v>
      </c>
    </row>
    <row r="51" spans="1:5" x14ac:dyDescent="0.75">
      <c r="A51">
        <f t="shared" si="1"/>
        <v>33.75</v>
      </c>
      <c r="B51">
        <f t="shared" si="4"/>
        <v>3.7500000000000022</v>
      </c>
      <c r="C51">
        <f t="shared" si="5"/>
        <v>3.5954901271390455E-4</v>
      </c>
      <c r="D51">
        <f t="shared" si="3"/>
        <v>0.04</v>
      </c>
      <c r="E51">
        <f t="shared" si="0"/>
        <v>22705.6378790462</v>
      </c>
    </row>
    <row r="52" spans="1:5" x14ac:dyDescent="0.75">
      <c r="A52">
        <f t="shared" si="1"/>
        <v>33.833333333333336</v>
      </c>
      <c r="B52">
        <f t="shared" si="4"/>
        <v>3.8333333333333357</v>
      </c>
      <c r="C52">
        <f t="shared" si="5"/>
        <v>3.6091502246323696E-4</v>
      </c>
      <c r="D52">
        <f t="shared" si="3"/>
        <v>0.04</v>
      </c>
      <c r="E52">
        <f t="shared" si="0"/>
        <v>22987.34074601061</v>
      </c>
    </row>
    <row r="53" spans="1:5" x14ac:dyDescent="0.75">
      <c r="A53">
        <f t="shared" si="1"/>
        <v>33.916666666666671</v>
      </c>
      <c r="B53">
        <f t="shared" si="4"/>
        <v>3.9166666666666692</v>
      </c>
      <c r="C53">
        <f t="shared" si="5"/>
        <v>3.6229440373415156E-4</v>
      </c>
      <c r="D53">
        <f t="shared" si="3"/>
        <v>0.04</v>
      </c>
      <c r="E53">
        <f t="shared" si="0"/>
        <v>23269.98229636026</v>
      </c>
    </row>
    <row r="54" spans="1:5" x14ac:dyDescent="0.75">
      <c r="A54">
        <f t="shared" si="1"/>
        <v>34</v>
      </c>
      <c r="B54">
        <f t="shared" si="4"/>
        <v>4.0000000000000027</v>
      </c>
      <c r="C54">
        <f t="shared" si="5"/>
        <v>3.6368728741706786E-4</v>
      </c>
      <c r="D54">
        <f t="shared" si="3"/>
        <v>0.04</v>
      </c>
      <c r="E54">
        <f t="shared" si="0"/>
        <v>23553.565666013757</v>
      </c>
    </row>
    <row r="55" spans="1:5" x14ac:dyDescent="0.75">
      <c r="A55">
        <f t="shared" si="1"/>
        <v>34.083333333333336</v>
      </c>
      <c r="B55">
        <f t="shared" si="4"/>
        <v>4.0833333333333357</v>
      </c>
      <c r="C55">
        <f t="shared" si="5"/>
        <v>3.6509380568365871E-4</v>
      </c>
      <c r="D55">
        <f t="shared" si="3"/>
        <v>0.04</v>
      </c>
      <c r="E55">
        <f t="shared" si="0"/>
        <v>23838.094001872498</v>
      </c>
    </row>
    <row r="56" spans="1:5" x14ac:dyDescent="0.75">
      <c r="A56">
        <f t="shared" si="1"/>
        <v>34.166666666666671</v>
      </c>
      <c r="B56">
        <f t="shared" si="4"/>
        <v>4.1666666666666687</v>
      </c>
      <c r="C56">
        <f t="shared" si="5"/>
        <v>3.665140919993918E-4</v>
      </c>
      <c r="D56">
        <f t="shared" si="3"/>
        <v>0.04</v>
      </c>
      <c r="E56">
        <f t="shared" si="0"/>
        <v>24123.570461869658</v>
      </c>
    </row>
    <row r="57" spans="1:5" x14ac:dyDescent="0.75">
      <c r="A57">
        <f t="shared" si="1"/>
        <v>34.25</v>
      </c>
      <c r="B57">
        <f t="shared" si="4"/>
        <v>4.2500000000000018</v>
      </c>
      <c r="C57">
        <f t="shared" si="5"/>
        <v>3.6794828113619386E-4</v>
      </c>
      <c r="D57">
        <f t="shared" si="3"/>
        <v>0.04</v>
      </c>
      <c r="E57">
        <f t="shared" si="0"/>
        <v>24409.998215019528</v>
      </c>
    </row>
    <row r="58" spans="1:5" x14ac:dyDescent="0.75">
      <c r="A58">
        <f t="shared" si="1"/>
        <v>34.333333333333336</v>
      </c>
      <c r="B58">
        <f t="shared" si="4"/>
        <v>4.3333333333333348</v>
      </c>
      <c r="C58">
        <f t="shared" si="5"/>
        <v>3.6939650918524022E-4</v>
      </c>
      <c r="D58">
        <f t="shared" si="3"/>
        <v>0.04</v>
      </c>
      <c r="E58">
        <f t="shared" si="0"/>
        <v>24697.380441467274</v>
      </c>
    </row>
    <row r="59" spans="1:5" x14ac:dyDescent="0.75">
      <c r="A59">
        <f t="shared" si="1"/>
        <v>34.416666666666671</v>
      </c>
      <c r="B59">
        <f t="shared" si="4"/>
        <v>4.4166666666666679</v>
      </c>
      <c r="C59">
        <f t="shared" si="5"/>
        <v>3.7085891356986782E-4</v>
      </c>
      <c r="D59">
        <f t="shared" si="3"/>
        <v>0.04</v>
      </c>
      <c r="E59">
        <f t="shared" si="0"/>
        <v>24985.720332539051</v>
      </c>
    </row>
    <row r="60" spans="1:5" x14ac:dyDescent="0.75">
      <c r="A60">
        <f t="shared" si="1"/>
        <v>34.5</v>
      </c>
      <c r="B60">
        <f t="shared" si="4"/>
        <v>4.5000000000000009</v>
      </c>
      <c r="C60">
        <f t="shared" si="5"/>
        <v>3.7233563305861557E-4</v>
      </c>
      <c r="D60">
        <f t="shared" si="3"/>
        <v>0.04</v>
      </c>
      <c r="E60">
        <f t="shared" si="0"/>
        <v>25275.021090792543</v>
      </c>
    </row>
    <row r="61" spans="1:5" x14ac:dyDescent="0.75">
      <c r="A61">
        <f t="shared" si="1"/>
        <v>34.583333333333336</v>
      </c>
      <c r="B61">
        <f t="shared" si="4"/>
        <v>4.5833333333333339</v>
      </c>
      <c r="C61">
        <f t="shared" si="5"/>
        <v>3.7382680777839242E-4</v>
      </c>
      <c r="D61">
        <f t="shared" si="3"/>
        <v>0.04</v>
      </c>
      <c r="E61">
        <f t="shared" si="0"/>
        <v>25565.285930067897</v>
      </c>
    </row>
    <row r="62" spans="1:5" x14ac:dyDescent="0.75">
      <c r="A62">
        <f t="shared" si="1"/>
        <v>34.666666666666664</v>
      </c>
      <c r="B62">
        <f t="shared" si="4"/>
        <v>4.666666666666667</v>
      </c>
      <c r="C62">
        <f t="shared" si="5"/>
        <v>3.7533257922777363E-4</v>
      </c>
      <c r="D62">
        <f t="shared" si="3"/>
        <v>0.04</v>
      </c>
      <c r="E62">
        <f t="shared" si="0"/>
        <v>25856.518075539072</v>
      </c>
    </row>
    <row r="63" spans="1:5" x14ac:dyDescent="0.75">
      <c r="A63">
        <f t="shared" si="1"/>
        <v>34.75</v>
      </c>
      <c r="B63">
        <f t="shared" si="4"/>
        <v>4.75</v>
      </c>
      <c r="C63">
        <f t="shared" si="5"/>
        <v>3.7685309029042874E-4</v>
      </c>
      <c r="D63">
        <f t="shared" si="3"/>
        <v>0.04</v>
      </c>
      <c r="E63">
        <f t="shared" si="0"/>
        <v>26148.720763765567</v>
      </c>
    </row>
    <row r="64" spans="1:5" x14ac:dyDescent="0.75">
      <c r="A64">
        <f t="shared" si="1"/>
        <v>34.833333333333336</v>
      </c>
      <c r="B64">
        <f t="shared" si="4"/>
        <v>4.833333333333333</v>
      </c>
      <c r="C64">
        <f t="shared" si="5"/>
        <v>3.7838848524867833E-4</v>
      </c>
      <c r="D64">
        <f t="shared" si="3"/>
        <v>0.04</v>
      </c>
      <c r="E64">
        <f t="shared" si="0"/>
        <v>26441.897242744613</v>
      </c>
    </row>
    <row r="65" spans="1:5" x14ac:dyDescent="0.75">
      <c r="A65">
        <f t="shared" si="1"/>
        <v>34.916666666666664</v>
      </c>
      <c r="B65">
        <f t="shared" si="4"/>
        <v>4.9166666666666661</v>
      </c>
      <c r="C65">
        <f t="shared" si="5"/>
        <v>3.7993890979718612E-4</v>
      </c>
      <c r="D65">
        <f t="shared" si="3"/>
        <v>0.04</v>
      </c>
      <c r="E65">
        <f t="shared" si="0"/>
        <v>26736.050771963757</v>
      </c>
    </row>
    <row r="66" spans="1:5" x14ac:dyDescent="0.75">
      <c r="A66">
        <f t="shared" si="1"/>
        <v>35</v>
      </c>
      <c r="B66">
        <f t="shared" si="4"/>
        <v>4.9999999999999991</v>
      </c>
      <c r="C66">
        <f t="shared" si="5"/>
        <v>3.8150451105678431E-4</v>
      </c>
      <c r="D66">
        <f t="shared" si="3"/>
        <v>0.04</v>
      </c>
      <c r="E66">
        <f t="shared" si="0"/>
        <v>27031.184622453875</v>
      </c>
    </row>
    <row r="67" spans="1:5" x14ac:dyDescent="0.75">
      <c r="A67">
        <f t="shared" si="1"/>
        <v>35.083333333333329</v>
      </c>
      <c r="B67">
        <f t="shared" si="4"/>
        <v>5.0833333333333321</v>
      </c>
      <c r="C67">
        <f t="shared" si="5"/>
        <v>3.8308543758843231E-4</v>
      </c>
      <c r="D67">
        <f t="shared" si="3"/>
        <v>0.04</v>
      </c>
      <c r="E67">
        <f t="shared" si="0"/>
        <v>27327.30207684264</v>
      </c>
    </row>
    <row r="68" spans="1:5" x14ac:dyDescent="0.75">
      <c r="A68">
        <f t="shared" si="1"/>
        <v>35.166666666666664</v>
      </c>
      <c r="B68">
        <f t="shared" si="4"/>
        <v>5.1666666666666652</v>
      </c>
      <c r="C68">
        <f t="shared" si="5"/>
        <v>3.8468183940731628E-4</v>
      </c>
      <c r="D68">
        <f t="shared" si="3"/>
        <v>0.04</v>
      </c>
      <c r="E68">
        <f t="shared" si="0"/>
        <v>27624.406429408395</v>
      </c>
    </row>
    <row r="69" spans="1:5" x14ac:dyDescent="0.75">
      <c r="A69">
        <f t="shared" si="1"/>
        <v>35.25</v>
      </c>
      <c r="B69">
        <f t="shared" si="4"/>
        <v>5.2499999999999982</v>
      </c>
      <c r="C69">
        <f t="shared" si="5"/>
        <v>3.8629386799708188E-4</v>
      </c>
      <c r="D69">
        <f t="shared" si="3"/>
        <v>0.04</v>
      </c>
      <c r="E69">
        <f t="shared" si="0"/>
        <v>27922.500986134513</v>
      </c>
    </row>
    <row r="70" spans="1:5" x14ac:dyDescent="0.75">
      <c r="A70">
        <f t="shared" si="1"/>
        <v>35.333333333333329</v>
      </c>
      <c r="B70">
        <f t="shared" si="4"/>
        <v>5.3333333333333313</v>
      </c>
      <c r="C70">
        <f t="shared" si="5"/>
        <v>3.8792167632420991E-4</v>
      </c>
      <c r="D70">
        <f t="shared" si="3"/>
        <v>0.04</v>
      </c>
      <c r="E70">
        <f t="shared" ref="E70:E133" si="6">(E71 -$D$2*$B$2+$D$2*C70*$C$2)/(1+$D$2*D70+$D$2*C70)</f>
        <v>28221.589064764165</v>
      </c>
    </row>
    <row r="71" spans="1:5" x14ac:dyDescent="0.75">
      <c r="A71">
        <f t="shared" ref="A71:A134" si="7">$A$2+B71</f>
        <v>35.416666666666664</v>
      </c>
      <c r="B71">
        <f t="shared" si="4"/>
        <v>5.4166666666666643</v>
      </c>
      <c r="C71">
        <f t="shared" si="5"/>
        <v>3.8956541885253146E-4</v>
      </c>
      <c r="D71">
        <f t="shared" ref="D71:D134" si="8">0.04</f>
        <v>0.04</v>
      </c>
      <c r="E71">
        <f t="shared" si="6"/>
        <v>28521.673994855559</v>
      </c>
    </row>
    <row r="72" spans="1:5" x14ac:dyDescent="0.75">
      <c r="A72">
        <f t="shared" si="7"/>
        <v>35.5</v>
      </c>
      <c r="B72">
        <f t="shared" si="4"/>
        <v>5.4999999999999973</v>
      </c>
      <c r="C72">
        <f t="shared" si="5"/>
        <v>3.9122525155788393E-4</v>
      </c>
      <c r="D72">
        <f t="shared" si="8"/>
        <v>0.04</v>
      </c>
      <c r="E72">
        <f t="shared" si="6"/>
        <v>28822.75911783765</v>
      </c>
    </row>
    <row r="73" spans="1:5" x14ac:dyDescent="0.75">
      <c r="A73">
        <f t="shared" si="7"/>
        <v>35.583333333333329</v>
      </c>
      <c r="B73">
        <f t="shared" ref="B73:B136" si="9">B72+$D$2</f>
        <v>5.5833333333333304</v>
      </c>
      <c r="C73">
        <f t="shared" si="5"/>
        <v>3.9290133194291291E-4</v>
      </c>
      <c r="D73">
        <f t="shared" si="8"/>
        <v>0.04</v>
      </c>
      <c r="E73">
        <f t="shared" si="6"/>
        <v>29124.84778706633</v>
      </c>
    </row>
    <row r="74" spans="1:5" x14ac:dyDescent="0.75">
      <c r="A74">
        <f t="shared" si="7"/>
        <v>35.666666666666664</v>
      </c>
      <c r="B74">
        <f t="shared" si="9"/>
        <v>5.6666666666666634</v>
      </c>
      <c r="C74">
        <f t="shared" si="5"/>
        <v>3.9459381905201761E-4</v>
      </c>
      <c r="D74">
        <f t="shared" si="8"/>
        <v>0.04</v>
      </c>
      <c r="E74">
        <f t="shared" si="6"/>
        <v>29427.943367881046</v>
      </c>
    </row>
    <row r="75" spans="1:5" x14ac:dyDescent="0.75">
      <c r="A75">
        <f t="shared" si="7"/>
        <v>35.75</v>
      </c>
      <c r="B75">
        <f t="shared" si="9"/>
        <v>5.7499999999999964</v>
      </c>
      <c r="C75">
        <f t="shared" si="5"/>
        <v>3.9630287348644188E-4</v>
      </c>
      <c r="D75">
        <f t="shared" si="8"/>
        <v>0.04</v>
      </c>
      <c r="E75">
        <f t="shared" si="6"/>
        <v>29732.049237661915</v>
      </c>
    </row>
    <row r="76" spans="1:5" x14ac:dyDescent="0.75">
      <c r="A76">
        <f t="shared" si="7"/>
        <v>35.833333333333329</v>
      </c>
      <c r="B76">
        <f t="shared" si="9"/>
        <v>5.8333333333333295</v>
      </c>
      <c r="C76">
        <f t="shared" si="5"/>
        <v>3.9802865741951431E-4</v>
      </c>
      <c r="D76">
        <f t="shared" si="8"/>
        <v>0.04</v>
      </c>
      <c r="E76">
        <f t="shared" si="6"/>
        <v>30037.168785887359</v>
      </c>
    </row>
    <row r="77" spans="1:5" x14ac:dyDescent="0.75">
      <c r="A77">
        <f t="shared" si="7"/>
        <v>35.916666666666664</v>
      </c>
      <c r="B77">
        <f t="shared" si="9"/>
        <v>5.9166666666666625</v>
      </c>
      <c r="C77">
        <f t="shared" si="5"/>
        <v>3.9977133461203734E-4</v>
      </c>
      <c r="D77">
        <f t="shared" si="8"/>
        <v>0.04</v>
      </c>
      <c r="E77">
        <f t="shared" si="6"/>
        <v>30343.3054141922</v>
      </c>
    </row>
    <row r="78" spans="1:5" x14ac:dyDescent="0.75">
      <c r="A78">
        <f t="shared" si="7"/>
        <v>35.999999999999993</v>
      </c>
      <c r="B78">
        <f t="shared" si="9"/>
        <v>5.9999999999999956</v>
      </c>
      <c r="C78">
        <f t="shared" si="5"/>
        <v>4.0153107042782536E-4</v>
      </c>
      <c r="D78">
        <f t="shared" si="8"/>
        <v>0.04</v>
      </c>
      <c r="E78">
        <f t="shared" si="6"/>
        <v>30650.462536426239</v>
      </c>
    </row>
    <row r="79" spans="1:5" x14ac:dyDescent="0.75">
      <c r="A79">
        <f t="shared" si="7"/>
        <v>36.083333333333329</v>
      </c>
      <c r="B79">
        <f t="shared" si="9"/>
        <v>6.0833333333333286</v>
      </c>
      <c r="C79">
        <f t="shared" si="5"/>
        <v>4.0330803184939791E-4</v>
      </c>
      <c r="D79">
        <f t="shared" si="8"/>
        <v>0.04</v>
      </c>
      <c r="E79">
        <f t="shared" si="6"/>
        <v>30958.643578713374</v>
      </c>
    </row>
    <row r="80" spans="1:5" x14ac:dyDescent="0.75">
      <c r="A80">
        <f t="shared" si="7"/>
        <v>36.166666666666664</v>
      </c>
      <c r="B80">
        <f t="shared" si="9"/>
        <v>6.1666666666666616</v>
      </c>
      <c r="C80">
        <f t="shared" si="5"/>
        <v>4.051023874938235E-4</v>
      </c>
      <c r="D80">
        <f t="shared" si="8"/>
        <v>0.04</v>
      </c>
      <c r="E80">
        <f t="shared" si="6"/>
        <v>31267.851979511212</v>
      </c>
    </row>
    <row r="81" spans="1:5" x14ac:dyDescent="0.75">
      <c r="A81">
        <f t="shared" si="7"/>
        <v>36.249999999999993</v>
      </c>
      <c r="B81">
        <f t="shared" si="9"/>
        <v>6.2499999999999947</v>
      </c>
      <c r="C81">
        <f t="shared" si="5"/>
        <v>4.0691430762871989E-4</v>
      </c>
      <c r="D81">
        <f t="shared" si="8"/>
        <v>0.04</v>
      </c>
      <c r="E81">
        <f t="shared" si="6"/>
        <v>31578.091189671195</v>
      </c>
    </row>
    <row r="82" spans="1:5" x14ac:dyDescent="0.75">
      <c r="A82">
        <f t="shared" si="7"/>
        <v>36.333333333333329</v>
      </c>
      <c r="B82">
        <f t="shared" si="9"/>
        <v>6.3333333333333277</v>
      </c>
      <c r="C82">
        <f t="shared" si="5"/>
        <v>4.0874396418841193E-4</v>
      </c>
      <c r="D82">
        <f t="shared" si="8"/>
        <v>0.04</v>
      </c>
      <c r="E82">
        <f t="shared" si="6"/>
        <v>31889.36467249925</v>
      </c>
    </row>
    <row r="83" spans="1:5" x14ac:dyDescent="0.75">
      <c r="A83">
        <f t="shared" si="7"/>
        <v>36.416666666666657</v>
      </c>
      <c r="B83">
        <f t="shared" si="9"/>
        <v>6.4166666666666607</v>
      </c>
      <c r="C83">
        <f t="shared" si="5"/>
        <v>4.1059153079024517E-4</v>
      </c>
      <c r="D83">
        <f t="shared" si="8"/>
        <v>0.04</v>
      </c>
      <c r="E83">
        <f t="shared" si="6"/>
        <v>32201.675903816984</v>
      </c>
    </row>
    <row r="84" spans="1:5" x14ac:dyDescent="0.75">
      <c r="A84">
        <f t="shared" si="7"/>
        <v>36.499999999999993</v>
      </c>
      <c r="B84">
        <f t="shared" si="9"/>
        <v>6.4999999999999938</v>
      </c>
      <c r="C84">
        <f t="shared" si="5"/>
        <v>4.1245718275106133E-4</v>
      </c>
      <c r="D84">
        <f t="shared" si="8"/>
        <v>0.04</v>
      </c>
      <c r="E84">
        <f t="shared" si="6"/>
        <v>32515.028372023404</v>
      </c>
    </row>
    <row r="85" spans="1:5" x14ac:dyDescent="0.75">
      <c r="A85">
        <f t="shared" si="7"/>
        <v>36.583333333333329</v>
      </c>
      <c r="B85">
        <f t="shared" si="9"/>
        <v>6.5833333333333268</v>
      </c>
      <c r="C85">
        <f t="shared" si="5"/>
        <v>4.1434109710383412E-4</v>
      </c>
      <c r="D85">
        <f t="shared" si="8"/>
        <v>0.04</v>
      </c>
      <c r="E85">
        <f t="shared" si="6"/>
        <v>32829.425578157177</v>
      </c>
    </row>
    <row r="86" spans="1:5" x14ac:dyDescent="0.75">
      <c r="A86">
        <f t="shared" si="7"/>
        <v>36.666666666666657</v>
      </c>
      <c r="B86">
        <f t="shared" si="9"/>
        <v>6.6666666666666599</v>
      </c>
      <c r="C86">
        <f t="shared" si="5"/>
        <v>4.1624345261446767E-4</v>
      </c>
      <c r="D86">
        <f t="shared" si="8"/>
        <v>0.04</v>
      </c>
      <c r="E86">
        <f t="shared" si="6"/>
        <v>33144.871035959455</v>
      </c>
    </row>
    <row r="87" spans="1:5" x14ac:dyDescent="0.75">
      <c r="A87">
        <f t="shared" si="7"/>
        <v>36.749999999999993</v>
      </c>
      <c r="B87">
        <f t="shared" si="9"/>
        <v>6.7499999999999929</v>
      </c>
      <c r="C87">
        <f t="shared" si="5"/>
        <v>4.1816442979876055E-4</v>
      </c>
      <c r="D87">
        <f t="shared" si="8"/>
        <v>0.04</v>
      </c>
      <c r="E87">
        <f t="shared" si="6"/>
        <v>33461.368271937245</v>
      </c>
    </row>
    <row r="88" spans="1:5" x14ac:dyDescent="0.75">
      <c r="A88">
        <f t="shared" si="7"/>
        <v>36.833333333333329</v>
      </c>
      <c r="B88">
        <f t="shared" si="9"/>
        <v>6.8333333333333259</v>
      </c>
      <c r="C88">
        <f t="shared" si="5"/>
        <v>4.201042109395341E-4</v>
      </c>
      <c r="D88">
        <f t="shared" si="8"/>
        <v>0.04</v>
      </c>
      <c r="E88">
        <f t="shared" si="6"/>
        <v>33778.920825427354</v>
      </c>
    </row>
    <row r="89" spans="1:5" x14ac:dyDescent="0.75">
      <c r="A89">
        <f t="shared" si="7"/>
        <v>36.916666666666657</v>
      </c>
      <c r="B89">
        <f t="shared" si="9"/>
        <v>6.916666666666659</v>
      </c>
      <c r="C89">
        <f t="shared" si="5"/>
        <v>4.2206298010392983E-4</v>
      </c>
      <c r="D89">
        <f t="shared" si="8"/>
        <v>0.04</v>
      </c>
      <c r="E89">
        <f t="shared" si="6"/>
        <v>34097.532248660929</v>
      </c>
    </row>
    <row r="90" spans="1:5" x14ac:dyDescent="0.75">
      <c r="A90">
        <f t="shared" si="7"/>
        <v>36.999999999999993</v>
      </c>
      <c r="B90">
        <f t="shared" si="9"/>
        <v>6.999999999999992</v>
      </c>
      <c r="C90">
        <f t="shared" si="5"/>
        <v>4.2404092316087569E-4</v>
      </c>
      <c r="D90">
        <f t="shared" si="8"/>
        <v>0.04</v>
      </c>
      <c r="E90">
        <f t="shared" si="6"/>
        <v>34417.206106828526</v>
      </c>
    </row>
    <row r="91" spans="1:5" x14ac:dyDescent="0.75">
      <c r="A91">
        <f t="shared" si="7"/>
        <v>37.083333333333329</v>
      </c>
      <c r="B91">
        <f t="shared" si="9"/>
        <v>7.083333333333325</v>
      </c>
      <c r="C91">
        <f t="shared" si="5"/>
        <v>4.260382277987233E-4</v>
      </c>
      <c r="D91">
        <f t="shared" si="8"/>
        <v>0.04</v>
      </c>
      <c r="E91">
        <f t="shared" si="6"/>
        <v>34737.945978145806</v>
      </c>
    </row>
    <row r="92" spans="1:5" x14ac:dyDescent="0.75">
      <c r="A92">
        <f t="shared" si="7"/>
        <v>37.166666666666657</v>
      </c>
      <c r="B92">
        <f t="shared" si="9"/>
        <v>7.1666666666666581</v>
      </c>
      <c r="C92">
        <f t="shared" si="5"/>
        <v>4.2805508354305745E-4</v>
      </c>
      <c r="D92">
        <f t="shared" si="8"/>
        <v>0.04</v>
      </c>
      <c r="E92">
        <f t="shared" si="6"/>
        <v>35059.755453919803</v>
      </c>
    </row>
    <row r="93" spans="1:5" x14ac:dyDescent="0.75">
      <c r="A93">
        <f t="shared" si="7"/>
        <v>37.249999999999993</v>
      </c>
      <c r="B93">
        <f t="shared" si="9"/>
        <v>7.2499999999999911</v>
      </c>
      <c r="C93">
        <f t="shared" si="5"/>
        <v>4.3009168177468116E-4</v>
      </c>
      <c r="D93">
        <f t="shared" si="8"/>
        <v>0.04</v>
      </c>
      <c r="E93">
        <f t="shared" si="6"/>
        <v>35382.638138615832</v>
      </c>
    </row>
    <row r="94" spans="1:5" x14ac:dyDescent="0.75">
      <c r="A94">
        <f t="shared" si="7"/>
        <v>37.333333333333321</v>
      </c>
      <c r="B94">
        <f t="shared" si="9"/>
        <v>7.3333333333333242</v>
      </c>
      <c r="C94">
        <f t="shared" si="5"/>
        <v>4.3214821574777504E-4</v>
      </c>
      <c r="D94">
        <f t="shared" si="8"/>
        <v>0.04</v>
      </c>
      <c r="E94">
        <f t="shared" si="6"/>
        <v>35706.597649924988</v>
      </c>
    </row>
    <row r="95" spans="1:5" x14ac:dyDescent="0.75">
      <c r="A95">
        <f t="shared" si="7"/>
        <v>37.416666666666657</v>
      </c>
      <c r="B95">
        <f t="shared" si="9"/>
        <v>7.4166666666666572</v>
      </c>
      <c r="C95">
        <f t="shared" si="5"/>
        <v>4.3422488060823562E-4</v>
      </c>
      <c r="D95">
        <f t="shared" si="8"/>
        <v>0.04</v>
      </c>
      <c r="E95">
        <f t="shared" si="6"/>
        <v>36031.637618832247</v>
      </c>
    </row>
    <row r="96" spans="1:5" x14ac:dyDescent="0.75">
      <c r="A96">
        <f t="shared" si="7"/>
        <v>37.499999999999993</v>
      </c>
      <c r="B96">
        <f t="shared" si="9"/>
        <v>7.4999999999999902</v>
      </c>
      <c r="C96">
        <f t="shared" ref="C96:C159" si="10">(0.00022  + 0.0000027*1.124^A96)</f>
        <v>4.3632187341219298E-4</v>
      </c>
      <c r="D96">
        <f t="shared" si="8"/>
        <v>0.04</v>
      </c>
      <c r="E96">
        <f t="shared" si="6"/>
        <v>36357.761689685227</v>
      </c>
    </row>
    <row r="97" spans="1:5" x14ac:dyDescent="0.75">
      <c r="A97">
        <f t="shared" si="7"/>
        <v>37.583333333333321</v>
      </c>
      <c r="B97">
        <f t="shared" si="9"/>
        <v>7.5833333333333233</v>
      </c>
      <c r="C97">
        <f t="shared" si="10"/>
        <v>4.3843939314470938E-4</v>
      </c>
      <c r="D97">
        <f t="shared" si="8"/>
        <v>0.04</v>
      </c>
      <c r="E97">
        <f t="shared" si="6"/>
        <v>36684.973520263542</v>
      </c>
    </row>
    <row r="98" spans="1:5" x14ac:dyDescent="0.75">
      <c r="A98">
        <f t="shared" si="7"/>
        <v>37.666666666666657</v>
      </c>
      <c r="B98">
        <f t="shared" si="9"/>
        <v>7.6666666666666563</v>
      </c>
      <c r="C98">
        <f t="shared" si="10"/>
        <v>4.4057764073866161E-4</v>
      </c>
      <c r="D98">
        <f t="shared" si="8"/>
        <v>0.04</v>
      </c>
      <c r="E98">
        <f t="shared" si="6"/>
        <v>37013.276781848872</v>
      </c>
    </row>
    <row r="99" spans="1:5" x14ac:dyDescent="0.75">
      <c r="A99">
        <f t="shared" si="7"/>
        <v>37.749999999999986</v>
      </c>
      <c r="B99">
        <f t="shared" si="9"/>
        <v>7.7499999999999893</v>
      </c>
      <c r="C99">
        <f t="shared" si="10"/>
        <v>4.4273681909380667E-4</v>
      </c>
      <c r="D99">
        <f t="shared" si="8"/>
        <v>0.04</v>
      </c>
      <c r="E99">
        <f t="shared" si="6"/>
        <v>37342.675159295599</v>
      </c>
    </row>
    <row r="100" spans="1:5" x14ac:dyDescent="0.75">
      <c r="A100">
        <f t="shared" si="7"/>
        <v>37.833333333333321</v>
      </c>
      <c r="B100">
        <f t="shared" si="9"/>
        <v>7.8333333333333224</v>
      </c>
      <c r="C100">
        <f t="shared" si="10"/>
        <v>4.4491713309603633E-4</v>
      </c>
      <c r="D100">
        <f t="shared" si="8"/>
        <v>0.04</v>
      </c>
      <c r="E100">
        <f t="shared" si="6"/>
        <v>37673.172351102177</v>
      </c>
    </row>
    <row r="101" spans="1:5" x14ac:dyDescent="0.75">
      <c r="A101">
        <f t="shared" si="7"/>
        <v>37.916666666666657</v>
      </c>
      <c r="B101">
        <f t="shared" si="9"/>
        <v>7.9166666666666554</v>
      </c>
      <c r="C101">
        <f t="shared" si="10"/>
        <v>4.4711878963681713E-4</v>
      </c>
      <c r="D101">
        <f t="shared" si="8"/>
        <v>0.04</v>
      </c>
      <c r="E101">
        <f t="shared" si="6"/>
        <v>38004.772069483144</v>
      </c>
    </row>
    <row r="102" spans="1:5" x14ac:dyDescent="0.75">
      <c r="A102">
        <f t="shared" si="7"/>
        <v>37.999999999999986</v>
      </c>
      <c r="B102">
        <f t="shared" si="9"/>
        <v>7.9999999999999885</v>
      </c>
      <c r="C102">
        <f t="shared" si="10"/>
        <v>4.4934199763282414E-4</v>
      </c>
      <c r="D102">
        <f t="shared" si="8"/>
        <v>0.04</v>
      </c>
      <c r="E102">
        <f t="shared" si="6"/>
        <v>38337.478040441798</v>
      </c>
    </row>
    <row r="103" spans="1:5" x14ac:dyDescent="0.75">
      <c r="A103">
        <f t="shared" si="7"/>
        <v>38.083333333333321</v>
      </c>
      <c r="B103">
        <f t="shared" si="9"/>
        <v>8.0833333333333215</v>
      </c>
      <c r="C103">
        <f t="shared" si="10"/>
        <v>4.5158696804576477E-4</v>
      </c>
      <c r="D103">
        <f t="shared" si="8"/>
        <v>0.04</v>
      </c>
      <c r="E103">
        <f t="shared" si="6"/>
        <v>38671.29400384357</v>
      </c>
    </row>
    <row r="104" spans="1:5" x14ac:dyDescent="0.75">
      <c r="A104">
        <f t="shared" si="7"/>
        <v>38.166666666666657</v>
      </c>
      <c r="B104">
        <f t="shared" si="9"/>
        <v>8.1666666666666554</v>
      </c>
      <c r="C104">
        <f t="shared" si="10"/>
        <v>4.5385391390239657E-4</v>
      </c>
      <c r="D104">
        <f t="shared" si="8"/>
        <v>0.04</v>
      </c>
      <c r="E104">
        <f t="shared" si="6"/>
        <v>39006.223713490137</v>
      </c>
    </row>
    <row r="105" spans="1:5" x14ac:dyDescent="0.75">
      <c r="A105">
        <f t="shared" si="7"/>
        <v>38.249999999999986</v>
      </c>
      <c r="B105">
        <f t="shared" si="9"/>
        <v>8.2499999999999893</v>
      </c>
      <c r="C105">
        <f t="shared" si="10"/>
        <v>4.5614305031474147E-4</v>
      </c>
      <c r="D105">
        <f t="shared" si="8"/>
        <v>0.04</v>
      </c>
      <c r="E105">
        <f t="shared" si="6"/>
        <v>39342.27093719416</v>
      </c>
    </row>
    <row r="106" spans="1:5" x14ac:dyDescent="0.75">
      <c r="A106">
        <f t="shared" si="7"/>
        <v>38.333333333333321</v>
      </c>
      <c r="B106">
        <f t="shared" si="9"/>
        <v>8.3333333333333233</v>
      </c>
      <c r="C106">
        <f t="shared" si="10"/>
        <v>4.5845459450049913E-4</v>
      </c>
      <c r="D106">
        <f t="shared" si="8"/>
        <v>0.04</v>
      </c>
      <c r="E106">
        <f t="shared" si="6"/>
        <v>39679.439456854823</v>
      </c>
    </row>
    <row r="107" spans="1:5" x14ac:dyDescent="0.75">
      <c r="A107">
        <f t="shared" si="7"/>
        <v>38.416666666666657</v>
      </c>
      <c r="B107">
        <f t="shared" si="9"/>
        <v>8.4166666666666572</v>
      </c>
      <c r="C107">
        <f t="shared" si="10"/>
        <v>4.6078876580365682E-4</v>
      </c>
      <c r="D107">
        <f t="shared" si="8"/>
        <v>0.04</v>
      </c>
      <c r="E107">
        <f t="shared" si="6"/>
        <v>40017.733068534028</v>
      </c>
    </row>
    <row r="108" spans="1:5" x14ac:dyDescent="0.75">
      <c r="A108">
        <f t="shared" si="7"/>
        <v>38.499999999999993</v>
      </c>
      <c r="B108">
        <f t="shared" si="9"/>
        <v>8.4999999999999911</v>
      </c>
      <c r="C108">
        <f t="shared" si="10"/>
        <v>4.6314578571530492E-4</v>
      </c>
      <c r="D108">
        <f t="shared" si="8"/>
        <v>0.04</v>
      </c>
      <c r="E108">
        <f t="shared" si="6"/>
        <v>40357.155582533356</v>
      </c>
    </row>
    <row r="109" spans="1:5" x14ac:dyDescent="0.75">
      <c r="A109">
        <f t="shared" si="7"/>
        <v>38.583333333333329</v>
      </c>
      <c r="B109">
        <f t="shared" si="9"/>
        <v>8.583333333333325</v>
      </c>
      <c r="C109">
        <f t="shared" si="10"/>
        <v>4.6552587789465362E-4</v>
      </c>
      <c r="D109">
        <f t="shared" si="8"/>
        <v>0.04</v>
      </c>
      <c r="E109">
        <f t="shared" si="6"/>
        <v>40697.710823471803</v>
      </c>
    </row>
    <row r="110" spans="1:5" x14ac:dyDescent="0.75">
      <c r="A110">
        <f t="shared" si="7"/>
        <v>38.666666666666657</v>
      </c>
      <c r="B110">
        <f t="shared" si="9"/>
        <v>8.666666666666659</v>
      </c>
      <c r="C110">
        <f t="shared" si="10"/>
        <v>4.6792926819025566E-4</v>
      </c>
      <c r="D110">
        <f t="shared" si="8"/>
        <v>0.04</v>
      </c>
      <c r="E110">
        <f t="shared" si="6"/>
        <v>41039.402630364209</v>
      </c>
    </row>
    <row r="111" spans="1:5" x14ac:dyDescent="0.75">
      <c r="A111">
        <f t="shared" si="7"/>
        <v>38.749999999999993</v>
      </c>
      <c r="B111">
        <f t="shared" si="9"/>
        <v>8.7499999999999929</v>
      </c>
      <c r="C111">
        <f t="shared" si="10"/>
        <v>4.7035618466143893E-4</v>
      </c>
      <c r="D111">
        <f t="shared" si="8"/>
        <v>0.04</v>
      </c>
      <c r="E111">
        <f t="shared" si="6"/>
        <v>41382.234856700488</v>
      </c>
    </row>
    <row r="112" spans="1:5" x14ac:dyDescent="0.75">
      <c r="A112">
        <f t="shared" si="7"/>
        <v>38.833333333333329</v>
      </c>
      <c r="B112">
        <f t="shared" si="9"/>
        <v>8.8333333333333268</v>
      </c>
      <c r="C112">
        <f t="shared" si="10"/>
        <v>4.7280685759994504E-4</v>
      </c>
      <c r="D112">
        <f t="shared" si="8"/>
        <v>0.04</v>
      </c>
      <c r="E112">
        <f t="shared" si="6"/>
        <v>41726.211370525649</v>
      </c>
    </row>
    <row r="113" spans="1:5" x14ac:dyDescent="0.75">
      <c r="A113">
        <f t="shared" si="7"/>
        <v>38.916666666666657</v>
      </c>
      <c r="B113">
        <f t="shared" si="9"/>
        <v>8.9166666666666607</v>
      </c>
      <c r="C113">
        <f t="shared" si="10"/>
        <v>4.7528151955178249E-4</v>
      </c>
      <c r="D113">
        <f t="shared" si="8"/>
        <v>0.04</v>
      </c>
      <c r="E113">
        <f t="shared" si="6"/>
        <v>42071.336054520536</v>
      </c>
    </row>
    <row r="114" spans="1:5" x14ac:dyDescent="0.75">
      <c r="A114">
        <f t="shared" si="7"/>
        <v>38.999999999999993</v>
      </c>
      <c r="B114">
        <f t="shared" si="9"/>
        <v>8.9999999999999947</v>
      </c>
      <c r="C114">
        <f t="shared" si="10"/>
        <v>4.7778040533929449E-4</v>
      </c>
      <c r="D114">
        <f t="shared" si="8"/>
        <v>0.04</v>
      </c>
      <c r="E114">
        <f t="shared" si="6"/>
        <v>42417.612806083474</v>
      </c>
    </row>
    <row r="115" spans="1:5" x14ac:dyDescent="0.75">
      <c r="A115">
        <f t="shared" si="7"/>
        <v>39.083333333333329</v>
      </c>
      <c r="B115">
        <f t="shared" si="9"/>
        <v>9.0833333333333286</v>
      </c>
      <c r="C115">
        <f t="shared" si="10"/>
        <v>4.8030375208343986E-4</v>
      </c>
      <c r="D115">
        <f t="shared" si="8"/>
        <v>0.04</v>
      </c>
      <c r="E115">
        <f t="shared" si="6"/>
        <v>42765.045537412603</v>
      </c>
    </row>
    <row r="116" spans="1:5" x14ac:dyDescent="0.75">
      <c r="A116">
        <f t="shared" si="7"/>
        <v>39.166666666666664</v>
      </c>
      <c r="B116">
        <f t="shared" si="9"/>
        <v>9.1666666666666625</v>
      </c>
      <c r="C116">
        <f t="shared" si="10"/>
        <v>4.8285179922629405E-4</v>
      </c>
      <c r="D116">
        <f t="shared" si="8"/>
        <v>0.04</v>
      </c>
      <c r="E116">
        <f t="shared" si="6"/>
        <v>43113.638175589091</v>
      </c>
    </row>
    <row r="117" spans="1:5" x14ac:dyDescent="0.75">
      <c r="A117">
        <f t="shared" si="7"/>
        <v>39.25</v>
      </c>
      <c r="B117">
        <f t="shared" si="9"/>
        <v>9.2499999999999964</v>
      </c>
      <c r="C117">
        <f t="shared" si="10"/>
        <v>4.8542478855376995E-4</v>
      </c>
      <c r="D117">
        <f t="shared" si="8"/>
        <v>0.04</v>
      </c>
      <c r="E117">
        <f t="shared" si="6"/>
        <v>43463.394662661201</v>
      </c>
    </row>
    <row r="118" spans="1:5" x14ac:dyDescent="0.75">
      <c r="A118">
        <f t="shared" si="7"/>
        <v>39.333333333333329</v>
      </c>
      <c r="B118">
        <f t="shared" si="9"/>
        <v>9.3333333333333304</v>
      </c>
      <c r="C118">
        <f t="shared" si="10"/>
        <v>4.8802296421856129E-4</v>
      </c>
      <c r="D118">
        <f t="shared" si="8"/>
        <v>0.04</v>
      </c>
      <c r="E118">
        <f t="shared" si="6"/>
        <v>43814.318955729126</v>
      </c>
    </row>
    <row r="119" spans="1:5" x14ac:dyDescent="0.75">
      <c r="A119">
        <f t="shared" si="7"/>
        <v>39.416666666666664</v>
      </c>
      <c r="B119">
        <f t="shared" si="9"/>
        <v>9.4166666666666643</v>
      </c>
      <c r="C119">
        <f t="shared" si="10"/>
        <v>4.9064657276331059E-4</v>
      </c>
      <c r="D119">
        <f t="shared" si="8"/>
        <v>0.04</v>
      </c>
      <c r="E119">
        <f t="shared" si="6"/>
        <v>44166.415027030744</v>
      </c>
    </row>
    <row r="120" spans="1:5" x14ac:dyDescent="0.75">
      <c r="A120">
        <f t="shared" si="7"/>
        <v>39.5</v>
      </c>
      <c r="B120">
        <f t="shared" si="9"/>
        <v>9.4999999999999982</v>
      </c>
      <c r="C120">
        <f t="shared" si="10"/>
        <v>4.9329586314400303E-4</v>
      </c>
      <c r="D120">
        <f t="shared" si="8"/>
        <v>0.04</v>
      </c>
      <c r="E120">
        <f t="shared" si="6"/>
        <v>44519.686864028175</v>
      </c>
    </row>
    <row r="121" spans="1:5" x14ac:dyDescent="0.75">
      <c r="A121">
        <f t="shared" si="7"/>
        <v>39.583333333333329</v>
      </c>
      <c r="B121">
        <f t="shared" si="9"/>
        <v>9.5833333333333321</v>
      </c>
      <c r="C121">
        <f t="shared" si="10"/>
        <v>4.9597108675359064E-4</v>
      </c>
      <c r="D121">
        <f t="shared" si="8"/>
        <v>0.04</v>
      </c>
      <c r="E121">
        <f t="shared" si="6"/>
        <v>44874.138469495287</v>
      </c>
    </row>
    <row r="122" spans="1:5" x14ac:dyDescent="0.75">
      <c r="A122">
        <f t="shared" si="7"/>
        <v>39.666666666666664</v>
      </c>
      <c r="B122">
        <f t="shared" si="9"/>
        <v>9.6666666666666661</v>
      </c>
      <c r="C122">
        <f t="shared" si="10"/>
        <v>4.9867249744584767E-4</v>
      </c>
      <c r="D122">
        <f t="shared" si="8"/>
        <v>0.04</v>
      </c>
      <c r="E122">
        <f t="shared" si="6"/>
        <v>45229.773861605987</v>
      </c>
    </row>
    <row r="123" spans="1:5" x14ac:dyDescent="0.75">
      <c r="A123">
        <f t="shared" si="7"/>
        <v>39.75</v>
      </c>
      <c r="B123">
        <f t="shared" si="9"/>
        <v>9.75</v>
      </c>
      <c r="C123">
        <f t="shared" si="10"/>
        <v>5.0140035155945759E-4</v>
      </c>
      <c r="D123">
        <f t="shared" si="8"/>
        <v>0.04</v>
      </c>
      <c r="E123">
        <f t="shared" si="6"/>
        <v>45586.597074023499</v>
      </c>
    </row>
    <row r="124" spans="1:5" x14ac:dyDescent="0.75">
      <c r="A124">
        <f t="shared" si="7"/>
        <v>39.833333333333336</v>
      </c>
      <c r="B124">
        <f t="shared" si="9"/>
        <v>9.8333333333333339</v>
      </c>
      <c r="C124">
        <f t="shared" si="10"/>
        <v>5.0415490794233854E-4</v>
      </c>
      <c r="D124">
        <f t="shared" si="8"/>
        <v>0.04</v>
      </c>
      <c r="E124">
        <f t="shared" si="6"/>
        <v>45944.612155990537</v>
      </c>
    </row>
    <row r="125" spans="1:5" x14ac:dyDescent="0.75">
      <c r="A125">
        <f t="shared" si="7"/>
        <v>39.916666666666671</v>
      </c>
      <c r="B125">
        <f t="shared" si="9"/>
        <v>9.9166666666666679</v>
      </c>
      <c r="C125">
        <f t="shared" si="10"/>
        <v>5.06936427976204E-4</v>
      </c>
      <c r="D125">
        <f t="shared" si="8"/>
        <v>0.04</v>
      </c>
      <c r="E125">
        <f t="shared" si="6"/>
        <v>46303.823172420329</v>
      </c>
    </row>
    <row r="126" spans="1:5" x14ac:dyDescent="0.75">
      <c r="A126">
        <f t="shared" si="7"/>
        <v>40</v>
      </c>
      <c r="B126">
        <f t="shared" si="9"/>
        <v>10.000000000000002</v>
      </c>
      <c r="C126">
        <f t="shared" si="10"/>
        <v>5.0974517560136746E-4</v>
      </c>
      <c r="D126">
        <f t="shared" si="8"/>
        <v>0.04</v>
      </c>
      <c r="E126">
        <f>(E127 -$D$2*$B$2+$D$2*C126*$C$2)/(1+$D$2*D126+$D$2*C126)</f>
        <v>46664.234203988657</v>
      </c>
    </row>
    <row r="127" spans="1:5" x14ac:dyDescent="0.75">
      <c r="A127">
        <f t="shared" si="7"/>
        <v>40.083333333333336</v>
      </c>
      <c r="B127">
        <f t="shared" si="9"/>
        <v>10.083333333333336</v>
      </c>
      <c r="C127">
        <f t="shared" si="10"/>
        <v>5.1258141734178669E-4</v>
      </c>
      <c r="D127">
        <f t="shared" si="8"/>
        <v>0.04</v>
      </c>
      <c r="E127">
        <f t="shared" si="6"/>
        <v>47025.849347226831</v>
      </c>
    </row>
    <row r="128" spans="1:5" x14ac:dyDescent="0.75">
      <c r="A128">
        <f t="shared" si="7"/>
        <v>40.166666666666671</v>
      </c>
      <c r="B128">
        <f t="shared" si="9"/>
        <v>10.16666666666667</v>
      </c>
      <c r="C128">
        <f t="shared" si="10"/>
        <v>5.1544542233035472E-4</v>
      </c>
      <c r="D128">
        <f t="shared" si="8"/>
        <v>0.04</v>
      </c>
      <c r="E128">
        <f t="shared" si="6"/>
        <v>47388.672714615583</v>
      </c>
    </row>
    <row r="129" spans="1:5" x14ac:dyDescent="0.75">
      <c r="A129">
        <f t="shared" si="7"/>
        <v>40.25</v>
      </c>
      <c r="B129">
        <f t="shared" si="9"/>
        <v>10.250000000000004</v>
      </c>
      <c r="C129">
        <f t="shared" si="10"/>
        <v>5.1833746233443734E-4</v>
      </c>
      <c r="D129">
        <f t="shared" si="8"/>
        <v>0.04</v>
      </c>
      <c r="E129">
        <f t="shared" si="6"/>
        <v>47752.708434679982</v>
      </c>
    </row>
    <row r="130" spans="1:5" x14ac:dyDescent="0.75">
      <c r="A130">
        <f t="shared" si="7"/>
        <v>40.333333333333336</v>
      </c>
      <c r="B130">
        <f t="shared" si="9"/>
        <v>10.333333333333337</v>
      </c>
      <c r="C130">
        <f t="shared" si="10"/>
        <v>5.2125781178166317E-4</v>
      </c>
      <c r="D130">
        <f t="shared" si="8"/>
        <v>0.04</v>
      </c>
      <c r="E130">
        <f t="shared" si="6"/>
        <v>48117.960652085269</v>
      </c>
    </row>
    <row r="131" spans="1:5" x14ac:dyDescent="0.75">
      <c r="A131">
        <f t="shared" si="7"/>
        <v>40.416666666666671</v>
      </c>
      <c r="B131">
        <f t="shared" si="9"/>
        <v>10.416666666666671</v>
      </c>
      <c r="C131">
        <f t="shared" si="10"/>
        <v>5.2420674778596134E-4</v>
      </c>
      <c r="D131">
        <f t="shared" si="8"/>
        <v>0.04</v>
      </c>
      <c r="E131">
        <f t="shared" si="6"/>
        <v>48484.433527733781</v>
      </c>
    </row>
    <row r="132" spans="1:5" x14ac:dyDescent="0.75">
      <c r="A132">
        <f t="shared" si="7"/>
        <v>40.500000000000007</v>
      </c>
      <c r="B132">
        <f t="shared" si="9"/>
        <v>10.500000000000005</v>
      </c>
      <c r="C132">
        <f t="shared" si="10"/>
        <v>5.2718455017385969E-4</v>
      </c>
      <c r="D132">
        <f t="shared" si="8"/>
        <v>0.04</v>
      </c>
      <c r="E132">
        <f t="shared" si="6"/>
        <v>48852.131238862828</v>
      </c>
    </row>
    <row r="133" spans="1:5" x14ac:dyDescent="0.75">
      <c r="A133">
        <f t="shared" si="7"/>
        <v>40.583333333333343</v>
      </c>
      <c r="B133">
        <f t="shared" si="9"/>
        <v>10.583333333333339</v>
      </c>
      <c r="C133">
        <f t="shared" si="10"/>
        <v>5.3019150151103643E-4</v>
      </c>
      <c r="D133">
        <f t="shared" si="8"/>
        <v>0.04</v>
      </c>
      <c r="E133">
        <f t="shared" si="6"/>
        <v>49221.05797914361</v>
      </c>
    </row>
    <row r="134" spans="1:5" x14ac:dyDescent="0.75">
      <c r="A134">
        <f t="shared" si="7"/>
        <v>40.666666666666671</v>
      </c>
      <c r="B134">
        <f t="shared" si="9"/>
        <v>10.666666666666673</v>
      </c>
      <c r="C134">
        <f t="shared" si="10"/>
        <v>5.3322788712913312E-4</v>
      </c>
      <c r="D134">
        <f t="shared" si="8"/>
        <v>0.04</v>
      </c>
      <c r="E134">
        <f t="shared" ref="E134:E197" si="11">(E135 -$D$2*$B$2+$D$2*C134*$C$2)/(1+$D$2*D134+$D$2*C134)</f>
        <v>49591.217958781162</v>
      </c>
    </row>
    <row r="135" spans="1:5" x14ac:dyDescent="0.75">
      <c r="A135">
        <f t="shared" ref="A135:A198" si="12">$A$2+B135</f>
        <v>40.750000000000007</v>
      </c>
      <c r="B135">
        <f t="shared" si="9"/>
        <v>10.750000000000007</v>
      </c>
      <c r="C135">
        <f t="shared" si="10"/>
        <v>5.3629399515283066E-4</v>
      </c>
      <c r="D135">
        <f t="shared" ref="D135:D198" si="13">0.04</f>
        <v>0.04</v>
      </c>
      <c r="E135">
        <f t="shared" si="11"/>
        <v>49962.615404615397</v>
      </c>
    </row>
    <row r="136" spans="1:5" x14ac:dyDescent="0.75">
      <c r="A136">
        <f t="shared" si="12"/>
        <v>40.833333333333343</v>
      </c>
      <c r="B136">
        <f t="shared" si="9"/>
        <v>10.833333333333341</v>
      </c>
      <c r="C136">
        <f t="shared" si="10"/>
        <v>5.3939011652718845E-4</v>
      </c>
      <c r="D136">
        <f t="shared" si="13"/>
        <v>0.04</v>
      </c>
      <c r="E136">
        <f t="shared" si="11"/>
        <v>50335.254560223155</v>
      </c>
    </row>
    <row r="137" spans="1:5" x14ac:dyDescent="0.75">
      <c r="A137">
        <f t="shared" si="12"/>
        <v>40.916666666666671</v>
      </c>
      <c r="B137">
        <f t="shared" ref="B137:B150" si="14">B136+$D$2</f>
        <v>10.916666666666675</v>
      </c>
      <c r="C137">
        <f t="shared" si="10"/>
        <v>5.4251654504525334E-4</v>
      </c>
      <c r="D137">
        <f t="shared" si="13"/>
        <v>0.04</v>
      </c>
      <c r="E137">
        <f t="shared" si="11"/>
        <v>50709.139686021401</v>
      </c>
    </row>
    <row r="138" spans="1:5" x14ac:dyDescent="0.75">
      <c r="A138">
        <f t="shared" si="12"/>
        <v>41.000000000000007</v>
      </c>
      <c r="B138">
        <f t="shared" si="14"/>
        <v>11.000000000000009</v>
      </c>
      <c r="C138">
        <f t="shared" si="10"/>
        <v>5.456735773759372E-4</v>
      </c>
      <c r="D138">
        <f t="shared" si="13"/>
        <v>0.04</v>
      </c>
      <c r="E138">
        <f t="shared" si="11"/>
        <v>51084.275059371495</v>
      </c>
    </row>
    <row r="139" spans="1:5" x14ac:dyDescent="0.75">
      <c r="A139">
        <f t="shared" si="12"/>
        <v>41.083333333333343</v>
      </c>
      <c r="B139">
        <f t="shared" si="14"/>
        <v>11.083333333333343</v>
      </c>
      <c r="C139">
        <f t="shared" si="10"/>
        <v>5.4886151309216857E-4</v>
      </c>
      <c r="D139">
        <f t="shared" si="13"/>
        <v>0.04</v>
      </c>
      <c r="E139">
        <f t="shared" si="11"/>
        <v>51460.664974684558</v>
      </c>
    </row>
    <row r="140" spans="1:5" x14ac:dyDescent="0.75">
      <c r="A140">
        <f t="shared" si="12"/>
        <v>41.166666666666679</v>
      </c>
      <c r="B140">
        <f t="shared" si="14"/>
        <v>11.166666666666677</v>
      </c>
      <c r="C140">
        <f t="shared" si="10"/>
        <v>5.52080654699319E-4</v>
      </c>
      <c r="D140">
        <f t="shared" si="13"/>
        <v>0.04</v>
      </c>
      <c r="E140">
        <f t="shared" si="11"/>
        <v>51838.313743527979</v>
      </c>
    </row>
    <row r="141" spans="1:5" x14ac:dyDescent="0.75">
      <c r="A141">
        <f t="shared" si="12"/>
        <v>41.250000000000014</v>
      </c>
      <c r="B141">
        <f t="shared" si="14"/>
        <v>11.250000000000011</v>
      </c>
      <c r="C141">
        <f t="shared" si="10"/>
        <v>5.5533130766390818E-4</v>
      </c>
      <c r="D141">
        <f t="shared" si="13"/>
        <v>0.04</v>
      </c>
      <c r="E141">
        <f t="shared" si="11"/>
        <v>52217.22569473309</v>
      </c>
    </row>
    <row r="142" spans="1:5" x14ac:dyDescent="0.75">
      <c r="A142">
        <f t="shared" si="12"/>
        <v>41.333333333333343</v>
      </c>
      <c r="B142">
        <f t="shared" si="14"/>
        <v>11.333333333333345</v>
      </c>
      <c r="C142">
        <f t="shared" si="10"/>
        <v>5.586137804425898E-4</v>
      </c>
      <c r="D142">
        <f t="shared" si="13"/>
        <v>0.04</v>
      </c>
      <c r="E142">
        <f t="shared" si="11"/>
        <v>52597.405174503976</v>
      </c>
    </row>
    <row r="143" spans="1:5" x14ac:dyDescent="0.75">
      <c r="A143">
        <f t="shared" si="12"/>
        <v>41.416666666666679</v>
      </c>
      <c r="B143">
        <f t="shared" si="14"/>
        <v>11.416666666666679</v>
      </c>
      <c r="C143">
        <f t="shared" si="10"/>
        <v>5.6192838451142081E-4</v>
      </c>
      <c r="D143">
        <f t="shared" si="13"/>
        <v>0.04</v>
      </c>
      <c r="E143">
        <f t="shared" si="11"/>
        <v>52978.856546527481</v>
      </c>
    </row>
    <row r="144" spans="1:5" x14ac:dyDescent="0.75">
      <c r="A144">
        <f t="shared" si="12"/>
        <v>41.500000000000014</v>
      </c>
      <c r="B144">
        <f t="shared" si="14"/>
        <v>11.500000000000012</v>
      </c>
      <c r="C144">
        <f t="shared" si="10"/>
        <v>5.6527543439541857E-4</v>
      </c>
      <c r="D144">
        <f t="shared" si="13"/>
        <v>0.04</v>
      </c>
      <c r="E144">
        <f t="shared" si="11"/>
        <v>53361.58419208436</v>
      </c>
    </row>
    <row r="145" spans="1:5" x14ac:dyDescent="0.75">
      <c r="A145">
        <f t="shared" si="12"/>
        <v>41.583333333333343</v>
      </c>
      <c r="B145">
        <f t="shared" si="14"/>
        <v>11.583333333333346</v>
      </c>
      <c r="C145">
        <f t="shared" si="10"/>
        <v>5.6865524769840502E-4</v>
      </c>
      <c r="D145">
        <f t="shared" si="13"/>
        <v>0.04</v>
      </c>
      <c r="E145">
        <f t="shared" si="11"/>
        <v>53745.592510161696</v>
      </c>
    </row>
    <row r="146" spans="1:5" x14ac:dyDescent="0.75">
      <c r="A146">
        <f t="shared" si="12"/>
        <v>41.666666666666679</v>
      </c>
      <c r="B146">
        <f t="shared" si="14"/>
        <v>11.66666666666668</v>
      </c>
      <c r="C146">
        <f t="shared" si="10"/>
        <v>5.7206814513314586E-4</v>
      </c>
      <c r="D146">
        <f t="shared" si="13"/>
        <v>0.04</v>
      </c>
      <c r="E146">
        <f t="shared" si="11"/>
        <v>54130.885917566549</v>
      </c>
    </row>
    <row r="147" spans="1:5" x14ac:dyDescent="0.75">
      <c r="A147">
        <f t="shared" si="12"/>
        <v>41.750000000000014</v>
      </c>
      <c r="B147">
        <f t="shared" si="14"/>
        <v>11.750000000000014</v>
      </c>
      <c r="C147">
        <f t="shared" si="10"/>
        <v>5.7551445055178192E-4</v>
      </c>
      <c r="D147">
        <f t="shared" si="13"/>
        <v>0.04</v>
      </c>
      <c r="E147">
        <f t="shared" si="11"/>
        <v>54517.468849040772</v>
      </c>
    </row>
    <row r="148" spans="1:5" x14ac:dyDescent="0.75">
      <c r="A148">
        <f t="shared" si="12"/>
        <v>41.83333333333335</v>
      </c>
      <c r="B148">
        <f t="shared" si="14"/>
        <v>11.833333333333348</v>
      </c>
      <c r="C148">
        <f t="shared" si="10"/>
        <v>5.7899449097656018E-4</v>
      </c>
      <c r="D148">
        <f t="shared" si="13"/>
        <v>0.04</v>
      </c>
      <c r="E148">
        <f t="shared" si="11"/>
        <v>54905.345757377159</v>
      </c>
    </row>
    <row r="149" spans="1:5" x14ac:dyDescent="0.75">
      <c r="A149">
        <f t="shared" si="12"/>
        <v>41.916666666666686</v>
      </c>
      <c r="B149">
        <f t="shared" si="14"/>
        <v>11.916666666666682</v>
      </c>
      <c r="C149">
        <f t="shared" si="10"/>
        <v>5.825085966308654E-4</v>
      </c>
      <c r="D149">
        <f t="shared" si="13"/>
        <v>0.04</v>
      </c>
      <c r="E149">
        <f t="shared" si="11"/>
        <v>55294.521113536837</v>
      </c>
    </row>
    <row r="150" spans="1:5" x14ac:dyDescent="0.75">
      <c r="A150">
        <f t="shared" si="12"/>
        <v>42.000000000000014</v>
      </c>
      <c r="B150">
        <f t="shared" si="14"/>
        <v>12.000000000000016</v>
      </c>
      <c r="C150">
        <f t="shared" si="10"/>
        <v>5.8605710097055371E-4</v>
      </c>
      <c r="D150">
        <f t="shared" si="13"/>
        <v>0.04</v>
      </c>
      <c r="E150">
        <f t="shared" si="11"/>
        <v>55684.99940676798</v>
      </c>
    </row>
    <row r="151" spans="1:5" x14ac:dyDescent="0.75">
      <c r="A151">
        <f t="shared" si="12"/>
        <v>42.08333333333335</v>
      </c>
      <c r="B151">
        <f>B150+$D$2</f>
        <v>12.08333333333335</v>
      </c>
      <c r="C151">
        <f t="shared" si="10"/>
        <v>5.8964034071559777E-4</v>
      </c>
      <c r="D151">
        <f t="shared" si="13"/>
        <v>0.04</v>
      </c>
      <c r="E151">
        <f t="shared" si="11"/>
        <v>56076.785144725785</v>
      </c>
    </row>
    <row r="152" spans="1:5" x14ac:dyDescent="0.75">
      <c r="A152">
        <f t="shared" si="12"/>
        <v>42.166666666666686</v>
      </c>
      <c r="B152">
        <f t="shared" ref="B152:B169" si="15">B151+$D$2</f>
        <v>12.166666666666684</v>
      </c>
      <c r="C152">
        <f t="shared" si="10"/>
        <v>5.9325865588203493E-4</v>
      </c>
      <c r="D152">
        <f t="shared" si="13"/>
        <v>0.04</v>
      </c>
      <c r="E152">
        <f t="shared" si="11"/>
        <v>56469.88285359383</v>
      </c>
    </row>
    <row r="153" spans="1:5" x14ac:dyDescent="0.75">
      <c r="A153">
        <f t="shared" si="12"/>
        <v>42.250000000000014</v>
      </c>
      <c r="B153">
        <f t="shared" si="15"/>
        <v>12.250000000000018</v>
      </c>
      <c r="C153">
        <f t="shared" si="10"/>
        <v>5.9691238981423287E-4</v>
      </c>
      <c r="D153">
        <f t="shared" si="13"/>
        <v>0.04</v>
      </c>
      <c r="E153">
        <f t="shared" si="11"/>
        <v>56864.297078206757</v>
      </c>
    </row>
    <row r="154" spans="1:5" x14ac:dyDescent="0.75">
      <c r="A154">
        <f t="shared" si="12"/>
        <v>42.33333333333335</v>
      </c>
      <c r="B154">
        <f t="shared" si="15"/>
        <v>12.333333333333352</v>
      </c>
      <c r="C154">
        <f t="shared" si="10"/>
        <v>6.006018892174709E-4</v>
      </c>
      <c r="D154">
        <f t="shared" si="13"/>
        <v>0.04</v>
      </c>
      <c r="E154">
        <f t="shared" si="11"/>
        <v>57260.032382174344</v>
      </c>
    </row>
    <row r="155" spans="1:5" x14ac:dyDescent="0.75">
      <c r="A155">
        <f t="shared" si="12"/>
        <v>42.416666666666686</v>
      </c>
      <c r="B155">
        <f t="shared" si="15"/>
        <v>12.416666666666686</v>
      </c>
      <c r="C155">
        <f t="shared" si="10"/>
        <v>6.043275041908374E-4</v>
      </c>
      <c r="D155">
        <f t="shared" si="13"/>
        <v>0.04</v>
      </c>
      <c r="E155">
        <f t="shared" si="11"/>
        <v>57657.0933480069</v>
      </c>
    </row>
    <row r="156" spans="1:5" x14ac:dyDescent="0.75">
      <c r="A156">
        <f t="shared" si="12"/>
        <v>42.500000000000021</v>
      </c>
      <c r="B156">
        <f t="shared" si="15"/>
        <v>12.50000000000002</v>
      </c>
      <c r="C156">
        <f t="shared" si="10"/>
        <v>6.0808958826045079E-4</v>
      </c>
      <c r="D156">
        <f t="shared" si="13"/>
        <v>0.04</v>
      </c>
      <c r="E156">
        <f t="shared" si="11"/>
        <v>58055.484577242169</v>
      </c>
    </row>
    <row r="157" spans="1:5" x14ac:dyDescent="0.75">
      <c r="A157">
        <f t="shared" si="12"/>
        <v>42.583333333333357</v>
      </c>
      <c r="B157">
        <f t="shared" si="15"/>
        <v>12.583333333333353</v>
      </c>
      <c r="C157">
        <f t="shared" si="10"/>
        <v>6.1188849841300791E-4</v>
      </c>
      <c r="D157">
        <f t="shared" si="13"/>
        <v>0.04</v>
      </c>
      <c r="E157">
        <f t="shared" si="11"/>
        <v>58455.210690573542</v>
      </c>
    </row>
    <row r="158" spans="1:5" x14ac:dyDescent="0.75">
      <c r="A158">
        <f t="shared" si="12"/>
        <v>42.666666666666686</v>
      </c>
      <c r="B158">
        <f t="shared" si="15"/>
        <v>12.666666666666687</v>
      </c>
      <c r="C158">
        <f t="shared" si="10"/>
        <v>6.1572459512965639E-4</v>
      </c>
      <c r="D158">
        <f t="shared" si="13"/>
        <v>0.04</v>
      </c>
      <c r="E158">
        <f t="shared" si="11"/>
        <v>58856.276327979846</v>
      </c>
    </row>
    <row r="159" spans="1:5" x14ac:dyDescent="0.75">
      <c r="A159">
        <f t="shared" si="12"/>
        <v>42.750000000000021</v>
      </c>
      <c r="B159">
        <f t="shared" si="15"/>
        <v>12.750000000000021</v>
      </c>
      <c r="C159">
        <f t="shared" si="10"/>
        <v>6.1959824242020334E-4</v>
      </c>
      <c r="D159">
        <f t="shared" si="13"/>
        <v>0.04</v>
      </c>
      <c r="E159">
        <f t="shared" si="11"/>
        <v>59258.686148856439</v>
      </c>
    </row>
    <row r="160" spans="1:5" x14ac:dyDescent="0.75">
      <c r="A160">
        <f t="shared" si="12"/>
        <v>42.833333333333357</v>
      </c>
      <c r="B160">
        <f t="shared" si="15"/>
        <v>12.833333333333355</v>
      </c>
      <c r="C160">
        <f t="shared" ref="C160:C223" si="16">(0.00022  + 0.0000027*1.124^A160)</f>
        <v>6.235098078576541E-4</v>
      </c>
      <c r="D160">
        <f t="shared" si="13"/>
        <v>0.04</v>
      </c>
      <c r="E160">
        <f t="shared" si="11"/>
        <v>59662.444832147958</v>
      </c>
    </row>
    <row r="161" spans="1:5" x14ac:dyDescent="0.75">
      <c r="A161">
        <f t="shared" si="12"/>
        <v>42.916666666666686</v>
      </c>
      <c r="B161">
        <f t="shared" si="15"/>
        <v>12.916666666666689</v>
      </c>
      <c r="C161">
        <f t="shared" si="16"/>
        <v>6.2745966261309278E-4</v>
      </c>
      <c r="D161">
        <f t="shared" si="13"/>
        <v>0.04</v>
      </c>
      <c r="E161">
        <f t="shared" si="11"/>
        <v>60067.557076482437</v>
      </c>
    </row>
    <row r="162" spans="1:5" x14ac:dyDescent="0.75">
      <c r="A162">
        <f t="shared" si="12"/>
        <v>43.000000000000021</v>
      </c>
      <c r="B162">
        <f t="shared" si="15"/>
        <v>13.000000000000023</v>
      </c>
      <c r="C162">
        <f t="shared" si="16"/>
        <v>6.3144818149090277E-4</v>
      </c>
      <c r="D162">
        <f t="shared" si="13"/>
        <v>0.04</v>
      </c>
      <c r="E162">
        <f t="shared" si="11"/>
        <v>60474.027600307054</v>
      </c>
    </row>
    <row r="163" spans="1:5" x14ac:dyDescent="0.75">
      <c r="A163">
        <f t="shared" si="12"/>
        <v>43.083333333333357</v>
      </c>
      <c r="B163">
        <f t="shared" si="15"/>
        <v>13.083333333333357</v>
      </c>
      <c r="C163">
        <f t="shared" si="16"/>
        <v>6.3547574296433235E-4</v>
      </c>
      <c r="D163">
        <f t="shared" si="13"/>
        <v>0.04</v>
      </c>
      <c r="E163">
        <f t="shared" si="11"/>
        <v>60881.8611420253</v>
      </c>
    </row>
    <row r="164" spans="1:5" x14ac:dyDescent="0.75">
      <c r="A164">
        <f t="shared" si="12"/>
        <v>43.166666666666693</v>
      </c>
      <c r="B164">
        <f t="shared" si="15"/>
        <v>13.166666666666691</v>
      </c>
      <c r="C164">
        <f t="shared" si="16"/>
        <v>6.3954272921140773E-4</v>
      </c>
      <c r="D164">
        <f t="shared" si="13"/>
        <v>0.04</v>
      </c>
      <c r="E164">
        <f t="shared" si="11"/>
        <v>61291.06246013588</v>
      </c>
    </row>
    <row r="165" spans="1:5" x14ac:dyDescent="0.75">
      <c r="A165">
        <f t="shared" si="12"/>
        <v>43.250000000000028</v>
      </c>
      <c r="B165">
        <f t="shared" si="15"/>
        <v>13.250000000000025</v>
      </c>
      <c r="C165">
        <f t="shared" si="16"/>
        <v>6.436495261511985E-4</v>
      </c>
      <c r="D165">
        <f t="shared" si="13"/>
        <v>0.04</v>
      </c>
      <c r="E165">
        <f t="shared" si="11"/>
        <v>61701.636333373084</v>
      </c>
    </row>
    <row r="166" spans="1:5" x14ac:dyDescent="0.75">
      <c r="A166">
        <f t="shared" si="12"/>
        <v>43.333333333333357</v>
      </c>
      <c r="B166">
        <f t="shared" si="15"/>
        <v>13.333333333333359</v>
      </c>
      <c r="C166">
        <f t="shared" si="16"/>
        <v>6.4779652348043767E-4</v>
      </c>
      <c r="D166">
        <f t="shared" si="13"/>
        <v>0.04</v>
      </c>
      <c r="E166">
        <f t="shared" si="11"/>
        <v>62113.587560848806</v>
      </c>
    </row>
    <row r="167" spans="1:5" x14ac:dyDescent="0.75">
      <c r="A167">
        <f t="shared" si="12"/>
        <v>43.416666666666693</v>
      </c>
      <c r="B167">
        <f t="shared" si="15"/>
        <v>13.416666666666693</v>
      </c>
      <c r="C167">
        <f t="shared" si="16"/>
        <v>6.5198411471050161E-4</v>
      </c>
      <c r="D167">
        <f t="shared" si="13"/>
        <v>0.04</v>
      </c>
      <c r="E167">
        <f t="shared" si="11"/>
        <v>62526.920962196215</v>
      </c>
    </row>
    <row r="168" spans="1:5" x14ac:dyDescent="0.75">
      <c r="A168">
        <f t="shared" si="12"/>
        <v>43.500000000000028</v>
      </c>
      <c r="B168">
        <f t="shared" si="15"/>
        <v>13.500000000000027</v>
      </c>
      <c r="C168">
        <f t="shared" si="16"/>
        <v>6.5621269720474715E-4</v>
      </c>
      <c r="D168">
        <f t="shared" si="13"/>
        <v>0.04</v>
      </c>
      <c r="E168">
        <f t="shared" si="11"/>
        <v>62941.641377715045</v>
      </c>
    </row>
    <row r="169" spans="1:5" x14ac:dyDescent="0.75">
      <c r="A169">
        <f t="shared" si="12"/>
        <v>43.583333333333357</v>
      </c>
      <c r="B169">
        <f t="shared" si="15"/>
        <v>13.583333333333361</v>
      </c>
      <c r="C169">
        <f t="shared" si="16"/>
        <v>6.6048267221622083E-4</v>
      </c>
      <c r="D169">
        <f t="shared" si="13"/>
        <v>0.04</v>
      </c>
      <c r="E169">
        <f t="shared" si="11"/>
        <v>63357.75366851865</v>
      </c>
    </row>
    <row r="170" spans="1:5" x14ac:dyDescent="0.75">
      <c r="A170">
        <f t="shared" si="12"/>
        <v>43.666666666666693</v>
      </c>
      <c r="B170">
        <f>B169+$D$2</f>
        <v>13.666666666666694</v>
      </c>
      <c r="C170">
        <f t="shared" si="16"/>
        <v>6.6479444492573419E-4</v>
      </c>
      <c r="D170">
        <f t="shared" si="13"/>
        <v>0.04</v>
      </c>
      <c r="E170">
        <f t="shared" si="11"/>
        <v>63775.262716682628</v>
      </c>
    </row>
    <row r="171" spans="1:5" x14ac:dyDescent="0.75">
      <c r="A171">
        <f t="shared" si="12"/>
        <v>43.750000000000028</v>
      </c>
      <c r="B171">
        <f t="shared" ref="B171:B187" si="17">B170+$D$2</f>
        <v>13.750000000000028</v>
      </c>
      <c r="C171">
        <f t="shared" si="16"/>
        <v>6.6914842448030892E-4</v>
      </c>
      <c r="D171">
        <f t="shared" si="13"/>
        <v>0.04</v>
      </c>
      <c r="E171">
        <f t="shared" si="11"/>
        <v>64194.173425395333</v>
      </c>
    </row>
    <row r="172" spans="1:5" x14ac:dyDescent="0.75">
      <c r="A172">
        <f t="shared" si="12"/>
        <v>43.833333333333364</v>
      </c>
      <c r="B172">
        <f t="shared" si="17"/>
        <v>13.833333333333362</v>
      </c>
      <c r="C172">
        <f t="shared" si="16"/>
        <v>6.735450240320036E-4</v>
      </c>
      <c r="D172">
        <f t="shared" si="13"/>
        <v>0.04</v>
      </c>
      <c r="E172">
        <f t="shared" si="11"/>
        <v>64614.490719110028</v>
      </c>
    </row>
    <row r="173" spans="1:5" x14ac:dyDescent="0.75">
      <c r="A173">
        <f t="shared" si="12"/>
        <v>43.9166666666667</v>
      </c>
      <c r="B173">
        <f t="shared" si="17"/>
        <v>13.916666666666696</v>
      </c>
      <c r="C173">
        <f t="shared" si="16"/>
        <v>6.7798466077711702E-4</v>
      </c>
      <c r="D173">
        <f t="shared" si="13"/>
        <v>0.04</v>
      </c>
      <c r="E173">
        <f t="shared" si="11"/>
        <v>65036.219543698819</v>
      </c>
    </row>
    <row r="174" spans="1:5" x14ac:dyDescent="0.75">
      <c r="A174">
        <f t="shared" si="12"/>
        <v>44.000000000000028</v>
      </c>
      <c r="B174">
        <f t="shared" si="17"/>
        <v>14.00000000000003</v>
      </c>
      <c r="C174">
        <f t="shared" si="16"/>
        <v>6.8246775599577517E-4</v>
      </c>
      <c r="D174">
        <f t="shared" si="13"/>
        <v>0.04</v>
      </c>
      <c r="E174">
        <f t="shared" si="11"/>
        <v>65459.364866608485</v>
      </c>
    </row>
    <row r="175" spans="1:5" x14ac:dyDescent="0.75">
      <c r="A175">
        <f t="shared" si="12"/>
        <v>44.083333333333364</v>
      </c>
      <c r="B175">
        <f t="shared" si="17"/>
        <v>14.083333333333364</v>
      </c>
      <c r="C175">
        <f t="shared" si="16"/>
        <v>6.8699473509190999E-4</v>
      </c>
      <c r="D175">
        <f t="shared" si="13"/>
        <v>0.04</v>
      </c>
      <c r="E175">
        <f t="shared" si="11"/>
        <v>65883.931677018001</v>
      </c>
    </row>
    <row r="176" spans="1:5" x14ac:dyDescent="0.75">
      <c r="A176">
        <f t="shared" si="12"/>
        <v>44.1666666666667</v>
      </c>
      <c r="B176">
        <f t="shared" si="17"/>
        <v>14.166666666666698</v>
      </c>
      <c r="C176">
        <f t="shared" si="16"/>
        <v>6.9156602763362262E-4</v>
      </c>
      <c r="D176">
        <f t="shared" si="13"/>
        <v>0.04</v>
      </c>
      <c r="E176">
        <f t="shared" si="11"/>
        <v>66309.924985998063</v>
      </c>
    </row>
    <row r="177" spans="1:5" x14ac:dyDescent="0.75">
      <c r="A177">
        <f t="shared" si="12"/>
        <v>44.250000000000028</v>
      </c>
      <c r="B177">
        <f t="shared" si="17"/>
        <v>14.250000000000032</v>
      </c>
      <c r="C177">
        <f t="shared" si="16"/>
        <v>6.9618206739394714E-4</v>
      </c>
      <c r="D177">
        <f t="shared" si="13"/>
        <v>0.04</v>
      </c>
      <c r="E177">
        <f t="shared" si="11"/>
        <v>66737.349826672376</v>
      </c>
    </row>
    <row r="178" spans="1:5" x14ac:dyDescent="0.75">
      <c r="A178">
        <f t="shared" si="12"/>
        <v>44.333333333333364</v>
      </c>
      <c r="B178">
        <f t="shared" si="17"/>
        <v>14.333333333333366</v>
      </c>
      <c r="C178">
        <f t="shared" si="16"/>
        <v>7.0084329239201244E-4</v>
      </c>
      <c r="D178">
        <f t="shared" si="13"/>
        <v>0.04</v>
      </c>
      <c r="E178">
        <f t="shared" si="11"/>
        <v>67166.211254380905</v>
      </c>
    </row>
    <row r="179" spans="1:5" x14ac:dyDescent="0.75">
      <c r="A179">
        <f t="shared" si="12"/>
        <v>44.4166666666667</v>
      </c>
      <c r="B179">
        <f t="shared" si="17"/>
        <v>14.4166666666667</v>
      </c>
      <c r="C179">
        <f t="shared" si="16"/>
        <v>7.0555014493460435E-4</v>
      </c>
      <c r="D179">
        <f t="shared" si="13"/>
        <v>0.04</v>
      </c>
      <c r="E179">
        <f t="shared" si="11"/>
        <v>67596.514346844997</v>
      </c>
    </row>
    <row r="180" spans="1:5" x14ac:dyDescent="0.75">
      <c r="A180">
        <f t="shared" si="12"/>
        <v>44.500000000000036</v>
      </c>
      <c r="B180">
        <f t="shared" si="17"/>
        <v>14.500000000000034</v>
      </c>
      <c r="C180">
        <f t="shared" si="16"/>
        <v>7.1030307165813637E-4</v>
      </c>
      <c r="D180">
        <f t="shared" si="13"/>
        <v>0.04</v>
      </c>
      <c r="E180">
        <f t="shared" si="11"/>
        <v>68028.26420433457</v>
      </c>
    </row>
    <row r="181" spans="1:5" x14ac:dyDescent="0.75">
      <c r="A181">
        <f t="shared" si="12"/>
        <v>44.583333333333371</v>
      </c>
      <c r="B181">
        <f t="shared" si="17"/>
        <v>14.583333333333368</v>
      </c>
      <c r="C181">
        <f t="shared" si="16"/>
        <v>7.1510252357103322E-4</v>
      </c>
      <c r="D181">
        <f t="shared" si="13"/>
        <v>0.04</v>
      </c>
      <c r="E181">
        <f t="shared" si="11"/>
        <v>68461.465949837206</v>
      </c>
    </row>
    <row r="182" spans="1:5" x14ac:dyDescent="0.75">
      <c r="A182">
        <f t="shared" si="12"/>
        <v>44.6666666666667</v>
      </c>
      <c r="B182">
        <f t="shared" si="17"/>
        <v>14.666666666666702</v>
      </c>
      <c r="C182">
        <f t="shared" si="16"/>
        <v>7.1994895609652572E-4</v>
      </c>
      <c r="D182">
        <f t="shared" si="13"/>
        <v>0.04</v>
      </c>
      <c r="E182">
        <f t="shared" si="11"/>
        <v>68896.124729229254</v>
      </c>
    </row>
    <row r="183" spans="1:5" x14ac:dyDescent="0.75">
      <c r="A183">
        <f t="shared" si="12"/>
        <v>44.750000000000036</v>
      </c>
      <c r="B183">
        <f t="shared" si="17"/>
        <v>14.750000000000036</v>
      </c>
      <c r="C183">
        <f t="shared" si="16"/>
        <v>7.2484282911586771E-4</v>
      </c>
      <c r="D183">
        <f t="shared" si="13"/>
        <v>0.04</v>
      </c>
      <c r="E183">
        <f t="shared" si="11"/>
        <v>69332.245711449039</v>
      </c>
    </row>
    <row r="184" spans="1:5" x14ac:dyDescent="0.75">
      <c r="A184">
        <f t="shared" si="12"/>
        <v>44.833333333333371</v>
      </c>
      <c r="B184">
        <f t="shared" si="17"/>
        <v>14.833333333333369</v>
      </c>
      <c r="C184">
        <f t="shared" si="16"/>
        <v>7.2978460701197251E-4</v>
      </c>
      <c r="D184">
        <f t="shared" si="13"/>
        <v>0.04</v>
      </c>
      <c r="E184">
        <f t="shared" si="11"/>
        <v>69769.834088672098</v>
      </c>
    </row>
    <row r="185" spans="1:5" x14ac:dyDescent="0.75">
      <c r="A185">
        <f t="shared" si="12"/>
        <v>44.9166666666667</v>
      </c>
      <c r="B185">
        <f t="shared" si="17"/>
        <v>14.916666666666703</v>
      </c>
      <c r="C185">
        <f t="shared" si="16"/>
        <v>7.3477475871347963E-4</v>
      </c>
      <c r="D185">
        <f t="shared" si="13"/>
        <v>0.04</v>
      </c>
      <c r="E185">
        <f t="shared" si="11"/>
        <v>70208.895076488552</v>
      </c>
    </row>
    <row r="186" spans="1:5" x14ac:dyDescent="0.75">
      <c r="A186">
        <f t="shared" si="12"/>
        <v>45.000000000000036</v>
      </c>
      <c r="B186">
        <f t="shared" si="17"/>
        <v>15.000000000000037</v>
      </c>
      <c r="C186">
        <f t="shared" si="16"/>
        <v>7.3981375773925174E-4</v>
      </c>
      <c r="D186">
        <f t="shared" si="13"/>
        <v>0.04</v>
      </c>
      <c r="E186">
        <f t="shared" si="11"/>
        <v>70649.433914082532</v>
      </c>
    </row>
    <row r="187" spans="1:5" x14ac:dyDescent="0.75">
      <c r="A187">
        <f t="shared" si="12"/>
        <v>45.083333333333371</v>
      </c>
      <c r="B187">
        <f t="shared" si="17"/>
        <v>15.083333333333371</v>
      </c>
      <c r="C187">
        <f t="shared" si="16"/>
        <v>7.449020822433073E-4</v>
      </c>
      <c r="D187">
        <f t="shared" si="13"/>
        <v>0.04</v>
      </c>
      <c r="E187">
        <f t="shared" si="11"/>
        <v>71091.455864413831</v>
      </c>
    </row>
    <row r="188" spans="1:5" x14ac:dyDescent="0.75">
      <c r="A188">
        <f t="shared" si="12"/>
        <v>45.166666666666707</v>
      </c>
      <c r="B188">
        <f>B187+$D$2</f>
        <v>15.166666666666705</v>
      </c>
      <c r="C188">
        <f t="shared" si="16"/>
        <v>7.5004021506019241E-4</v>
      </c>
      <c r="D188">
        <f t="shared" si="13"/>
        <v>0.04</v>
      </c>
      <c r="E188">
        <f t="shared" si="11"/>
        <v>71534.966214401778</v>
      </c>
    </row>
    <row r="189" spans="1:5" x14ac:dyDescent="0.75">
      <c r="A189">
        <f t="shared" si="12"/>
        <v>45.250000000000043</v>
      </c>
      <c r="B189">
        <f t="shared" ref="B189:B201" si="18">B188+$D$2</f>
        <v>15.250000000000039</v>
      </c>
      <c r="C189">
        <f t="shared" si="16"/>
        <v>7.5522864375079761E-4</v>
      </c>
      <c r="D189">
        <f t="shared" si="13"/>
        <v>0.04</v>
      </c>
      <c r="E189">
        <f t="shared" si="11"/>
        <v>71979.970275111264</v>
      </c>
    </row>
    <row r="190" spans="1:5" x14ac:dyDescent="0.75">
      <c r="A190">
        <f t="shared" si="12"/>
        <v>45.333333333333371</v>
      </c>
      <c r="B190">
        <f t="shared" si="18"/>
        <v>15.333333333333373</v>
      </c>
      <c r="C190">
        <f t="shared" si="16"/>
        <v>7.6046786064862249E-4</v>
      </c>
      <c r="D190">
        <f t="shared" si="13"/>
        <v>0.04</v>
      </c>
      <c r="E190">
        <f t="shared" si="11"/>
        <v>72426.473381941061</v>
      </c>
    </row>
    <row r="191" spans="1:5" x14ac:dyDescent="0.75">
      <c r="A191">
        <f t="shared" si="12"/>
        <v>45.416666666666707</v>
      </c>
      <c r="B191">
        <f t="shared" si="18"/>
        <v>15.416666666666707</v>
      </c>
      <c r="C191">
        <f t="shared" si="16"/>
        <v>7.6575836290649572E-4</v>
      </c>
      <c r="D191">
        <f t="shared" si="13"/>
        <v>0.04</v>
      </c>
      <c r="E191">
        <f t="shared" si="11"/>
        <v>72874.480894814391</v>
      </c>
    </row>
    <row r="192" spans="1:5" x14ac:dyDescent="0.75">
      <c r="A192">
        <f t="shared" si="12"/>
        <v>45.500000000000043</v>
      </c>
      <c r="B192">
        <f t="shared" si="18"/>
        <v>15.500000000000041</v>
      </c>
      <c r="C192">
        <f t="shared" si="16"/>
        <v>7.7110065254374575E-4</v>
      </c>
      <c r="D192">
        <f t="shared" si="13"/>
        <v>0.04</v>
      </c>
      <c r="E192">
        <f t="shared" si="11"/>
        <v>73323.998198371861</v>
      </c>
    </row>
    <row r="193" spans="1:5" x14ac:dyDescent="0.75">
      <c r="A193">
        <f t="shared" si="12"/>
        <v>45.583333333333371</v>
      </c>
      <c r="B193">
        <f t="shared" si="18"/>
        <v>15.583333333333375</v>
      </c>
      <c r="C193">
        <f t="shared" si="16"/>
        <v>7.7649523649384142E-4</v>
      </c>
      <c r="D193">
        <f t="shared" si="13"/>
        <v>0.04</v>
      </c>
      <c r="E193">
        <f t="shared" si="11"/>
        <v>73775.030702166725</v>
      </c>
    </row>
    <row r="194" spans="1:5" x14ac:dyDescent="0.75">
      <c r="A194">
        <f t="shared" si="12"/>
        <v>45.666666666666707</v>
      </c>
      <c r="B194">
        <f t="shared" si="18"/>
        <v>15.666666666666709</v>
      </c>
      <c r="C194">
        <f t="shared" si="16"/>
        <v>7.819426266524954E-4</v>
      </c>
      <c r="D194">
        <f t="shared" si="13"/>
        <v>0.04</v>
      </c>
      <c r="E194">
        <f t="shared" si="11"/>
        <v>74227.583840862542</v>
      </c>
    </row>
    <row r="195" spans="1:5" x14ac:dyDescent="0.75">
      <c r="A195">
        <f t="shared" si="12"/>
        <v>45.750000000000043</v>
      </c>
      <c r="B195">
        <f t="shared" si="18"/>
        <v>15.750000000000043</v>
      </c>
      <c r="C195">
        <f t="shared" si="16"/>
        <v>7.874433399262359E-4</v>
      </c>
      <c r="D195">
        <f t="shared" si="13"/>
        <v>0.04</v>
      </c>
      <c r="E195">
        <f t="shared" si="11"/>
        <v>74681.663074433192</v>
      </c>
    </row>
    <row r="196" spans="1:5" x14ac:dyDescent="0.75">
      <c r="A196">
        <f t="shared" si="12"/>
        <v>45.833333333333378</v>
      </c>
      <c r="B196">
        <f t="shared" si="18"/>
        <v>15.833333333333377</v>
      </c>
      <c r="C196">
        <f t="shared" si="16"/>
        <v>7.9299789828145761E-4</v>
      </c>
      <c r="D196">
        <f t="shared" si="13"/>
        <v>0.04</v>
      </c>
      <c r="E196">
        <f t="shared" si="11"/>
        <v>75137.273888365467</v>
      </c>
    </row>
    <row r="197" spans="1:5" x14ac:dyDescent="0.75">
      <c r="A197">
        <f t="shared" si="12"/>
        <v>45.916666666666714</v>
      </c>
      <c r="B197">
        <f t="shared" si="18"/>
        <v>15.91666666666671</v>
      </c>
      <c r="C197">
        <f t="shared" si="16"/>
        <v>7.9860682879395208E-4</v>
      </c>
      <c r="D197">
        <f t="shared" si="13"/>
        <v>0.04</v>
      </c>
      <c r="E197">
        <f t="shared" si="11"/>
        <v>75594.421793864007</v>
      </c>
    </row>
    <row r="198" spans="1:5" x14ac:dyDescent="0.75">
      <c r="A198">
        <f t="shared" si="12"/>
        <v>46.000000000000043</v>
      </c>
      <c r="B198">
        <f t="shared" si="18"/>
        <v>16.000000000000043</v>
      </c>
      <c r="C198">
        <f t="shared" si="16"/>
        <v>8.0427066369891966E-4</v>
      </c>
      <c r="D198">
        <f t="shared" si="13"/>
        <v>0.04</v>
      </c>
      <c r="E198">
        <f t="shared" ref="E198:E244" si="19">(E199 -$D$2*$B$2+$D$2*C198*$C$2)/(1+$D$2*D198+$D$2*C198)</f>
        <v>76053.11232805888</v>
      </c>
    </row>
    <row r="199" spans="1:5" x14ac:dyDescent="0.75">
      <c r="A199">
        <f t="shared" ref="A199:A246" si="20">$A$2+B199</f>
        <v>46.083333333333371</v>
      </c>
      <c r="B199">
        <f t="shared" si="18"/>
        <v>16.083333333333375</v>
      </c>
      <c r="C199">
        <f t="shared" si="16"/>
        <v>8.0998994044147751E-4</v>
      </c>
      <c r="D199">
        <f t="shared" ref="D199:D246" si="21">0.04</f>
        <v>0.04</v>
      </c>
      <c r="E199">
        <f t="shared" si="19"/>
        <v>76513.351054215629</v>
      </c>
    </row>
    <row r="200" spans="1:5" x14ac:dyDescent="0.75">
      <c r="A200">
        <f t="shared" si="20"/>
        <v>46.166666666666707</v>
      </c>
      <c r="B200">
        <f t="shared" si="18"/>
        <v>16.166666666666707</v>
      </c>
      <c r="C200">
        <f t="shared" si="16"/>
        <v>8.1576520172765626E-4</v>
      </c>
      <c r="D200">
        <f t="shared" si="21"/>
        <v>0.04</v>
      </c>
      <c r="E200">
        <f t="shared" si="19"/>
        <v>76975.14356194796</v>
      </c>
    </row>
    <row r="201" spans="1:5" x14ac:dyDescent="0.75">
      <c r="A201">
        <f t="shared" si="20"/>
        <v>46.250000000000043</v>
      </c>
      <c r="B201">
        <f t="shared" si="18"/>
        <v>16.250000000000039</v>
      </c>
      <c r="C201">
        <f t="shared" si="16"/>
        <v>8.2159699557589653E-4</v>
      </c>
      <c r="D201">
        <f t="shared" si="21"/>
        <v>0.04</v>
      </c>
      <c r="E201">
        <f t="shared" si="19"/>
        <v>77438.495467433037</v>
      </c>
    </row>
    <row r="202" spans="1:5" x14ac:dyDescent="0.75">
      <c r="A202">
        <f t="shared" si="20"/>
        <v>46.333333333333371</v>
      </c>
      <c r="B202">
        <f>B201+$D$2</f>
        <v>16.333333333333371</v>
      </c>
      <c r="C202">
        <f t="shared" si="16"/>
        <v>8.2748587536905175E-4</v>
      </c>
      <c r="D202">
        <f t="shared" si="21"/>
        <v>0.04</v>
      </c>
      <c r="E202">
        <f t="shared" si="19"/>
        <v>77903.412413629514</v>
      </c>
    </row>
    <row r="203" spans="1:5" x14ac:dyDescent="0.75">
      <c r="A203">
        <f t="shared" si="20"/>
        <v>46.4166666666667</v>
      </c>
      <c r="B203">
        <f t="shared" ref="B203:B214" si="22">B202+$D$2</f>
        <v>16.416666666666703</v>
      </c>
      <c r="C203">
        <f t="shared" si="16"/>
        <v>8.3343239990690072E-4</v>
      </c>
      <c r="D203">
        <f t="shared" si="21"/>
        <v>0.04</v>
      </c>
      <c r="E203">
        <f t="shared" si="19"/>
        <v>78369.900070498144</v>
      </c>
    </row>
    <row r="204" spans="1:5" x14ac:dyDescent="0.75">
      <c r="A204">
        <f t="shared" si="20"/>
        <v>46.500000000000036</v>
      </c>
      <c r="B204">
        <f t="shared" si="22"/>
        <v>16.500000000000036</v>
      </c>
      <c r="C204">
        <f t="shared" si="16"/>
        <v>8.3943713345916967E-4</v>
      </c>
      <c r="D204">
        <f t="shared" si="21"/>
        <v>0.04</v>
      </c>
      <c r="E204">
        <f t="shared" si="19"/>
        <v>78837.964135225266</v>
      </c>
    </row>
    <row r="205" spans="1:5" x14ac:dyDescent="0.75">
      <c r="A205">
        <f t="shared" si="20"/>
        <v>46.583333333333371</v>
      </c>
      <c r="B205">
        <f t="shared" si="22"/>
        <v>16.583333333333368</v>
      </c>
      <c r="C205">
        <f t="shared" si="16"/>
        <v>8.4550064581907769E-4</v>
      </c>
      <c r="D205">
        <f t="shared" si="21"/>
        <v>0.04</v>
      </c>
      <c r="E205">
        <f t="shared" si="19"/>
        <v>79307.610332448981</v>
      </c>
    </row>
    <row r="206" spans="1:5" x14ac:dyDescent="0.75">
      <c r="A206">
        <f t="shared" si="20"/>
        <v>46.6666666666667</v>
      </c>
      <c r="B206">
        <f t="shared" si="22"/>
        <v>16.6666666666667</v>
      </c>
      <c r="C206">
        <f t="shared" si="16"/>
        <v>8.5162351235740425E-4</v>
      </c>
      <c r="D206">
        <f t="shared" si="21"/>
        <v>0.04</v>
      </c>
      <c r="E206">
        <f t="shared" si="19"/>
        <v>79778.844414488194</v>
      </c>
    </row>
    <row r="207" spans="1:5" x14ac:dyDescent="0.75">
      <c r="A207">
        <f t="shared" si="20"/>
        <v>46.750000000000028</v>
      </c>
      <c r="B207">
        <f t="shared" si="22"/>
        <v>16.750000000000032</v>
      </c>
      <c r="C207">
        <f t="shared" si="16"/>
        <v>8.5780631407708803E-4</v>
      </c>
      <c r="D207">
        <f t="shared" si="21"/>
        <v>0.04</v>
      </c>
      <c r="E207">
        <f t="shared" si="19"/>
        <v>80251.672161574519</v>
      </c>
    </row>
    <row r="208" spans="1:5" x14ac:dyDescent="0.75">
      <c r="A208">
        <f t="shared" si="20"/>
        <v>46.833333333333364</v>
      </c>
      <c r="B208">
        <f t="shared" si="22"/>
        <v>16.833333333333364</v>
      </c>
      <c r="C208">
        <f t="shared" si="16"/>
        <v>8.6404963766835777E-4</v>
      </c>
      <c r="D208">
        <f t="shared" si="21"/>
        <v>0.04</v>
      </c>
      <c r="E208">
        <f t="shared" si="19"/>
        <v>80726.099382087079</v>
      </c>
    </row>
    <row r="209" spans="1:5" x14ac:dyDescent="0.75">
      <c r="A209">
        <f t="shared" si="20"/>
        <v>46.9166666666667</v>
      </c>
      <c r="B209">
        <f t="shared" si="22"/>
        <v>16.916666666666696</v>
      </c>
      <c r="C209">
        <f t="shared" si="16"/>
        <v>8.7035407556440114E-4</v>
      </c>
      <c r="D209">
        <f t="shared" si="21"/>
        <v>0.04</v>
      </c>
      <c r="E209">
        <f t="shared" si="19"/>
        <v>81202.131912790253</v>
      </c>
    </row>
    <row r="210" spans="1:5" x14ac:dyDescent="0.75">
      <c r="A210">
        <f t="shared" si="20"/>
        <v>47.000000000000028</v>
      </c>
      <c r="B210">
        <f t="shared" si="22"/>
        <v>17.000000000000028</v>
      </c>
      <c r="C210">
        <f t="shared" si="16"/>
        <v>8.7672022599758447E-4</v>
      </c>
      <c r="D210">
        <f t="shared" si="21"/>
        <v>0.04</v>
      </c>
      <c r="E210">
        <f t="shared" si="19"/>
        <v>81679.775619074426</v>
      </c>
    </row>
    <row r="211" spans="1:5" x14ac:dyDescent="0.75">
      <c r="A211">
        <f t="shared" si="20"/>
        <v>47.083333333333357</v>
      </c>
      <c r="B211">
        <f t="shared" si="22"/>
        <v>17.083333333333361</v>
      </c>
      <c r="C211">
        <f t="shared" si="16"/>
        <v>8.8314869305621945E-4</v>
      </c>
      <c r="D211">
        <f t="shared" si="21"/>
        <v>0.04</v>
      </c>
      <c r="E211">
        <f t="shared" si="19"/>
        <v>82159.036395199713</v>
      </c>
    </row>
    <row r="212" spans="1:5" x14ac:dyDescent="0.75">
      <c r="A212">
        <f t="shared" si="20"/>
        <v>47.166666666666693</v>
      </c>
      <c r="B212">
        <f t="shared" si="22"/>
        <v>17.166666666666693</v>
      </c>
      <c r="C212">
        <f t="shared" si="16"/>
        <v>8.8964008674188454E-4</v>
      </c>
      <c r="D212">
        <f t="shared" si="21"/>
        <v>0.04</v>
      </c>
      <c r="E212">
        <f t="shared" si="19"/>
        <v>82639.92016454284</v>
      </c>
    </row>
    <row r="213" spans="1:5" x14ac:dyDescent="0.75">
      <c r="A213">
        <f t="shared" si="20"/>
        <v>47.250000000000028</v>
      </c>
      <c r="B213">
        <f t="shared" si="22"/>
        <v>17.250000000000025</v>
      </c>
      <c r="C213">
        <f t="shared" si="16"/>
        <v>8.9619502302730654E-4</v>
      </c>
      <c r="D213">
        <f t="shared" si="21"/>
        <v>0.04</v>
      </c>
      <c r="E213">
        <f t="shared" si="19"/>
        <v>83122.432879847111</v>
      </c>
    </row>
    <row r="214" spans="1:5" x14ac:dyDescent="0.75">
      <c r="A214">
        <f t="shared" si="20"/>
        <v>47.333333333333357</v>
      </c>
      <c r="B214">
        <f t="shared" si="22"/>
        <v>17.333333333333357</v>
      </c>
      <c r="C214">
        <f t="shared" si="16"/>
        <v>9.0281412391481357E-4</v>
      </c>
      <c r="D214">
        <f t="shared" si="21"/>
        <v>0.04</v>
      </c>
      <c r="E214">
        <f t="shared" si="19"/>
        <v>83606.580523475437</v>
      </c>
    </row>
    <row r="215" spans="1:5" x14ac:dyDescent="0.75">
      <c r="A215">
        <f t="shared" si="20"/>
        <v>47.416666666666686</v>
      </c>
      <c r="B215">
        <f>B214+$D$2</f>
        <v>17.416666666666689</v>
      </c>
      <c r="C215">
        <f t="shared" si="16"/>
        <v>9.0949801749535522E-4</v>
      </c>
      <c r="D215">
        <f t="shared" si="21"/>
        <v>0.04</v>
      </c>
      <c r="E215">
        <f t="shared" si="19"/>
        <v>84092.369107666804</v>
      </c>
    </row>
    <row r="216" spans="1:5" x14ac:dyDescent="0.75">
      <c r="A216">
        <f t="shared" si="20"/>
        <v>47.500000000000021</v>
      </c>
      <c r="B216">
        <f t="shared" ref="B216:B221" si="23">B215+$D$2</f>
        <v>17.500000000000021</v>
      </c>
      <c r="C216">
        <f t="shared" si="16"/>
        <v>9.1624733800810547E-4</v>
      </c>
      <c r="D216">
        <f t="shared" si="21"/>
        <v>0.04</v>
      </c>
      <c r="E216">
        <f t="shared" si="19"/>
        <v>84579.804674795727</v>
      </c>
    </row>
    <row r="217" spans="1:5" x14ac:dyDescent="0.75">
      <c r="A217">
        <f t="shared" si="20"/>
        <v>47.583333333333357</v>
      </c>
      <c r="B217">
        <f t="shared" si="23"/>
        <v>17.583333333333353</v>
      </c>
      <c r="C217">
        <f t="shared" si="16"/>
        <v>9.2306272590064211E-4</v>
      </c>
      <c r="D217">
        <f t="shared" si="21"/>
        <v>0.04</v>
      </c>
      <c r="E217">
        <f t="shared" si="19"/>
        <v>85068.893297635193</v>
      </c>
    </row>
    <row r="218" spans="1:5" x14ac:dyDescent="0.75">
      <c r="A218">
        <f t="shared" si="20"/>
        <v>47.666666666666686</v>
      </c>
      <c r="B218">
        <f t="shared" si="23"/>
        <v>17.666666666666686</v>
      </c>
      <c r="C218">
        <f t="shared" si="16"/>
        <v>9.2994482788972123E-4</v>
      </c>
      <c r="D218">
        <f t="shared" si="21"/>
        <v>0.04</v>
      </c>
      <c r="E218">
        <f t="shared" si="19"/>
        <v>85559.641079622859</v>
      </c>
    </row>
    <row r="219" spans="1:5" x14ac:dyDescent="0.75">
      <c r="A219">
        <f t="shared" si="20"/>
        <v>47.750000000000014</v>
      </c>
      <c r="B219">
        <f t="shared" si="23"/>
        <v>17.750000000000018</v>
      </c>
      <c r="C219">
        <f t="shared" si="16"/>
        <v>9.3689429702264635E-4</v>
      </c>
      <c r="D219">
        <f t="shared" si="21"/>
        <v>0.04</v>
      </c>
      <c r="E219">
        <f t="shared" si="19"/>
        <v>86052.054155130696</v>
      </c>
    </row>
    <row r="220" spans="1:5" x14ac:dyDescent="0.75">
      <c r="A220">
        <f t="shared" si="20"/>
        <v>47.83333333333335</v>
      </c>
      <c r="B220">
        <f t="shared" si="23"/>
        <v>17.83333333333335</v>
      </c>
      <c r="C220">
        <f t="shared" si="16"/>
        <v>9.4391179273923284E-4</v>
      </c>
      <c r="D220">
        <f t="shared" si="21"/>
        <v>0.04</v>
      </c>
      <c r="E220">
        <f t="shared" si="19"/>
        <v>86546.138689738043</v>
      </c>
    </row>
    <row r="221" spans="1:5" x14ac:dyDescent="0.75">
      <c r="A221">
        <f t="shared" si="20"/>
        <v>47.916666666666686</v>
      </c>
      <c r="B221">
        <f t="shared" si="23"/>
        <v>17.916666666666682</v>
      </c>
      <c r="C221">
        <f t="shared" si="16"/>
        <v>9.5099798093438556E-4</v>
      </c>
      <c r="D221">
        <f t="shared" si="21"/>
        <v>0.04</v>
      </c>
      <c r="E221">
        <f t="shared" si="19"/>
        <v>87041.900880508125</v>
      </c>
    </row>
    <row r="222" spans="1:5" x14ac:dyDescent="0.75">
      <c r="A222">
        <f t="shared" si="20"/>
        <v>48.000000000000014</v>
      </c>
      <c r="B222">
        <f>B221+$D$2</f>
        <v>18.000000000000014</v>
      </c>
      <c r="C222">
        <f t="shared" si="16"/>
        <v>9.5815353402128379E-4</v>
      </c>
      <c r="D222">
        <f t="shared" si="21"/>
        <v>0.04</v>
      </c>
      <c r="E222">
        <f t="shared" si="19"/>
        <v>87539.346956268215</v>
      </c>
    </row>
    <row r="223" spans="1:5" x14ac:dyDescent="0.75">
      <c r="A223">
        <f t="shared" si="20"/>
        <v>48.083333333333343</v>
      </c>
      <c r="B223">
        <f t="shared" ref="B223:B228" si="24">B222+$D$2</f>
        <v>18.083333333333346</v>
      </c>
      <c r="C223">
        <f t="shared" si="16"/>
        <v>9.6537913099518946E-4</v>
      </c>
      <c r="D223">
        <f t="shared" si="21"/>
        <v>0.04</v>
      </c>
      <c r="E223">
        <f t="shared" si="19"/>
        <v>88038.483177893271</v>
      </c>
    </row>
    <row r="224" spans="1:5" x14ac:dyDescent="0.75">
      <c r="A224">
        <f t="shared" si="20"/>
        <v>48.166666666666679</v>
      </c>
      <c r="B224">
        <f t="shared" si="24"/>
        <v>18.166666666666679</v>
      </c>
      <c r="C224">
        <f t="shared" ref="C224:C246" si="25">(0.00022  + 0.0000027*1.124^A224)</f>
        <v>9.7267545749787692E-4</v>
      </c>
      <c r="D224">
        <f t="shared" si="21"/>
        <v>0.04</v>
      </c>
      <c r="E224">
        <f t="shared" si="19"/>
        <v>88539.31583859332</v>
      </c>
    </row>
    <row r="225" spans="1:5" x14ac:dyDescent="0.75">
      <c r="A225">
        <f t="shared" si="20"/>
        <v>48.250000000000014</v>
      </c>
      <c r="B225">
        <f t="shared" si="24"/>
        <v>18.250000000000011</v>
      </c>
      <c r="C225">
        <f t="shared" si="25"/>
        <v>9.8004320588269186E-4</v>
      </c>
      <c r="D225">
        <f t="shared" si="21"/>
        <v>0.04</v>
      </c>
      <c r="E225">
        <f t="shared" si="19"/>
        <v>89041.851264204466</v>
      </c>
    </row>
    <row r="226" spans="1:5" x14ac:dyDescent="0.75">
      <c r="A226">
        <f t="shared" si="20"/>
        <v>48.333333333333343</v>
      </c>
      <c r="B226">
        <f t="shared" si="24"/>
        <v>18.333333333333343</v>
      </c>
      <c r="C226">
        <f t="shared" si="25"/>
        <v>9.8748307528024899E-4</v>
      </c>
      <c r="D226">
        <f t="shared" si="21"/>
        <v>0.04</v>
      </c>
      <c r="E226">
        <f t="shared" si="19"/>
        <v>89546.095813483684</v>
      </c>
    </row>
    <row r="227" spans="1:5" x14ac:dyDescent="0.75">
      <c r="A227">
        <f t="shared" si="20"/>
        <v>48.416666666666671</v>
      </c>
      <c r="B227">
        <f t="shared" si="24"/>
        <v>18.416666666666675</v>
      </c>
      <c r="C227">
        <f t="shared" si="25"/>
        <v>9.949957716647779E-4</v>
      </c>
      <c r="D227">
        <f t="shared" si="21"/>
        <v>0.04</v>
      </c>
      <c r="E227">
        <f t="shared" si="19"/>
        <v>90052.055878407395</v>
      </c>
    </row>
    <row r="228" spans="1:5" x14ac:dyDescent="0.75">
      <c r="A228">
        <f t="shared" si="20"/>
        <v>48.500000000000007</v>
      </c>
      <c r="B228">
        <f t="shared" si="24"/>
        <v>18.500000000000007</v>
      </c>
      <c r="C228">
        <f t="shared" si="25"/>
        <v>1.0025820079211092E-3</v>
      </c>
      <c r="D228">
        <f t="shared" si="21"/>
        <v>0.04</v>
      </c>
      <c r="E228">
        <f t="shared" si="19"/>
        <v>90559.737884473958</v>
      </c>
    </row>
    <row r="229" spans="1:5" x14ac:dyDescent="0.75">
      <c r="A229">
        <f t="shared" si="20"/>
        <v>48.583333333333343</v>
      </c>
      <c r="B229">
        <f>B228+$D$2</f>
        <v>18.583333333333339</v>
      </c>
      <c r="C229">
        <f t="shared" si="25"/>
        <v>1.0102425039123202E-3</v>
      </c>
      <c r="D229">
        <f t="shared" si="21"/>
        <v>0.04</v>
      </c>
      <c r="E229">
        <f t="shared" si="19"/>
        <v>91069.148291009944</v>
      </c>
    </row>
    <row r="230" spans="1:5" x14ac:dyDescent="0.75">
      <c r="A230">
        <f t="shared" si="20"/>
        <v>48.666666666666671</v>
      </c>
      <c r="B230">
        <f t="shared" ref="B230:B234" si="26">B229+$D$2</f>
        <v>18.666666666666671</v>
      </c>
      <c r="C230">
        <f t="shared" si="25"/>
        <v>1.0179779865480459E-3</v>
      </c>
      <c r="D230">
        <f t="shared" si="21"/>
        <v>0.04</v>
      </c>
      <c r="E230">
        <f t="shared" si="19"/>
        <v>91580.293591480615</v>
      </c>
    </row>
    <row r="231" spans="1:5" x14ac:dyDescent="0.75">
      <c r="A231">
        <f t="shared" si="20"/>
        <v>48.75</v>
      </c>
      <c r="B231">
        <f t="shared" si="26"/>
        <v>18.750000000000004</v>
      </c>
      <c r="C231">
        <f t="shared" si="25"/>
        <v>1.0257891898534531E-3</v>
      </c>
      <c r="D231">
        <f t="shared" si="21"/>
        <v>0.04</v>
      </c>
      <c r="E231">
        <f t="shared" si="19"/>
        <v>92093.180313804129</v>
      </c>
    </row>
    <row r="232" spans="1:5" x14ac:dyDescent="0.75">
      <c r="A232">
        <f t="shared" si="20"/>
        <v>48.833333333333336</v>
      </c>
      <c r="B232">
        <f t="shared" si="26"/>
        <v>18.833333333333336</v>
      </c>
      <c r="C232">
        <f t="shared" si="25"/>
        <v>1.0336768550388963E-3</v>
      </c>
      <c r="D232">
        <f t="shared" si="21"/>
        <v>0.04</v>
      </c>
      <c r="E232">
        <f t="shared" si="19"/>
        <v>92607.815020670139</v>
      </c>
    </row>
    <row r="233" spans="1:5" x14ac:dyDescent="0.75">
      <c r="A233">
        <f t="shared" si="20"/>
        <v>48.916666666666671</v>
      </c>
      <c r="B233">
        <f t="shared" si="26"/>
        <v>18.916666666666668</v>
      </c>
      <c r="C233">
        <f t="shared" si="25"/>
        <v>1.0416417305702478E-3</v>
      </c>
      <c r="D233">
        <f t="shared" si="21"/>
        <v>0.04</v>
      </c>
      <c r="E233">
        <f t="shared" si="19"/>
        <v>93124.204309862267</v>
      </c>
    </row>
    <row r="234" spans="1:5" x14ac:dyDescent="0.75">
      <c r="A234">
        <f t="shared" si="20"/>
        <v>49</v>
      </c>
      <c r="B234">
        <f t="shared" si="26"/>
        <v>19</v>
      </c>
      <c r="C234">
        <f t="shared" si="25"/>
        <v>1.0496845722399221E-3</v>
      </c>
      <c r="D234">
        <f t="shared" si="21"/>
        <v>0.04</v>
      </c>
      <c r="E234">
        <f t="shared" si="19"/>
        <v>93642.354814584993</v>
      </c>
    </row>
    <row r="235" spans="1:5" x14ac:dyDescent="0.75">
      <c r="A235">
        <f t="shared" si="20"/>
        <v>49.083333333333329</v>
      </c>
      <c r="B235">
        <f>B234+$D$2</f>
        <v>19.083333333333332</v>
      </c>
      <c r="C235">
        <f t="shared" si="25"/>
        <v>1.0578061432385921E-3</v>
      </c>
      <c r="D235">
        <f t="shared" si="21"/>
        <v>0.04</v>
      </c>
      <c r="E235">
        <f t="shared" si="19"/>
        <v>94162.273203794699</v>
      </c>
    </row>
    <row r="236" spans="1:5" x14ac:dyDescent="0.75">
      <c r="A236">
        <f t="shared" si="20"/>
        <v>49.166666666666664</v>
      </c>
      <c r="B236">
        <f t="shared" ref="B236:B237" si="27">B235+$D$2</f>
        <v>19.166666666666664</v>
      </c>
      <c r="C236">
        <f t="shared" si="25"/>
        <v>1.0660072142276128E-3</v>
      </c>
      <c r="D236">
        <f t="shared" si="21"/>
        <v>0.04</v>
      </c>
      <c r="E236">
        <f t="shared" si="19"/>
        <v>94683.966182535049</v>
      </c>
    </row>
    <row r="237" spans="1:5" x14ac:dyDescent="0.75">
      <c r="A237">
        <f t="shared" si="20"/>
        <v>49.25</v>
      </c>
      <c r="B237">
        <f t="shared" si="27"/>
        <v>19.249999999999996</v>
      </c>
      <c r="C237">
        <f t="shared" si="25"/>
        <v>1.0742885634121443E-3</v>
      </c>
      <c r="D237">
        <f t="shared" si="21"/>
        <v>0.04</v>
      </c>
      <c r="E237">
        <f t="shared" si="19"/>
        <v>95207.440492276786</v>
      </c>
    </row>
    <row r="238" spans="1:5" x14ac:dyDescent="0.75">
      <c r="A238">
        <f t="shared" si="20"/>
        <v>49.333333333333329</v>
      </c>
      <c r="B238">
        <f>B237+$D$2</f>
        <v>19.333333333333329</v>
      </c>
      <c r="C238">
        <f t="shared" si="25"/>
        <v>1.0826509766149984E-3</v>
      </c>
      <c r="D238">
        <f t="shared" si="21"/>
        <v>0.04</v>
      </c>
      <c r="E238">
        <f t="shared" si="19"/>
        <v>95732.702911261993</v>
      </c>
    </row>
    <row r="239" spans="1:5" x14ac:dyDescent="0.75">
      <c r="A239">
        <f t="shared" si="20"/>
        <v>49.416666666666657</v>
      </c>
      <c r="B239">
        <f t="shared" ref="B239" si="28">B238+$D$2</f>
        <v>19.416666666666661</v>
      </c>
      <c r="C239">
        <f t="shared" si="25"/>
        <v>1.091095247351209E-3</v>
      </c>
      <c r="D239">
        <f t="shared" si="21"/>
        <v>0.04</v>
      </c>
      <c r="E239">
        <f t="shared" si="19"/>
        <v>96259.760254852823</v>
      </c>
    </row>
    <row r="240" spans="1:5" x14ac:dyDescent="0.75">
      <c r="A240">
        <f t="shared" si="20"/>
        <v>49.499999999999993</v>
      </c>
      <c r="B240">
        <f>B239+$D$2</f>
        <v>19.499999999999993</v>
      </c>
      <c r="C240">
        <f t="shared" si="25"/>
        <v>1.0996221769033253E-3</v>
      </c>
      <c r="D240">
        <f t="shared" si="21"/>
        <v>0.04</v>
      </c>
      <c r="E240">
        <f t="shared" si="19"/>
        <v>96788.619375884853</v>
      </c>
    </row>
    <row r="241" spans="1:5" x14ac:dyDescent="0.75">
      <c r="A241">
        <f t="shared" si="20"/>
        <v>49.583333333333329</v>
      </c>
      <c r="B241">
        <f t="shared" ref="B241:B242" si="29">B240+$D$2</f>
        <v>19.583333333333325</v>
      </c>
      <c r="C241">
        <f t="shared" si="25"/>
        <v>1.1082325743974474E-3</v>
      </c>
      <c r="D241">
        <f t="shared" si="21"/>
        <v>0.04</v>
      </c>
      <c r="E241">
        <f t="shared" si="19"/>
        <v>97319.287165025075</v>
      </c>
    </row>
    <row r="242" spans="1:5" x14ac:dyDescent="0.75">
      <c r="A242">
        <f t="shared" si="20"/>
        <v>49.666666666666657</v>
      </c>
      <c r="B242">
        <f t="shared" si="29"/>
        <v>19.666666666666657</v>
      </c>
      <c r="C242">
        <f t="shared" si="25"/>
        <v>1.1169272568800021E-3</v>
      </c>
      <c r="D242">
        <f t="shared" si="21"/>
        <v>0.04</v>
      </c>
      <c r="E242">
        <f t="shared" si="19"/>
        <v>97851.770551134628</v>
      </c>
    </row>
    <row r="243" spans="1:5" x14ac:dyDescent="0.75">
      <c r="A243">
        <f t="shared" si="20"/>
        <v>49.749999999999986</v>
      </c>
      <c r="B243">
        <f>B242+$D$2</f>
        <v>19.749999999999989</v>
      </c>
      <c r="C243">
        <f t="shared" si="25"/>
        <v>1.1257070493952796E-3</v>
      </c>
      <c r="D243">
        <f t="shared" si="21"/>
        <v>0.04</v>
      </c>
      <c r="E243">
        <f t="shared" si="19"/>
        <v>98386.0765016363</v>
      </c>
    </row>
    <row r="244" spans="1:5" x14ac:dyDescent="0.75">
      <c r="A244">
        <f t="shared" si="20"/>
        <v>49.833333333333321</v>
      </c>
      <c r="B244">
        <f t="shared" ref="B244" si="30">B243+$D$2</f>
        <v>19.833333333333321</v>
      </c>
      <c r="C244">
        <f t="shared" si="25"/>
        <v>1.134572785063718E-3</v>
      </c>
      <c r="D244">
        <f t="shared" si="21"/>
        <v>0.04</v>
      </c>
      <c r="E244">
        <f t="shared" si="19"/>
        <v>98922.212022886815</v>
      </c>
    </row>
    <row r="245" spans="1:5" x14ac:dyDescent="0.75">
      <c r="A245">
        <f t="shared" si="20"/>
        <v>49.916666666666657</v>
      </c>
      <c r="B245">
        <f>B244+$D$2</f>
        <v>19.916666666666654</v>
      </c>
      <c r="C245">
        <f t="shared" si="25"/>
        <v>1.1435253051609571E-3</v>
      </c>
      <c r="D245">
        <f t="shared" si="21"/>
        <v>0.04</v>
      </c>
      <c r="E245">
        <f>(E246 -$D$2*$B$2+$D$2*C245*$C$2)/(1+$D$2*D245+$D$2*C245)</f>
        <v>99460.184160554185</v>
      </c>
    </row>
    <row r="246" spans="1:5" x14ac:dyDescent="0.75">
      <c r="A246">
        <f t="shared" si="20"/>
        <v>49.999999999999986</v>
      </c>
      <c r="B246">
        <f>B245+$D$2</f>
        <v>19.999999999999986</v>
      </c>
      <c r="C246">
        <f t="shared" si="25"/>
        <v>1.15256545919767E-3</v>
      </c>
      <c r="D246">
        <f t="shared" si="21"/>
        <v>0.04</v>
      </c>
      <c r="E246">
        <f>C2</f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9398-0837-4873-8EC7-12BFB8176FB6}">
  <dimension ref="A1:E406"/>
  <sheetViews>
    <sheetView zoomScale="89" workbookViewId="0">
      <selection activeCell="C6" sqref="C6"/>
    </sheetView>
  </sheetViews>
  <sheetFormatPr defaultRowHeight="14.75" x14ac:dyDescent="0.75"/>
  <cols>
    <col min="2" max="2" width="11.90625" customWidth="1"/>
    <col min="3" max="3" width="14.5" customWidth="1"/>
  </cols>
  <sheetData>
    <row r="1" spans="1:5" x14ac:dyDescent="0.75">
      <c r="A1" t="s">
        <v>11</v>
      </c>
      <c r="B1" t="s">
        <v>0</v>
      </c>
      <c r="C1" t="s">
        <v>1</v>
      </c>
      <c r="D1" t="s">
        <v>2</v>
      </c>
    </row>
    <row r="2" spans="1:5" x14ac:dyDescent="0.75">
      <c r="A2">
        <f>30</f>
        <v>30</v>
      </c>
      <c r="B2">
        <f>2500</f>
        <v>2500</v>
      </c>
      <c r="C2">
        <f>100000</f>
        <v>100000</v>
      </c>
      <c r="D2">
        <f>1/20</f>
        <v>0.05</v>
      </c>
    </row>
    <row r="5" spans="1:5" x14ac:dyDescent="0.75">
      <c r="A5" t="s">
        <v>12</v>
      </c>
      <c r="B5" t="s">
        <v>5</v>
      </c>
      <c r="C5" t="s">
        <v>4</v>
      </c>
      <c r="D5" t="s">
        <v>3</v>
      </c>
      <c r="E5" t="s">
        <v>6</v>
      </c>
    </row>
    <row r="6" spans="1:5" x14ac:dyDescent="0.75">
      <c r="A6">
        <f>$A$2+B6</f>
        <v>30</v>
      </c>
      <c r="B6">
        <f>0</f>
        <v>0</v>
      </c>
      <c r="C6">
        <f>(0.00022  + 0.0000027*1.124^A6)*0.9^(2-B6)</f>
        <v>2.5111856611734369E-4</v>
      </c>
      <c r="D6">
        <f>0.04</f>
        <v>0.04</v>
      </c>
      <c r="E6">
        <f t="shared" ref="E6:E69" si="0">(E7 -$D$2*$B$2+$D$2*C6*$C$2)/(1+$D$2*D6+$D$2*C6)</f>
        <v>10907.58921831782</v>
      </c>
    </row>
    <row r="7" spans="1:5" x14ac:dyDescent="0.75">
      <c r="A7">
        <f t="shared" ref="A7:A70" si="1">$A$2+B7</f>
        <v>30.05</v>
      </c>
      <c r="B7">
        <f>B6+$D$2</f>
        <v>0.05</v>
      </c>
      <c r="C7">
        <f t="shared" ref="C7:C46" si="2">(0.00022  + 0.0000027*1.124^A7)*0.9^(2-B7)</f>
        <v>2.5287464766389327E-4</v>
      </c>
      <c r="D7">
        <f t="shared" ref="D7:D70" si="3">0.04</f>
        <v>0.04</v>
      </c>
      <c r="E7">
        <f t="shared" si="0"/>
        <v>11053.285758832086</v>
      </c>
    </row>
    <row r="8" spans="1:5" x14ac:dyDescent="0.75">
      <c r="A8">
        <f t="shared" si="1"/>
        <v>30.1</v>
      </c>
      <c r="B8">
        <f>B7+$D$2</f>
        <v>0.1</v>
      </c>
      <c r="C8">
        <f t="shared" si="2"/>
        <v>2.5464480637588024E-4</v>
      </c>
      <c r="D8">
        <f t="shared" si="3"/>
        <v>0.04</v>
      </c>
      <c r="E8">
        <f t="shared" si="0"/>
        <v>11199.267711898521</v>
      </c>
    </row>
    <row r="9" spans="1:5" x14ac:dyDescent="0.75">
      <c r="A9">
        <f t="shared" si="1"/>
        <v>30.15</v>
      </c>
      <c r="B9">
        <f t="shared" ref="B9:B72" si="4">B8+$D$2</f>
        <v>0.15000000000000002</v>
      </c>
      <c r="C9">
        <f t="shared" si="2"/>
        <v>2.5642917026504763E-4</v>
      </c>
      <c r="D9">
        <f t="shared" si="3"/>
        <v>0.04</v>
      </c>
      <c r="E9">
        <f t="shared" si="0"/>
        <v>11345.535615058339</v>
      </c>
    </row>
    <row r="10" spans="1:5" x14ac:dyDescent="0.75">
      <c r="A10">
        <f t="shared" si="1"/>
        <v>30.2</v>
      </c>
      <c r="B10">
        <f t="shared" si="4"/>
        <v>0.2</v>
      </c>
      <c r="C10">
        <f t="shared" si="2"/>
        <v>2.5822786861888979E-4</v>
      </c>
      <c r="D10">
        <f t="shared" si="3"/>
        <v>0.04</v>
      </c>
      <c r="E10">
        <f t="shared" si="0"/>
        <v>11492.090006751332</v>
      </c>
    </row>
    <row r="11" spans="1:5" x14ac:dyDescent="0.75">
      <c r="A11">
        <f t="shared" si="1"/>
        <v>30.25</v>
      </c>
      <c r="B11">
        <f t="shared" si="4"/>
        <v>0.25</v>
      </c>
      <c r="C11">
        <f t="shared" si="2"/>
        <v>2.6004103201409041E-4</v>
      </c>
      <c r="D11">
        <f t="shared" si="3"/>
        <v>0.04</v>
      </c>
      <c r="E11">
        <f t="shared" si="0"/>
        <v>11638.93142631716</v>
      </c>
    </row>
    <row r="12" spans="1:5" x14ac:dyDescent="0.75">
      <c r="A12">
        <f t="shared" si="1"/>
        <v>30.3</v>
      </c>
      <c r="B12">
        <f t="shared" si="4"/>
        <v>0.3</v>
      </c>
      <c r="C12">
        <f t="shared" si="2"/>
        <v>2.6186879233010805E-4</v>
      </c>
      <c r="D12">
        <f t="shared" si="3"/>
        <v>0.04</v>
      </c>
      <c r="E12">
        <f t="shared" si="0"/>
        <v>11786.060413996705</v>
      </c>
    </row>
    <row r="13" spans="1:5" x14ac:dyDescent="0.75">
      <c r="A13">
        <f t="shared" si="1"/>
        <v>30.35</v>
      </c>
      <c r="B13">
        <f t="shared" si="4"/>
        <v>0.35</v>
      </c>
      <c r="C13">
        <f t="shared" si="2"/>
        <v>2.6371128276290762E-4</v>
      </c>
      <c r="D13">
        <f t="shared" si="3"/>
        <v>0.04</v>
      </c>
      <c r="E13">
        <f t="shared" si="0"/>
        <v>11933.477510933395</v>
      </c>
    </row>
    <row r="14" spans="1:5" x14ac:dyDescent="0.75">
      <c r="A14">
        <f t="shared" si="1"/>
        <v>30.4</v>
      </c>
      <c r="B14">
        <f t="shared" si="4"/>
        <v>0.39999999999999997</v>
      </c>
      <c r="C14">
        <f t="shared" si="2"/>
        <v>2.6556863783884206E-4</v>
      </c>
      <c r="D14">
        <f t="shared" si="3"/>
        <v>0.04</v>
      </c>
      <c r="E14">
        <f t="shared" si="0"/>
        <v>12081.183259174559</v>
      </c>
    </row>
    <row r="15" spans="1:5" x14ac:dyDescent="0.75">
      <c r="A15">
        <f t="shared" si="1"/>
        <v>30.45</v>
      </c>
      <c r="B15">
        <f t="shared" si="4"/>
        <v>0.44999999999999996</v>
      </c>
      <c r="C15">
        <f t="shared" si="2"/>
        <v>2.6744099342868385E-4</v>
      </c>
      <c r="D15">
        <f t="shared" si="3"/>
        <v>0.04</v>
      </c>
      <c r="E15">
        <f t="shared" si="0"/>
        <v>12229.178201672796</v>
      </c>
    </row>
    <row r="16" spans="1:5" x14ac:dyDescent="0.75">
      <c r="A16">
        <f t="shared" si="1"/>
        <v>30.5</v>
      </c>
      <c r="B16">
        <f t="shared" si="4"/>
        <v>0.49999999999999994</v>
      </c>
      <c r="C16">
        <f t="shared" si="2"/>
        <v>2.6932848676180956E-4</v>
      </c>
      <c r="D16">
        <f t="shared" si="3"/>
        <v>0.04</v>
      </c>
      <c r="E16">
        <f t="shared" si="0"/>
        <v>12377.462882287351</v>
      </c>
    </row>
    <row r="17" spans="1:5" x14ac:dyDescent="0.75">
      <c r="A17">
        <f t="shared" si="1"/>
        <v>30.55</v>
      </c>
      <c r="B17">
        <f t="shared" si="4"/>
        <v>0.54999999999999993</v>
      </c>
      <c r="C17">
        <f t="shared" si="2"/>
        <v>2.7123125644053843E-4</v>
      </c>
      <c r="D17">
        <f t="shared" si="3"/>
        <v>0.04</v>
      </c>
      <c r="E17">
        <f t="shared" si="0"/>
        <v>12526.037845785519</v>
      </c>
    </row>
    <row r="18" spans="1:5" x14ac:dyDescent="0.75">
      <c r="A18">
        <f t="shared" si="1"/>
        <v>30.6</v>
      </c>
      <c r="B18">
        <f t="shared" si="4"/>
        <v>0.6</v>
      </c>
      <c r="C18">
        <f t="shared" si="2"/>
        <v>2.7314944245462587E-4</v>
      </c>
      <c r="D18">
        <f t="shared" si="3"/>
        <v>0.04</v>
      </c>
      <c r="E18">
        <f t="shared" si="0"/>
        <v>12674.903637844043</v>
      </c>
    </row>
    <row r="19" spans="1:5" x14ac:dyDescent="0.75">
      <c r="A19">
        <f t="shared" si="1"/>
        <v>30.65</v>
      </c>
      <c r="B19">
        <f t="shared" si="4"/>
        <v>0.65</v>
      </c>
      <c r="C19">
        <f t="shared" si="2"/>
        <v>2.7508318619591608E-4</v>
      </c>
      <c r="D19">
        <f t="shared" si="3"/>
        <v>0.04</v>
      </c>
      <c r="E19">
        <f t="shared" si="0"/>
        <v>12824.060805050553</v>
      </c>
    </row>
    <row r="20" spans="1:5" x14ac:dyDescent="0.75">
      <c r="A20">
        <f t="shared" si="1"/>
        <v>30.7</v>
      </c>
      <c r="B20">
        <f t="shared" si="4"/>
        <v>0.70000000000000007</v>
      </c>
      <c r="C20">
        <f t="shared" si="2"/>
        <v>2.7703263047315239E-4</v>
      </c>
      <c r="D20">
        <f t="shared" si="3"/>
        <v>0.04</v>
      </c>
      <c r="E20">
        <f t="shared" si="0"/>
        <v>12973.509894904984</v>
      </c>
    </row>
    <row r="21" spans="1:5" x14ac:dyDescent="0.75">
      <c r="A21">
        <f t="shared" si="1"/>
        <v>30.75</v>
      </c>
      <c r="B21">
        <f t="shared" si="4"/>
        <v>0.75000000000000011</v>
      </c>
      <c r="C21">
        <f t="shared" si="2"/>
        <v>2.7899791952694895E-4</v>
      </c>
      <c r="D21">
        <f t="shared" si="3"/>
        <v>0.04</v>
      </c>
      <c r="E21">
        <f t="shared" si="0"/>
        <v>13123.251455821059</v>
      </c>
    </row>
    <row r="22" spans="1:5" x14ac:dyDescent="0.75">
      <c r="A22">
        <f t="shared" si="1"/>
        <v>30.8</v>
      </c>
      <c r="B22">
        <f t="shared" si="4"/>
        <v>0.80000000000000016</v>
      </c>
      <c r="C22">
        <f t="shared" si="2"/>
        <v>2.8097919904492572E-4</v>
      </c>
      <c r="D22">
        <f t="shared" si="3"/>
        <v>0.04</v>
      </c>
      <c r="E22">
        <f t="shared" si="0"/>
        <v>13273.286037127746</v>
      </c>
    </row>
    <row r="23" spans="1:5" x14ac:dyDescent="0.75">
      <c r="A23">
        <f t="shared" si="1"/>
        <v>30.85</v>
      </c>
      <c r="B23">
        <f t="shared" si="4"/>
        <v>0.8500000000000002</v>
      </c>
      <c r="C23">
        <f t="shared" si="2"/>
        <v>2.8297661617700758E-4</v>
      </c>
      <c r="D23">
        <f t="shared" si="3"/>
        <v>0.04</v>
      </c>
      <c r="E23">
        <f t="shared" si="0"/>
        <v>13423.614189070746</v>
      </c>
    </row>
    <row r="24" spans="1:5" x14ac:dyDescent="0.75">
      <c r="A24">
        <f t="shared" si="1"/>
        <v>30.9</v>
      </c>
      <c r="B24">
        <f t="shared" si="4"/>
        <v>0.90000000000000024</v>
      </c>
      <c r="C24">
        <f t="shared" si="2"/>
        <v>2.8499031955088965E-4</v>
      </c>
      <c r="D24">
        <f t="shared" si="3"/>
        <v>0.04</v>
      </c>
      <c r="E24">
        <f t="shared" si="0"/>
        <v>13574.236462814006</v>
      </c>
    </row>
    <row r="25" spans="1:5" x14ac:dyDescent="0.75">
      <c r="A25">
        <f t="shared" si="1"/>
        <v>30.95</v>
      </c>
      <c r="B25">
        <f t="shared" si="4"/>
        <v>0.95000000000000029</v>
      </c>
      <c r="C25">
        <f t="shared" si="2"/>
        <v>2.8702045928767151E-4</v>
      </c>
      <c r="D25">
        <f t="shared" si="3"/>
        <v>0.04</v>
      </c>
      <c r="E25">
        <f t="shared" si="0"/>
        <v>13725.153410441239</v>
      </c>
    </row>
    <row r="26" spans="1:5" x14ac:dyDescent="0.75">
      <c r="A26">
        <f t="shared" si="1"/>
        <v>31</v>
      </c>
      <c r="B26">
        <f t="shared" si="4"/>
        <v>1.0000000000000002</v>
      </c>
      <c r="C26">
        <f t="shared" si="2"/>
        <v>2.8906718701766037E-4</v>
      </c>
      <c r="D26">
        <f t="shared" si="3"/>
        <v>0.04</v>
      </c>
      <c r="E26">
        <f t="shared" si="0"/>
        <v>13876.365584957466</v>
      </c>
    </row>
    <row r="27" spans="1:5" x14ac:dyDescent="0.75">
      <c r="A27">
        <f t="shared" si="1"/>
        <v>31.05</v>
      </c>
      <c r="B27">
        <f t="shared" si="4"/>
        <v>1.0500000000000003</v>
      </c>
      <c r="C27">
        <f t="shared" si="2"/>
        <v>2.9113065589634718E-4</v>
      </c>
      <c r="D27">
        <f t="shared" si="3"/>
        <v>0.04</v>
      </c>
      <c r="E27">
        <f t="shared" si="0"/>
        <v>14027.873540290577</v>
      </c>
    </row>
    <row r="28" spans="1:5" x14ac:dyDescent="0.75">
      <c r="A28">
        <f t="shared" si="1"/>
        <v>31.1</v>
      </c>
      <c r="B28">
        <f t="shared" si="4"/>
        <v>1.1000000000000003</v>
      </c>
      <c r="C28">
        <f t="shared" si="2"/>
        <v>2.9321102062055608E-4</v>
      </c>
      <c r="D28">
        <f t="shared" si="3"/>
        <v>0.04</v>
      </c>
      <c r="E28">
        <f t="shared" si="0"/>
        <v>14179.677831292909</v>
      </c>
    </row>
    <row r="29" spans="1:5" x14ac:dyDescent="0.75">
      <c r="A29">
        <f t="shared" si="1"/>
        <v>31.15</v>
      </c>
      <c r="B29">
        <f t="shared" si="4"/>
        <v>1.1500000000000004</v>
      </c>
      <c r="C29">
        <f t="shared" si="2"/>
        <v>2.9530843744476985E-4</v>
      </c>
      <c r="D29">
        <f t="shared" si="3"/>
        <v>0.04</v>
      </c>
      <c r="E29">
        <f t="shared" si="0"/>
        <v>14331.77901374284</v>
      </c>
    </row>
    <row r="30" spans="1:5" x14ac:dyDescent="0.75">
      <c r="A30">
        <f t="shared" si="1"/>
        <v>31.2</v>
      </c>
      <c r="B30">
        <f t="shared" si="4"/>
        <v>1.2000000000000004</v>
      </c>
      <c r="C30">
        <f t="shared" si="2"/>
        <v>2.9742306419763267E-4</v>
      </c>
      <c r="D30">
        <f t="shared" si="3"/>
        <v>0.04</v>
      </c>
      <c r="E30">
        <f t="shared" si="0"/>
        <v>14484.17764434642</v>
      </c>
    </row>
    <row r="31" spans="1:5" x14ac:dyDescent="0.75">
      <c r="A31">
        <f t="shared" si="1"/>
        <v>31.25</v>
      </c>
      <c r="B31">
        <f t="shared" si="4"/>
        <v>1.2500000000000004</v>
      </c>
      <c r="C31">
        <f t="shared" si="2"/>
        <v>2.9955506029863285E-4</v>
      </c>
      <c r="D31">
        <f t="shared" si="3"/>
        <v>0.04</v>
      </c>
      <c r="E31">
        <f t="shared" si="0"/>
        <v>14636.874280738995</v>
      </c>
    </row>
    <row r="32" spans="1:5" x14ac:dyDescent="0.75">
      <c r="A32">
        <f t="shared" si="1"/>
        <v>31.3</v>
      </c>
      <c r="B32">
        <f t="shared" si="4"/>
        <v>1.3000000000000005</v>
      </c>
      <c r="C32">
        <f t="shared" si="2"/>
        <v>3.0170458677496691E-4</v>
      </c>
      <c r="D32">
        <f t="shared" si="3"/>
        <v>0.04</v>
      </c>
      <c r="E32">
        <f t="shared" si="0"/>
        <v>14789.869481486867</v>
      </c>
    </row>
    <row r="33" spans="1:5" x14ac:dyDescent="0.75">
      <c r="A33">
        <f t="shared" si="1"/>
        <v>31.35</v>
      </c>
      <c r="B33">
        <f t="shared" si="4"/>
        <v>1.3500000000000005</v>
      </c>
      <c r="C33">
        <f t="shared" si="2"/>
        <v>3.0387180627858783E-4</v>
      </c>
      <c r="D33">
        <f t="shared" si="3"/>
        <v>0.04</v>
      </c>
      <c r="E33">
        <f t="shared" si="0"/>
        <v>14943.163806088985</v>
      </c>
    </row>
    <row r="34" spans="1:5" x14ac:dyDescent="0.75">
      <c r="A34">
        <f t="shared" si="1"/>
        <v>31.400000000000002</v>
      </c>
      <c r="B34">
        <f t="shared" si="4"/>
        <v>1.4000000000000006</v>
      </c>
      <c r="C34">
        <f t="shared" si="2"/>
        <v>3.0605688310343822E-4</v>
      </c>
      <c r="D34">
        <f t="shared" si="3"/>
        <v>0.04</v>
      </c>
      <c r="E34">
        <f t="shared" si="0"/>
        <v>15096.757814978633</v>
      </c>
    </row>
    <row r="35" spans="1:5" x14ac:dyDescent="0.75">
      <c r="A35">
        <f t="shared" si="1"/>
        <v>31.45</v>
      </c>
      <c r="B35">
        <f t="shared" si="4"/>
        <v>1.4500000000000006</v>
      </c>
      <c r="C35">
        <f t="shared" si="2"/>
        <v>3.0825998320287178E-4</v>
      </c>
      <c r="D35">
        <f t="shared" si="3"/>
        <v>0.04</v>
      </c>
      <c r="E35">
        <f t="shared" si="0"/>
        <v>15250.652069525164</v>
      </c>
    </row>
    <row r="36" spans="1:5" x14ac:dyDescent="0.75">
      <c r="A36">
        <f t="shared" si="1"/>
        <v>31.5</v>
      </c>
      <c r="B36">
        <f t="shared" si="4"/>
        <v>1.5000000000000007</v>
      </c>
      <c r="C36">
        <f t="shared" si="2"/>
        <v>3.1048127420726419E-4</v>
      </c>
      <c r="D36">
        <f t="shared" si="3"/>
        <v>0.04</v>
      </c>
      <c r="E36">
        <f t="shared" si="0"/>
        <v>15404.847132035738</v>
      </c>
    </row>
    <row r="37" spans="1:5" x14ac:dyDescent="0.75">
      <c r="A37">
        <f t="shared" si="1"/>
        <v>31.55</v>
      </c>
      <c r="B37">
        <f t="shared" si="4"/>
        <v>1.5500000000000007</v>
      </c>
      <c r="C37">
        <f t="shared" si="2"/>
        <v>3.1272092544181628E-4</v>
      </c>
      <c r="D37">
        <f t="shared" si="3"/>
        <v>0.04</v>
      </c>
      <c r="E37">
        <f t="shared" si="0"/>
        <v>15559.343565757099</v>
      </c>
    </row>
    <row r="38" spans="1:5" x14ac:dyDescent="0.75">
      <c r="A38">
        <f t="shared" si="1"/>
        <v>31.6</v>
      </c>
      <c r="B38">
        <f t="shared" si="4"/>
        <v>1.6000000000000008</v>
      </c>
      <c r="C38">
        <f t="shared" si="2"/>
        <v>3.1497910794455033E-4</v>
      </c>
      <c r="D38">
        <f t="shared" si="3"/>
        <v>0.04</v>
      </c>
      <c r="E38">
        <f t="shared" si="0"/>
        <v>15714.141934877363</v>
      </c>
    </row>
    <row r="39" spans="1:5" x14ac:dyDescent="0.75">
      <c r="A39">
        <f t="shared" si="1"/>
        <v>31.650000000000002</v>
      </c>
      <c r="B39">
        <f t="shared" si="4"/>
        <v>1.6500000000000008</v>
      </c>
      <c r="C39">
        <f t="shared" si="2"/>
        <v>3.1725599448450382E-4</v>
      </c>
      <c r="D39">
        <f t="shared" si="3"/>
        <v>0.04</v>
      </c>
      <c r="E39">
        <f t="shared" si="0"/>
        <v>15869.242804527832</v>
      </c>
    </row>
    <row r="40" spans="1:5" x14ac:dyDescent="0.75">
      <c r="A40">
        <f t="shared" si="1"/>
        <v>31.7</v>
      </c>
      <c r="B40">
        <f t="shared" si="4"/>
        <v>1.7000000000000008</v>
      </c>
      <c r="C40">
        <f t="shared" si="2"/>
        <v>3.1955175958012011E-4</v>
      </c>
      <c r="D40">
        <f t="shared" si="3"/>
        <v>0.04</v>
      </c>
      <c r="E40">
        <f t="shared" si="0"/>
        <v>16024.646740784849</v>
      </c>
    </row>
    <row r="41" spans="1:5" x14ac:dyDescent="0.75">
      <c r="A41">
        <f t="shared" si="1"/>
        <v>31.75</v>
      </c>
      <c r="B41">
        <f t="shared" si="4"/>
        <v>1.7500000000000009</v>
      </c>
      <c r="C41">
        <f t="shared" si="2"/>
        <v>3.2186657951784086E-4</v>
      </c>
      <c r="D41">
        <f t="shared" si="3"/>
        <v>0.04</v>
      </c>
      <c r="E41">
        <f t="shared" si="0"/>
        <v>16180.354310671652</v>
      </c>
    </row>
    <row r="42" spans="1:5" x14ac:dyDescent="0.75">
      <c r="A42">
        <f t="shared" si="1"/>
        <v>31.8</v>
      </c>
      <c r="B42">
        <f t="shared" si="4"/>
        <v>1.8000000000000009</v>
      </c>
      <c r="C42">
        <f t="shared" si="2"/>
        <v>3.2420063237089986E-4</v>
      </c>
      <c r="D42">
        <f t="shared" si="3"/>
        <v>0.04</v>
      </c>
      <c r="E42">
        <f t="shared" si="0"/>
        <v>16336.366082160273</v>
      </c>
    </row>
    <row r="43" spans="1:5" x14ac:dyDescent="0.75">
      <c r="A43">
        <f t="shared" si="1"/>
        <v>31.85</v>
      </c>
      <c r="B43">
        <f t="shared" si="4"/>
        <v>1.850000000000001</v>
      </c>
      <c r="C43">
        <f t="shared" si="2"/>
        <v>3.2655409801832295E-4</v>
      </c>
      <c r="D43">
        <f t="shared" si="3"/>
        <v>0.04</v>
      </c>
      <c r="E43">
        <f t="shared" si="0"/>
        <v>16492.682624173463</v>
      </c>
    </row>
    <row r="44" spans="1:5" x14ac:dyDescent="0.75">
      <c r="A44">
        <f t="shared" si="1"/>
        <v>31.900000000000002</v>
      </c>
      <c r="B44">
        <f t="shared" si="4"/>
        <v>1.900000000000001</v>
      </c>
      <c r="C44">
        <f t="shared" si="2"/>
        <v>3.2892715816413453E-4</v>
      </c>
      <c r="D44">
        <f t="shared" si="3"/>
        <v>0.04</v>
      </c>
      <c r="E44">
        <f t="shared" si="0"/>
        <v>16649.304506586632</v>
      </c>
    </row>
    <row r="45" spans="1:5" x14ac:dyDescent="0.75">
      <c r="A45">
        <f t="shared" si="1"/>
        <v>31.950000000000003</v>
      </c>
      <c r="B45">
        <f t="shared" si="4"/>
        <v>1.9500000000000011</v>
      </c>
      <c r="C45">
        <f t="shared" si="2"/>
        <v>3.3131999635677384E-4</v>
      </c>
      <c r="D45">
        <f t="shared" si="3"/>
        <v>0.04</v>
      </c>
      <c r="E45">
        <f t="shared" si="0"/>
        <v>16806.232300229822</v>
      </c>
    </row>
    <row r="46" spans="1:5" x14ac:dyDescent="0.75">
      <c r="A46">
        <f t="shared" si="1"/>
        <v>32</v>
      </c>
      <c r="B46">
        <f t="shared" si="4"/>
        <v>2.0000000000000009</v>
      </c>
      <c r="C46">
        <f t="shared" si="2"/>
        <v>3.3373279800872252E-4</v>
      </c>
      <c r="D46">
        <f t="shared" si="3"/>
        <v>0.04</v>
      </c>
      <c r="E46">
        <f t="shared" si="0"/>
        <v>16963.466576889725</v>
      </c>
    </row>
    <row r="47" spans="1:5" x14ac:dyDescent="0.75">
      <c r="A47">
        <f t="shared" si="1"/>
        <v>32.049999999999997</v>
      </c>
      <c r="B47">
        <f t="shared" si="4"/>
        <v>2.0500000000000007</v>
      </c>
      <c r="C47">
        <f>0.00022  + 0.0000027*1.124^A47</f>
        <v>3.3439947704746596E-4</v>
      </c>
      <c r="D47">
        <f t="shared" si="3"/>
        <v>0.04</v>
      </c>
      <c r="E47">
        <f t="shared" si="0"/>
        <v>17121.007909311695</v>
      </c>
    </row>
    <row r="48" spans="1:5" x14ac:dyDescent="0.75">
      <c r="A48">
        <f t="shared" si="1"/>
        <v>32.1</v>
      </c>
      <c r="B48">
        <f t="shared" si="4"/>
        <v>2.1000000000000005</v>
      </c>
      <c r="C48">
        <f t="shared" ref="C48:C111" si="5">0.00022  + 0.0000027*1.124^A48</f>
        <v>3.3507006402612205E-4</v>
      </c>
      <c r="D48">
        <f t="shared" si="3"/>
        <v>0.04</v>
      </c>
      <c r="E48">
        <f t="shared" si="0"/>
        <v>17278.864190549648</v>
      </c>
    </row>
    <row r="49" spans="1:5" x14ac:dyDescent="0.75">
      <c r="A49">
        <f t="shared" si="1"/>
        <v>32.15</v>
      </c>
      <c r="B49">
        <f t="shared" si="4"/>
        <v>2.1500000000000004</v>
      </c>
      <c r="C49">
        <f t="shared" si="5"/>
        <v>3.3574458185225693E-4</v>
      </c>
      <c r="D49">
        <f t="shared" si="3"/>
        <v>0.04</v>
      </c>
      <c r="E49">
        <f t="shared" si="0"/>
        <v>17437.036050117153</v>
      </c>
    </row>
    <row r="50" spans="1:5" x14ac:dyDescent="0.75">
      <c r="A50">
        <f t="shared" si="1"/>
        <v>32.200000000000003</v>
      </c>
      <c r="B50">
        <f t="shared" si="4"/>
        <v>2.2000000000000002</v>
      </c>
      <c r="C50">
        <f t="shared" si="5"/>
        <v>3.3642305356771691E-4</v>
      </c>
      <c r="D50">
        <f t="shared" si="3"/>
        <v>0.04</v>
      </c>
      <c r="E50">
        <f t="shared" si="0"/>
        <v>17595.524118826994</v>
      </c>
    </row>
    <row r="51" spans="1:5" x14ac:dyDescent="0.75">
      <c r="A51">
        <f t="shared" si="1"/>
        <v>32.25</v>
      </c>
      <c r="B51">
        <f t="shared" si="4"/>
        <v>2.25</v>
      </c>
      <c r="C51">
        <f t="shared" si="5"/>
        <v>3.3710550234941449E-4</v>
      </c>
      <c r="D51">
        <f t="shared" si="3"/>
        <v>0.04</v>
      </c>
      <c r="E51">
        <f t="shared" si="0"/>
        <v>17754.329028794466</v>
      </c>
    </row>
    <row r="52" spans="1:5" x14ac:dyDescent="0.75">
      <c r="A52">
        <f t="shared" si="1"/>
        <v>32.299999999999997</v>
      </c>
      <c r="B52">
        <f t="shared" si="4"/>
        <v>2.2999999999999998</v>
      </c>
      <c r="C52">
        <f t="shared" si="5"/>
        <v>3.3779195151012085E-4</v>
      </c>
      <c r="D52">
        <f t="shared" si="3"/>
        <v>0.04</v>
      </c>
      <c r="E52">
        <f t="shared" si="0"/>
        <v>17913.451413440613</v>
      </c>
    </row>
    <row r="53" spans="1:5" x14ac:dyDescent="0.75">
      <c r="A53">
        <f t="shared" si="1"/>
        <v>32.35</v>
      </c>
      <c r="B53">
        <f t="shared" si="4"/>
        <v>2.3499999999999996</v>
      </c>
      <c r="C53">
        <f t="shared" si="5"/>
        <v>3.3848242449926232E-4</v>
      </c>
      <c r="D53">
        <f t="shared" si="3"/>
        <v>0.04</v>
      </c>
      <c r="E53">
        <f t="shared" si="0"/>
        <v>18072.891907495505</v>
      </c>
    </row>
    <row r="54" spans="1:5" x14ac:dyDescent="0.75">
      <c r="A54">
        <f t="shared" si="1"/>
        <v>32.4</v>
      </c>
      <c r="B54">
        <f t="shared" si="4"/>
        <v>2.3999999999999995</v>
      </c>
      <c r="C54">
        <f t="shared" si="5"/>
        <v>3.3917694490372032E-4</v>
      </c>
      <c r="D54">
        <f t="shared" si="3"/>
        <v>0.04</v>
      </c>
      <c r="E54">
        <f t="shared" si="0"/>
        <v>18232.651147001528</v>
      </c>
    </row>
    <row r="55" spans="1:5" x14ac:dyDescent="0.75">
      <c r="A55">
        <f t="shared" si="1"/>
        <v>32.450000000000003</v>
      </c>
      <c r="B55">
        <f t="shared" si="4"/>
        <v>2.4499999999999993</v>
      </c>
      <c r="C55">
        <f t="shared" si="5"/>
        <v>3.3987553644863877E-4</v>
      </c>
      <c r="D55">
        <f t="shared" si="3"/>
        <v>0.04</v>
      </c>
      <c r="E55">
        <f t="shared" si="0"/>
        <v>18392.729769316691</v>
      </c>
    </row>
    <row r="56" spans="1:5" x14ac:dyDescent="0.75">
      <c r="A56">
        <f t="shared" si="1"/>
        <v>32.5</v>
      </c>
      <c r="B56">
        <f t="shared" si="4"/>
        <v>2.4999999999999991</v>
      </c>
      <c r="C56">
        <f t="shared" si="5"/>
        <v>3.4057822299823291E-4</v>
      </c>
      <c r="D56">
        <f t="shared" si="3"/>
        <v>0.04</v>
      </c>
      <c r="E56">
        <f t="shared" si="0"/>
        <v>18553.128413117938</v>
      </c>
    </row>
    <row r="57" spans="1:5" x14ac:dyDescent="0.75">
      <c r="A57">
        <f t="shared" si="1"/>
        <v>32.549999999999997</v>
      </c>
      <c r="B57">
        <f t="shared" si="4"/>
        <v>2.5499999999999989</v>
      </c>
      <c r="C57">
        <f t="shared" si="5"/>
        <v>3.4128502855660574E-4</v>
      </c>
      <c r="D57">
        <f t="shared" si="3"/>
        <v>0.04</v>
      </c>
      <c r="E57">
        <f t="shared" si="0"/>
        <v>18713.847718404482</v>
      </c>
    </row>
    <row r="58" spans="1:5" x14ac:dyDescent="0.75">
      <c r="A58">
        <f t="shared" si="1"/>
        <v>32.6</v>
      </c>
      <c r="B58">
        <f t="shared" si="4"/>
        <v>2.5999999999999988</v>
      </c>
      <c r="C58">
        <f t="shared" si="5"/>
        <v>3.419959772685675E-4</v>
      </c>
      <c r="D58">
        <f t="shared" si="3"/>
        <v>0.04</v>
      </c>
      <c r="E58">
        <f t="shared" si="0"/>
        <v>18874.888326501157</v>
      </c>
    </row>
    <row r="59" spans="1:5" x14ac:dyDescent="0.75">
      <c r="A59">
        <f t="shared" si="1"/>
        <v>32.65</v>
      </c>
      <c r="B59">
        <f t="shared" si="4"/>
        <v>2.6499999999999986</v>
      </c>
      <c r="C59">
        <f t="shared" si="5"/>
        <v>3.4271109342046005E-4</v>
      </c>
      <c r="D59">
        <f t="shared" si="3"/>
        <v>0.04</v>
      </c>
      <c r="E59">
        <f t="shared" si="0"/>
        <v>19036.250880061769</v>
      </c>
    </row>
    <row r="60" spans="1:5" x14ac:dyDescent="0.75">
      <c r="A60">
        <f t="shared" si="1"/>
        <v>32.699999999999996</v>
      </c>
      <c r="B60">
        <f t="shared" si="4"/>
        <v>2.6999999999999984</v>
      </c>
      <c r="C60">
        <f t="shared" si="5"/>
        <v>3.4343040144098759E-4</v>
      </c>
      <c r="D60">
        <f t="shared" si="3"/>
        <v>0.04</v>
      </c>
      <c r="E60">
        <f t="shared" si="0"/>
        <v>19197.936023072474</v>
      </c>
    </row>
    <row r="61" spans="1:5" x14ac:dyDescent="0.75">
      <c r="A61">
        <f t="shared" si="1"/>
        <v>32.75</v>
      </c>
      <c r="B61">
        <f t="shared" si="4"/>
        <v>2.7499999999999982</v>
      </c>
      <c r="C61">
        <f t="shared" si="5"/>
        <v>3.4415392590205027E-4</v>
      </c>
      <c r="D61">
        <f t="shared" si="3"/>
        <v>0.04</v>
      </c>
      <c r="E61">
        <f t="shared" si="0"/>
        <v>19359.944400855176</v>
      </c>
    </row>
    <row r="62" spans="1:5" x14ac:dyDescent="0.75">
      <c r="A62">
        <f t="shared" si="1"/>
        <v>32.799999999999997</v>
      </c>
      <c r="B62">
        <f t="shared" si="4"/>
        <v>2.799999999999998</v>
      </c>
      <c r="C62">
        <f t="shared" si="5"/>
        <v>3.4488169151958357E-4</v>
      </c>
      <c r="D62">
        <f t="shared" si="3"/>
        <v>0.04</v>
      </c>
      <c r="E62">
        <f t="shared" si="0"/>
        <v>19522.276660070918</v>
      </c>
    </row>
    <row r="63" spans="1:5" x14ac:dyDescent="0.75">
      <c r="A63">
        <f t="shared" si="1"/>
        <v>32.849999999999994</v>
      </c>
      <c r="B63">
        <f t="shared" si="4"/>
        <v>2.8499999999999979</v>
      </c>
      <c r="C63">
        <f t="shared" si="5"/>
        <v>3.4561372315440326E-4</v>
      </c>
      <c r="D63">
        <f t="shared" si="3"/>
        <v>0.04</v>
      </c>
      <c r="E63">
        <f t="shared" si="0"/>
        <v>19684.933448723306</v>
      </c>
    </row>
    <row r="64" spans="1:5" x14ac:dyDescent="0.75">
      <c r="A64">
        <f t="shared" si="1"/>
        <v>32.9</v>
      </c>
      <c r="B64">
        <f t="shared" si="4"/>
        <v>2.8999999999999977</v>
      </c>
      <c r="C64">
        <f t="shared" si="5"/>
        <v>3.4635004581305408E-4</v>
      </c>
      <c r="D64">
        <f t="shared" si="3"/>
        <v>0.04</v>
      </c>
      <c r="E64">
        <f t="shared" si="0"/>
        <v>19847.915416161944</v>
      </c>
    </row>
    <row r="65" spans="1:5" x14ac:dyDescent="0.75">
      <c r="A65">
        <f t="shared" si="1"/>
        <v>32.949999999999996</v>
      </c>
      <c r="B65">
        <f t="shared" si="4"/>
        <v>2.9499999999999975</v>
      </c>
      <c r="C65">
        <f t="shared" si="5"/>
        <v>3.4709068464866397E-4</v>
      </c>
      <c r="D65">
        <f t="shared" si="3"/>
        <v>0.04</v>
      </c>
      <c r="E65">
        <f t="shared" si="0"/>
        <v>20011.223213085887</v>
      </c>
    </row>
    <row r="66" spans="1:5" x14ac:dyDescent="0.75">
      <c r="A66">
        <f t="shared" si="1"/>
        <v>33</v>
      </c>
      <c r="B66">
        <f t="shared" si="4"/>
        <v>2.9999999999999973</v>
      </c>
      <c r="C66">
        <f t="shared" si="5"/>
        <v>3.4783566496180416E-4</v>
      </c>
      <c r="D66">
        <f t="shared" si="3"/>
        <v>0.04</v>
      </c>
      <c r="E66">
        <f t="shared" si="0"/>
        <v>20174.857491547096</v>
      </c>
    </row>
    <row r="67" spans="1:5" x14ac:dyDescent="0.75">
      <c r="A67">
        <f t="shared" si="1"/>
        <v>33.049999999999997</v>
      </c>
      <c r="B67">
        <f t="shared" si="4"/>
        <v>3.0499999999999972</v>
      </c>
      <c r="C67">
        <f t="shared" si="5"/>
        <v>3.4858501220135174E-4</v>
      </c>
      <c r="D67">
        <f t="shared" si="3"/>
        <v>0.04</v>
      </c>
      <c r="E67">
        <f t="shared" si="0"/>
        <v>20338.818904953932</v>
      </c>
    </row>
    <row r="68" spans="1:5" x14ac:dyDescent="0.75">
      <c r="A68">
        <f t="shared" si="1"/>
        <v>33.099999999999994</v>
      </c>
      <c r="B68">
        <f t="shared" si="4"/>
        <v>3.099999999999997</v>
      </c>
      <c r="C68">
        <f t="shared" si="5"/>
        <v>3.4933875196536111E-4</v>
      </c>
      <c r="D68">
        <f t="shared" si="3"/>
        <v>0.04</v>
      </c>
      <c r="E68">
        <f t="shared" si="0"/>
        <v>20503.108108074641</v>
      </c>
    </row>
    <row r="69" spans="1:5" x14ac:dyDescent="0.75">
      <c r="A69">
        <f t="shared" si="1"/>
        <v>33.15</v>
      </c>
      <c r="B69">
        <f t="shared" si="4"/>
        <v>3.1499999999999968</v>
      </c>
      <c r="C69">
        <f t="shared" si="5"/>
        <v>3.5009691000193686E-4</v>
      </c>
      <c r="D69">
        <f t="shared" si="3"/>
        <v>0.04</v>
      </c>
      <c r="E69">
        <f t="shared" si="0"/>
        <v>20667.725757040858</v>
      </c>
    </row>
    <row r="70" spans="1:5" x14ac:dyDescent="0.75">
      <c r="A70">
        <f t="shared" si="1"/>
        <v>33.199999999999996</v>
      </c>
      <c r="B70">
        <f t="shared" si="4"/>
        <v>3.1999999999999966</v>
      </c>
      <c r="C70">
        <f t="shared" si="5"/>
        <v>3.508595122101137E-4</v>
      </c>
      <c r="D70">
        <f t="shared" si="3"/>
        <v>0.04</v>
      </c>
      <c r="E70">
        <f t="shared" ref="E70:E133" si="6">(E71 -$D$2*$B$2+$D$2*C70*$C$2)/(1+$D$2*D70+$D$2*C70)</f>
        <v>20832.672509351145</v>
      </c>
    </row>
    <row r="71" spans="1:5" x14ac:dyDescent="0.75">
      <c r="A71">
        <f t="shared" ref="A71:A134" si="7">$A$2+B71</f>
        <v>33.25</v>
      </c>
      <c r="B71">
        <f t="shared" si="4"/>
        <v>3.2499999999999964</v>
      </c>
      <c r="C71">
        <f t="shared" si="5"/>
        <v>3.5162658464074186E-4</v>
      </c>
      <c r="D71">
        <f t="shared" ref="D71:D134" si="8">0.04</f>
        <v>0.04</v>
      </c>
      <c r="E71">
        <f t="shared" si="6"/>
        <v>20997.949023874527</v>
      </c>
    </row>
    <row r="72" spans="1:5" x14ac:dyDescent="0.75">
      <c r="A72">
        <f t="shared" si="7"/>
        <v>33.299999999999997</v>
      </c>
      <c r="B72">
        <f t="shared" si="4"/>
        <v>3.2999999999999963</v>
      </c>
      <c r="C72">
        <f t="shared" si="5"/>
        <v>3.5239815349737591E-4</v>
      </c>
      <c r="D72">
        <f t="shared" si="8"/>
        <v>0.04</v>
      </c>
      <c r="E72">
        <f t="shared" si="6"/>
        <v>21163.555960854057</v>
      </c>
    </row>
    <row r="73" spans="1:5" x14ac:dyDescent="0.75">
      <c r="A73">
        <f t="shared" si="7"/>
        <v>33.349999999999994</v>
      </c>
      <c r="B73">
        <f t="shared" ref="B73:B136" si="9">B72+$D$2</f>
        <v>3.3499999999999961</v>
      </c>
      <c r="C73">
        <f t="shared" si="5"/>
        <v>3.531742451371707E-4</v>
      </c>
      <c r="D73">
        <f t="shared" si="8"/>
        <v>0.04</v>
      </c>
      <c r="E73">
        <f t="shared" si="6"/>
        <v>21329.493981910382</v>
      </c>
    </row>
    <row r="74" spans="1:5" x14ac:dyDescent="0.75">
      <c r="A74">
        <f t="shared" si="7"/>
        <v>33.4</v>
      </c>
      <c r="B74">
        <f t="shared" si="9"/>
        <v>3.3999999999999959</v>
      </c>
      <c r="C74">
        <f t="shared" si="5"/>
        <v>3.5395488607178167E-4</v>
      </c>
      <c r="D74">
        <f t="shared" si="8"/>
        <v>0.04</v>
      </c>
      <c r="E74">
        <f t="shared" si="6"/>
        <v>21495.763750045327</v>
      </c>
    </row>
    <row r="75" spans="1:5" x14ac:dyDescent="0.75">
      <c r="A75">
        <f t="shared" si="7"/>
        <v>33.449999999999996</v>
      </c>
      <c r="B75">
        <f t="shared" si="9"/>
        <v>3.4499999999999957</v>
      </c>
      <c r="C75">
        <f t="shared" si="5"/>
        <v>3.5474010296826985E-4</v>
      </c>
      <c r="D75">
        <f t="shared" si="8"/>
        <v>0.04</v>
      </c>
      <c r="E75">
        <f t="shared" si="6"/>
        <v>21662.365929645519</v>
      </c>
    </row>
    <row r="76" spans="1:5" x14ac:dyDescent="0.75">
      <c r="A76">
        <f t="shared" si="7"/>
        <v>33.499999999999993</v>
      </c>
      <c r="B76">
        <f t="shared" si="9"/>
        <v>3.4999999999999956</v>
      </c>
      <c r="C76">
        <f t="shared" si="5"/>
        <v>3.5552992265001367E-4</v>
      </c>
      <c r="D76">
        <f t="shared" si="8"/>
        <v>0.04</v>
      </c>
      <c r="E76">
        <f t="shared" si="6"/>
        <v>21829.301186485991</v>
      </c>
    </row>
    <row r="77" spans="1:5" x14ac:dyDescent="0.75">
      <c r="A77">
        <f t="shared" si="7"/>
        <v>33.549999999999997</v>
      </c>
      <c r="B77">
        <f t="shared" si="9"/>
        <v>3.5499999999999954</v>
      </c>
      <c r="C77">
        <f t="shared" si="5"/>
        <v>3.5632437209762483E-4</v>
      </c>
      <c r="D77">
        <f t="shared" si="8"/>
        <v>0.04</v>
      </c>
      <c r="E77">
        <f t="shared" si="6"/>
        <v>21996.570187733829</v>
      </c>
    </row>
    <row r="78" spans="1:5" x14ac:dyDescent="0.75">
      <c r="A78">
        <f t="shared" si="7"/>
        <v>33.599999999999994</v>
      </c>
      <c r="B78">
        <f t="shared" si="9"/>
        <v>3.5999999999999952</v>
      </c>
      <c r="C78">
        <f t="shared" si="5"/>
        <v>3.5712347844986977E-4</v>
      </c>
      <c r="D78">
        <f t="shared" si="8"/>
        <v>0.04</v>
      </c>
      <c r="E78">
        <f t="shared" si="6"/>
        <v>22164.173601951828</v>
      </c>
    </row>
    <row r="79" spans="1:5" x14ac:dyDescent="0.75">
      <c r="A79">
        <f t="shared" si="7"/>
        <v>33.649999999999991</v>
      </c>
      <c r="B79">
        <f t="shared" si="9"/>
        <v>3.649999999999995</v>
      </c>
      <c r="C79">
        <f t="shared" si="5"/>
        <v>3.5792726900459704E-4</v>
      </c>
      <c r="D79">
        <f t="shared" si="8"/>
        <v>0.04</v>
      </c>
      <c r="E79">
        <f t="shared" si="6"/>
        <v>22332.112099102171</v>
      </c>
    </row>
    <row r="80" spans="1:5" x14ac:dyDescent="0.75">
      <c r="A80">
        <f t="shared" si="7"/>
        <v>33.699999999999996</v>
      </c>
      <c r="B80">
        <f t="shared" si="9"/>
        <v>3.6999999999999948</v>
      </c>
      <c r="C80">
        <f t="shared" si="5"/>
        <v>3.587357712196701E-4</v>
      </c>
      <c r="D80">
        <f t="shared" si="8"/>
        <v>0.04</v>
      </c>
      <c r="E80">
        <f t="shared" si="6"/>
        <v>22500.386350550089</v>
      </c>
    </row>
    <row r="81" spans="1:5" x14ac:dyDescent="0.75">
      <c r="A81">
        <f t="shared" si="7"/>
        <v>33.749999999999993</v>
      </c>
      <c r="B81">
        <f t="shared" si="9"/>
        <v>3.7499999999999947</v>
      </c>
      <c r="C81">
        <f t="shared" si="5"/>
        <v>3.5954901271390439E-4</v>
      </c>
      <c r="D81">
        <f t="shared" si="8"/>
        <v>0.04</v>
      </c>
      <c r="E81">
        <f t="shared" si="6"/>
        <v>22668.997029067599</v>
      </c>
    </row>
    <row r="82" spans="1:5" x14ac:dyDescent="0.75">
      <c r="A82">
        <f t="shared" si="7"/>
        <v>33.799999999999997</v>
      </c>
      <c r="B82">
        <f t="shared" si="9"/>
        <v>3.7999999999999945</v>
      </c>
      <c r="C82">
        <f t="shared" si="5"/>
        <v>3.6036702126801198E-4</v>
      </c>
      <c r="D82">
        <f t="shared" si="8"/>
        <v>0.04</v>
      </c>
      <c r="E82">
        <f t="shared" si="6"/>
        <v>22837.944808837216</v>
      </c>
    </row>
    <row r="83" spans="1:5" x14ac:dyDescent="0.75">
      <c r="A83">
        <f t="shared" si="7"/>
        <v>33.849999999999994</v>
      </c>
      <c r="B83">
        <f t="shared" si="9"/>
        <v>3.8499999999999943</v>
      </c>
      <c r="C83">
        <f t="shared" si="5"/>
        <v>3.6118982482554927E-4</v>
      </c>
      <c r="D83">
        <f t="shared" si="8"/>
        <v>0.04</v>
      </c>
      <c r="E83">
        <f t="shared" si="6"/>
        <v>23007.230365455682</v>
      </c>
    </row>
    <row r="84" spans="1:5" x14ac:dyDescent="0.75">
      <c r="A84">
        <f t="shared" si="7"/>
        <v>33.899999999999991</v>
      </c>
      <c r="B84">
        <f t="shared" si="9"/>
        <v>3.8999999999999941</v>
      </c>
      <c r="C84">
        <f t="shared" si="5"/>
        <v>3.6201745149387268E-4</v>
      </c>
      <c r="D84">
        <f t="shared" si="8"/>
        <v>0.04</v>
      </c>
      <c r="E84">
        <f t="shared" si="6"/>
        <v>23176.854375937735</v>
      </c>
    </row>
    <row r="85" spans="1:5" x14ac:dyDescent="0.75">
      <c r="A85">
        <f t="shared" si="7"/>
        <v>33.949999999999996</v>
      </c>
      <c r="B85">
        <f t="shared" si="9"/>
        <v>3.949999999999994</v>
      </c>
      <c r="C85">
        <f t="shared" si="5"/>
        <v>3.6284992954509833E-4</v>
      </c>
      <c r="D85">
        <f t="shared" si="8"/>
        <v>0.04</v>
      </c>
      <c r="E85">
        <f t="shared" si="6"/>
        <v>23346.817518719879</v>
      </c>
    </row>
    <row r="86" spans="1:5" x14ac:dyDescent="0.75">
      <c r="A86">
        <f t="shared" si="7"/>
        <v>33.999999999999993</v>
      </c>
      <c r="B86">
        <f t="shared" si="9"/>
        <v>3.9999999999999938</v>
      </c>
      <c r="C86">
        <f t="shared" si="5"/>
        <v>3.6368728741706765E-4</v>
      </c>
      <c r="D86">
        <f t="shared" si="8"/>
        <v>0.04</v>
      </c>
      <c r="E86">
        <f t="shared" si="6"/>
        <v>23517.120473664185</v>
      </c>
    </row>
    <row r="87" spans="1:5" x14ac:dyDescent="0.75">
      <c r="A87">
        <f t="shared" si="7"/>
        <v>34.049999999999997</v>
      </c>
      <c r="B87">
        <f t="shared" si="9"/>
        <v>4.0499999999999936</v>
      </c>
      <c r="C87">
        <f t="shared" si="5"/>
        <v>3.6452955371431934E-4</v>
      </c>
      <c r="D87">
        <f t="shared" si="8"/>
        <v>0.04</v>
      </c>
      <c r="E87">
        <f t="shared" si="6"/>
        <v>23687.763922062077</v>
      </c>
    </row>
    <row r="88" spans="1:5" x14ac:dyDescent="0.75">
      <c r="A88">
        <f t="shared" si="7"/>
        <v>34.099999999999994</v>
      </c>
      <c r="B88">
        <f t="shared" si="9"/>
        <v>4.0999999999999934</v>
      </c>
      <c r="C88">
        <f t="shared" si="5"/>
        <v>3.653767572090659E-4</v>
      </c>
      <c r="D88">
        <f t="shared" si="8"/>
        <v>0.04</v>
      </c>
      <c r="E88">
        <f t="shared" si="6"/>
        <v>23858.74854663818</v>
      </c>
    </row>
    <row r="89" spans="1:5" x14ac:dyDescent="0.75">
      <c r="A89">
        <f t="shared" si="7"/>
        <v>34.149999999999991</v>
      </c>
      <c r="B89">
        <f t="shared" si="9"/>
        <v>4.1499999999999932</v>
      </c>
      <c r="C89">
        <f t="shared" si="5"/>
        <v>3.6622892684217692E-4</v>
      </c>
      <c r="D89">
        <f t="shared" si="8"/>
        <v>0.04</v>
      </c>
      <c r="E89">
        <f t="shared" si="6"/>
        <v>24030.075031554163</v>
      </c>
    </row>
    <row r="90" spans="1:5" x14ac:dyDescent="0.75">
      <c r="A90">
        <f t="shared" si="7"/>
        <v>34.199999999999996</v>
      </c>
      <c r="B90">
        <f t="shared" si="9"/>
        <v>4.1999999999999931</v>
      </c>
      <c r="C90">
        <f t="shared" si="5"/>
        <v>3.6708609172416784E-4</v>
      </c>
      <c r="D90">
        <f t="shared" si="8"/>
        <v>0.04</v>
      </c>
      <c r="E90">
        <f t="shared" si="6"/>
        <v>24201.744062412596</v>
      </c>
    </row>
    <row r="91" spans="1:5" x14ac:dyDescent="0.75">
      <c r="A91">
        <f t="shared" si="7"/>
        <v>34.249999999999993</v>
      </c>
      <c r="B91">
        <f t="shared" si="9"/>
        <v>4.2499999999999929</v>
      </c>
      <c r="C91">
        <f t="shared" si="5"/>
        <v>3.6794828113619375E-4</v>
      </c>
      <c r="D91">
        <f t="shared" si="8"/>
        <v>0.04</v>
      </c>
      <c r="E91">
        <f t="shared" si="6"/>
        <v>24373.756326260838</v>
      </c>
    </row>
    <row r="92" spans="1:5" x14ac:dyDescent="0.75">
      <c r="A92">
        <f t="shared" si="7"/>
        <v>34.29999999999999</v>
      </c>
      <c r="B92">
        <f t="shared" si="9"/>
        <v>4.2999999999999927</v>
      </c>
      <c r="C92">
        <f t="shared" si="5"/>
        <v>3.6881552453105036E-4</v>
      </c>
      <c r="D92">
        <f t="shared" si="8"/>
        <v>0.04</v>
      </c>
      <c r="E92">
        <f t="shared" si="6"/>
        <v>24546.112511594933</v>
      </c>
    </row>
    <row r="93" spans="1:5" x14ac:dyDescent="0.75">
      <c r="A93">
        <f t="shared" si="7"/>
        <v>34.349999999999994</v>
      </c>
      <c r="B93">
        <f t="shared" si="9"/>
        <v>4.3499999999999925</v>
      </c>
      <c r="C93">
        <f t="shared" si="5"/>
        <v>3.6968785153417992E-4</v>
      </c>
      <c r="D93">
        <f t="shared" si="8"/>
        <v>0.04</v>
      </c>
      <c r="E93">
        <f t="shared" si="6"/>
        <v>24718.813308363522</v>
      </c>
    </row>
    <row r="94" spans="1:5" x14ac:dyDescent="0.75">
      <c r="A94">
        <f t="shared" si="7"/>
        <v>34.399999999999991</v>
      </c>
      <c r="B94">
        <f t="shared" si="9"/>
        <v>4.3999999999999924</v>
      </c>
      <c r="C94">
        <f t="shared" si="5"/>
        <v>3.7056529194468251E-4</v>
      </c>
      <c r="D94">
        <f t="shared" si="8"/>
        <v>0.04</v>
      </c>
      <c r="E94">
        <f t="shared" si="6"/>
        <v>24891.859407971802</v>
      </c>
    </row>
    <row r="95" spans="1:5" x14ac:dyDescent="0.75">
      <c r="A95">
        <f t="shared" si="7"/>
        <v>34.449999999999989</v>
      </c>
      <c r="B95">
        <f t="shared" si="9"/>
        <v>4.4499999999999922</v>
      </c>
      <c r="C95">
        <f t="shared" si="5"/>
        <v>3.7144787573633524E-4</v>
      </c>
      <c r="D95">
        <f t="shared" si="8"/>
        <v>0.04</v>
      </c>
      <c r="E95">
        <f t="shared" si="6"/>
        <v>25065.251503285454</v>
      </c>
    </row>
    <row r="96" spans="1:5" x14ac:dyDescent="0.75">
      <c r="A96">
        <f t="shared" si="7"/>
        <v>34.499999999999993</v>
      </c>
      <c r="B96">
        <f t="shared" si="9"/>
        <v>4.499999999999992</v>
      </c>
      <c r="C96">
        <f t="shared" si="5"/>
        <v>3.7233563305861541E-4</v>
      </c>
      <c r="D96">
        <f t="shared" si="8"/>
        <v>0.04</v>
      </c>
      <c r="E96">
        <f t="shared" si="6"/>
        <v>25238.990288634628</v>
      </c>
    </row>
    <row r="97" spans="1:5" x14ac:dyDescent="0.75">
      <c r="A97">
        <f t="shared" si="7"/>
        <v>34.54999999999999</v>
      </c>
      <c r="B97">
        <f t="shared" si="9"/>
        <v>4.5499999999999918</v>
      </c>
      <c r="C97">
        <f t="shared" si="5"/>
        <v>3.7322859423773028E-4</v>
      </c>
      <c r="D97">
        <f t="shared" si="8"/>
        <v>0.04</v>
      </c>
      <c r="E97">
        <f t="shared" si="6"/>
        <v>25413.076459817948</v>
      </c>
    </row>
    <row r="98" spans="1:5" x14ac:dyDescent="0.75">
      <c r="A98">
        <f t="shared" si="7"/>
        <v>34.599999999999994</v>
      </c>
      <c r="B98">
        <f t="shared" si="9"/>
        <v>4.5999999999999917</v>
      </c>
      <c r="C98">
        <f t="shared" si="5"/>
        <v>3.7412678977765356E-4</v>
      </c>
      <c r="D98">
        <f t="shared" si="8"/>
        <v>0.04</v>
      </c>
      <c r="E98">
        <f t="shared" si="6"/>
        <v>25587.510714106513</v>
      </c>
    </row>
    <row r="99" spans="1:5" x14ac:dyDescent="0.75">
      <c r="A99">
        <f t="shared" si="7"/>
        <v>34.649999999999991</v>
      </c>
      <c r="B99">
        <f t="shared" si="9"/>
        <v>4.6499999999999915</v>
      </c>
      <c r="C99">
        <f t="shared" si="5"/>
        <v>3.7503025036116707E-4</v>
      </c>
      <c r="D99">
        <f t="shared" si="8"/>
        <v>0.04</v>
      </c>
      <c r="E99">
        <f t="shared" si="6"/>
        <v>25762.293750247933</v>
      </c>
    </row>
    <row r="100" spans="1:5" x14ac:dyDescent="0.75">
      <c r="A100">
        <f t="shared" si="7"/>
        <v>34.699999999999989</v>
      </c>
      <c r="B100">
        <f t="shared" si="9"/>
        <v>4.6999999999999913</v>
      </c>
      <c r="C100">
        <f t="shared" si="5"/>
        <v>3.7593900685090905E-4</v>
      </c>
      <c r="D100">
        <f t="shared" si="8"/>
        <v>0.04</v>
      </c>
      <c r="E100">
        <f t="shared" si="6"/>
        <v>25937.426268470375</v>
      </c>
    </row>
    <row r="101" spans="1:5" x14ac:dyDescent="0.75">
      <c r="A101">
        <f t="shared" si="7"/>
        <v>34.749999999999993</v>
      </c>
      <c r="B101">
        <f t="shared" si="9"/>
        <v>4.7499999999999911</v>
      </c>
      <c r="C101">
        <f t="shared" si="5"/>
        <v>3.7685309029042858E-4</v>
      </c>
      <c r="D101">
        <f t="shared" si="8"/>
        <v>0.04</v>
      </c>
      <c r="E101">
        <f t="shared" si="6"/>
        <v>26112.908970486642</v>
      </c>
    </row>
    <row r="102" spans="1:5" x14ac:dyDescent="0.75">
      <c r="A102">
        <f t="shared" si="7"/>
        <v>34.79999999999999</v>
      </c>
      <c r="B102">
        <f t="shared" si="9"/>
        <v>4.7999999999999909</v>
      </c>
      <c r="C102">
        <f t="shared" si="5"/>
        <v>3.7777253190524534E-4</v>
      </c>
      <c r="D102">
        <f t="shared" si="8"/>
        <v>0.04</v>
      </c>
      <c r="E102">
        <f t="shared" si="6"/>
        <v>26288.742559498263</v>
      </c>
    </row>
    <row r="103" spans="1:5" x14ac:dyDescent="0.75">
      <c r="A103">
        <f t="shared" si="7"/>
        <v>34.849999999999994</v>
      </c>
      <c r="B103">
        <f t="shared" si="9"/>
        <v>4.8499999999999908</v>
      </c>
      <c r="C103">
        <f t="shared" si="5"/>
        <v>3.7869736310391737E-4</v>
      </c>
      <c r="D103">
        <f t="shared" si="8"/>
        <v>0.04</v>
      </c>
      <c r="E103">
        <f t="shared" si="6"/>
        <v>26464.927740199601</v>
      </c>
    </row>
    <row r="104" spans="1:5" x14ac:dyDescent="0.75">
      <c r="A104">
        <f t="shared" si="7"/>
        <v>34.899999999999991</v>
      </c>
      <c r="B104">
        <f t="shared" si="9"/>
        <v>4.8999999999999906</v>
      </c>
      <c r="C104">
        <f t="shared" si="5"/>
        <v>3.7962761547911288E-4</v>
      </c>
      <c r="D104">
        <f t="shared" si="8"/>
        <v>0.04</v>
      </c>
      <c r="E104">
        <f t="shared" si="6"/>
        <v>26641.465218781977</v>
      </c>
    </row>
    <row r="105" spans="1:5" x14ac:dyDescent="0.75">
      <c r="A105">
        <f t="shared" si="7"/>
        <v>34.949999999999989</v>
      </c>
      <c r="B105">
        <f t="shared" si="9"/>
        <v>4.9499999999999904</v>
      </c>
      <c r="C105">
        <f t="shared" si="5"/>
        <v>3.8056332080869048E-4</v>
      </c>
      <c r="D105">
        <f t="shared" si="8"/>
        <v>0.04</v>
      </c>
      <c r="E105">
        <f t="shared" si="6"/>
        <v>26818.355702937843</v>
      </c>
    </row>
    <row r="106" spans="1:5" x14ac:dyDescent="0.75">
      <c r="A106">
        <f t="shared" si="7"/>
        <v>34.999999999999993</v>
      </c>
      <c r="B106">
        <f t="shared" si="9"/>
        <v>4.9999999999999902</v>
      </c>
      <c r="C106">
        <f t="shared" si="5"/>
        <v>3.8150451105678409E-4</v>
      </c>
      <c r="D106">
        <f t="shared" si="8"/>
        <v>0.04</v>
      </c>
      <c r="E106">
        <f t="shared" si="6"/>
        <v>26995.59990186492</v>
      </c>
    </row>
    <row r="107" spans="1:5" x14ac:dyDescent="0.75">
      <c r="A107">
        <f t="shared" si="7"/>
        <v>35.04999999999999</v>
      </c>
      <c r="B107">
        <f t="shared" si="9"/>
        <v>5.0499999999999901</v>
      </c>
      <c r="C107">
        <f t="shared" si="5"/>
        <v>3.824512183748949E-4</v>
      </c>
      <c r="D107">
        <f t="shared" si="8"/>
        <v>0.04</v>
      </c>
      <c r="E107">
        <f t="shared" si="6"/>
        <v>27173.198526270429</v>
      </c>
    </row>
    <row r="108" spans="1:5" x14ac:dyDescent="0.75">
      <c r="A108">
        <f t="shared" si="7"/>
        <v>35.099999999999987</v>
      </c>
      <c r="B108">
        <f t="shared" si="9"/>
        <v>5.0999999999999899</v>
      </c>
      <c r="C108">
        <f t="shared" si="5"/>
        <v>3.8340347510298998E-4</v>
      </c>
      <c r="D108">
        <f t="shared" si="8"/>
        <v>0.04</v>
      </c>
      <c r="E108">
        <f t="shared" si="6"/>
        <v>27351.152288375273</v>
      </c>
    </row>
    <row r="109" spans="1:5" x14ac:dyDescent="0.75">
      <c r="A109">
        <f t="shared" si="7"/>
        <v>35.149999999999991</v>
      </c>
      <c r="B109">
        <f t="shared" si="9"/>
        <v>5.1499999999999897</v>
      </c>
      <c r="C109">
        <f t="shared" si="5"/>
        <v>3.8436131377060678E-4</v>
      </c>
      <c r="D109">
        <f t="shared" si="8"/>
        <v>0.04</v>
      </c>
      <c r="E109">
        <f t="shared" si="6"/>
        <v>27529.461901918279</v>
      </c>
    </row>
    <row r="110" spans="1:5" x14ac:dyDescent="0.75">
      <c r="A110">
        <f t="shared" si="7"/>
        <v>35.199999999999989</v>
      </c>
      <c r="B110">
        <f t="shared" si="9"/>
        <v>5.1999999999999895</v>
      </c>
      <c r="C110">
        <f t="shared" si="5"/>
        <v>3.8532476709796445E-4</v>
      </c>
      <c r="D110">
        <f t="shared" si="8"/>
        <v>0.04</v>
      </c>
      <c r="E110">
        <f t="shared" si="6"/>
        <v>27708.128082160463</v>
      </c>
    </row>
    <row r="111" spans="1:5" x14ac:dyDescent="0.75">
      <c r="A111">
        <f t="shared" si="7"/>
        <v>35.249999999999986</v>
      </c>
      <c r="B111">
        <f t="shared" si="9"/>
        <v>5.2499999999999893</v>
      </c>
      <c r="C111">
        <f t="shared" si="5"/>
        <v>3.8629386799708161E-4</v>
      </c>
      <c r="D111">
        <f t="shared" si="8"/>
        <v>0.04</v>
      </c>
      <c r="E111">
        <f t="shared" si="6"/>
        <v>27887.151545889294</v>
      </c>
    </row>
    <row r="112" spans="1:5" x14ac:dyDescent="0.75">
      <c r="A112">
        <f t="shared" si="7"/>
        <v>35.29999999999999</v>
      </c>
      <c r="B112">
        <f t="shared" si="9"/>
        <v>5.2999999999999892</v>
      </c>
      <c r="C112">
        <f t="shared" ref="C112:C175" si="10">0.00022  + 0.0000027*1.124^A112</f>
        <v>3.8726864957290064E-4</v>
      </c>
      <c r="D112">
        <f t="shared" si="8"/>
        <v>0.04</v>
      </c>
      <c r="E112">
        <f t="shared" si="6"/>
        <v>28066.533011422987</v>
      </c>
    </row>
    <row r="113" spans="1:5" x14ac:dyDescent="0.75">
      <c r="A113">
        <f t="shared" si="7"/>
        <v>35.349999999999987</v>
      </c>
      <c r="B113">
        <f t="shared" si="9"/>
        <v>5.349999999999989</v>
      </c>
      <c r="C113">
        <f t="shared" si="10"/>
        <v>3.8824914512441803E-4</v>
      </c>
      <c r="D113">
        <f t="shared" si="8"/>
        <v>0.04</v>
      </c>
      <c r="E113">
        <f t="shared" si="6"/>
        <v>28246.273198614843</v>
      </c>
    </row>
    <row r="114" spans="1:5" x14ac:dyDescent="0.75">
      <c r="A114">
        <f t="shared" si="7"/>
        <v>35.399999999999991</v>
      </c>
      <c r="B114">
        <f t="shared" si="9"/>
        <v>5.3999999999999888</v>
      </c>
      <c r="C114">
        <f t="shared" si="10"/>
        <v>3.8923538814582314E-4</v>
      </c>
      <c r="D114">
        <f t="shared" si="8"/>
        <v>0.04</v>
      </c>
      <c r="E114">
        <f t="shared" si="6"/>
        <v>28426.372828857562</v>
      </c>
    </row>
    <row r="115" spans="1:5" x14ac:dyDescent="0.75">
      <c r="A115">
        <f t="shared" si="7"/>
        <v>35.449999999999989</v>
      </c>
      <c r="B115">
        <f t="shared" si="9"/>
        <v>5.4499999999999886</v>
      </c>
      <c r="C115">
        <f t="shared" si="10"/>
        <v>3.9022741232764082E-4</v>
      </c>
      <c r="D115">
        <f t="shared" si="8"/>
        <v>0.04</v>
      </c>
      <c r="E115">
        <f t="shared" si="6"/>
        <v>28606.832625087631</v>
      </c>
    </row>
    <row r="116" spans="1:5" x14ac:dyDescent="0.75">
      <c r="A116">
        <f t="shared" si="7"/>
        <v>35.499999999999986</v>
      </c>
      <c r="B116">
        <f t="shared" si="9"/>
        <v>5.4999999999999885</v>
      </c>
      <c r="C116">
        <f t="shared" si="10"/>
        <v>3.9122525155788361E-4</v>
      </c>
      <c r="D116">
        <f t="shared" si="8"/>
        <v>0.04</v>
      </c>
      <c r="E116">
        <f t="shared" si="6"/>
        <v>28787.653311789672</v>
      </c>
    </row>
    <row r="117" spans="1:5" x14ac:dyDescent="0.75">
      <c r="A117">
        <f t="shared" si="7"/>
        <v>35.54999999999999</v>
      </c>
      <c r="B117">
        <f t="shared" si="9"/>
        <v>5.5499999999999883</v>
      </c>
      <c r="C117">
        <f t="shared" si="10"/>
        <v>3.9222893992320882E-4</v>
      </c>
      <c r="D117">
        <f t="shared" si="8"/>
        <v>0.04</v>
      </c>
      <c r="E117">
        <f t="shared" si="6"/>
        <v>28968.835615000899</v>
      </c>
    </row>
    <row r="118" spans="1:5" x14ac:dyDescent="0.75">
      <c r="A118">
        <f t="shared" si="7"/>
        <v>35.599999999999987</v>
      </c>
      <c r="B118">
        <f t="shared" si="9"/>
        <v>5.5999999999999881</v>
      </c>
      <c r="C118">
        <f t="shared" si="10"/>
        <v>3.9323851171008258E-4</v>
      </c>
      <c r="D118">
        <f t="shared" si="8"/>
        <v>0.04</v>
      </c>
      <c r="E118">
        <f t="shared" si="6"/>
        <v>29150.380262315488</v>
      </c>
    </row>
    <row r="119" spans="1:5" x14ac:dyDescent="0.75">
      <c r="A119">
        <f t="shared" si="7"/>
        <v>35.649999999999991</v>
      </c>
      <c r="B119">
        <f t="shared" si="9"/>
        <v>5.6499999999999879</v>
      </c>
      <c r="C119">
        <f t="shared" si="10"/>
        <v>3.9425400140595177E-4</v>
      </c>
      <c r="D119">
        <f t="shared" si="8"/>
        <v>0.04</v>
      </c>
      <c r="E119">
        <f t="shared" si="6"/>
        <v>29332.287982889073</v>
      </c>
    </row>
    <row r="120" spans="1:5" x14ac:dyDescent="0.75">
      <c r="A120">
        <f t="shared" si="7"/>
        <v>35.699999999999989</v>
      </c>
      <c r="B120">
        <f t="shared" si="9"/>
        <v>5.6999999999999877</v>
      </c>
      <c r="C120">
        <f t="shared" si="10"/>
        <v>3.9527544370042178E-4</v>
      </c>
      <c r="D120">
        <f t="shared" si="8"/>
        <v>0.04</v>
      </c>
      <c r="E120">
        <f t="shared" si="6"/>
        <v>29514.559507443202</v>
      </c>
    </row>
    <row r="121" spans="1:5" x14ac:dyDescent="0.75">
      <c r="A121">
        <f t="shared" si="7"/>
        <v>35.749999999999986</v>
      </c>
      <c r="B121">
        <f t="shared" si="9"/>
        <v>5.7499999999999876</v>
      </c>
      <c r="C121">
        <f t="shared" si="10"/>
        <v>3.9630287348644161E-4</v>
      </c>
      <c r="D121">
        <f t="shared" si="8"/>
        <v>0.04</v>
      </c>
      <c r="E121">
        <f t="shared" si="6"/>
        <v>29697.195568269832</v>
      </c>
    </row>
    <row r="122" spans="1:5" x14ac:dyDescent="0.75">
      <c r="A122">
        <f t="shared" si="7"/>
        <v>35.79999999999999</v>
      </c>
      <c r="B122">
        <f t="shared" si="9"/>
        <v>5.7999999999999874</v>
      </c>
      <c r="C122">
        <f t="shared" si="10"/>
        <v>3.9733632586149575E-4</v>
      </c>
      <c r="D122">
        <f t="shared" si="8"/>
        <v>0.04</v>
      </c>
      <c r="E122">
        <f t="shared" si="6"/>
        <v>29880.196899235849</v>
      </c>
    </row>
    <row r="123" spans="1:5" x14ac:dyDescent="0.75">
      <c r="A123">
        <f t="shared" si="7"/>
        <v>35.849999999999987</v>
      </c>
      <c r="B123">
        <f t="shared" si="9"/>
        <v>5.8499999999999872</v>
      </c>
      <c r="C123">
        <f t="shared" si="10"/>
        <v>3.9837583612880299E-4</v>
      </c>
      <c r="D123">
        <f t="shared" si="8"/>
        <v>0.04</v>
      </c>
      <c r="E123">
        <f t="shared" si="6"/>
        <v>30063.564235787613</v>
      </c>
    </row>
    <row r="124" spans="1:5" x14ac:dyDescent="0.75">
      <c r="A124">
        <f t="shared" si="7"/>
        <v>35.899999999999984</v>
      </c>
      <c r="B124">
        <f t="shared" si="9"/>
        <v>5.899999999999987</v>
      </c>
      <c r="C124">
        <f t="shared" si="10"/>
        <v>3.9942143979852275E-4</v>
      </c>
      <c r="D124">
        <f t="shared" si="8"/>
        <v>0.04</v>
      </c>
      <c r="E124">
        <f t="shared" si="6"/>
        <v>30247.298314955515</v>
      </c>
    </row>
    <row r="125" spans="1:5" x14ac:dyDescent="0.75">
      <c r="A125">
        <f t="shared" si="7"/>
        <v>35.949999999999989</v>
      </c>
      <c r="B125">
        <f t="shared" si="9"/>
        <v>5.9499999999999869</v>
      </c>
      <c r="C125">
        <f t="shared" si="10"/>
        <v>4.0047317258896811E-4</v>
      </c>
      <c r="D125">
        <f t="shared" si="8"/>
        <v>0.04</v>
      </c>
      <c r="E125">
        <f t="shared" si="6"/>
        <v>30431.39987535858</v>
      </c>
    </row>
    <row r="126" spans="1:5" x14ac:dyDescent="0.75">
      <c r="A126">
        <f t="shared" si="7"/>
        <v>35.999999999999986</v>
      </c>
      <c r="B126">
        <f t="shared" si="9"/>
        <v>5.9999999999999867</v>
      </c>
      <c r="C126">
        <f t="shared" si="10"/>
        <v>4.0153107042782525E-4</v>
      </c>
      <c r="D126">
        <f t="shared" si="8"/>
        <v>0.04</v>
      </c>
      <c r="E126">
        <f t="shared" si="6"/>
        <v>30615.869657209074</v>
      </c>
    </row>
    <row r="127" spans="1:5" x14ac:dyDescent="0.75">
      <c r="A127">
        <f t="shared" si="7"/>
        <v>36.049999999999983</v>
      </c>
      <c r="B127">
        <f t="shared" si="9"/>
        <v>6.0499999999999865</v>
      </c>
      <c r="C127">
        <f t="shared" si="10"/>
        <v>4.0259516945338172E-4</v>
      </c>
      <c r="D127">
        <f t="shared" si="8"/>
        <v>0.04</v>
      </c>
      <c r="E127">
        <f t="shared" si="6"/>
        <v>30800.70840231713</v>
      </c>
    </row>
    <row r="128" spans="1:5" x14ac:dyDescent="0.75">
      <c r="A128">
        <f t="shared" si="7"/>
        <v>36.099999999999987</v>
      </c>
      <c r="B128">
        <f t="shared" si="9"/>
        <v>6.0999999999999863</v>
      </c>
      <c r="C128">
        <f t="shared" si="10"/>
        <v>4.0366550601576075E-4</v>
      </c>
      <c r="D128">
        <f t="shared" si="8"/>
        <v>0.04</v>
      </c>
      <c r="E128">
        <f t="shared" si="6"/>
        <v>30985.916854095423</v>
      </c>
    </row>
    <row r="129" spans="1:5" x14ac:dyDescent="0.75">
      <c r="A129">
        <f t="shared" si="7"/>
        <v>36.149999999999984</v>
      </c>
      <c r="B129">
        <f t="shared" si="9"/>
        <v>6.1499999999999861</v>
      </c>
      <c r="C129">
        <f t="shared" si="10"/>
        <v>4.0474211667816207E-4</v>
      </c>
      <c r="D129">
        <f t="shared" si="8"/>
        <v>0.04</v>
      </c>
      <c r="E129">
        <f t="shared" si="6"/>
        <v>31171.495757563847</v>
      </c>
    </row>
    <row r="130" spans="1:5" x14ac:dyDescent="0.75">
      <c r="A130">
        <f t="shared" si="7"/>
        <v>36.199999999999989</v>
      </c>
      <c r="B130">
        <f t="shared" si="9"/>
        <v>6.199999999999986</v>
      </c>
      <c r="C130">
        <f t="shared" si="10"/>
        <v>4.0582503821811206E-4</v>
      </c>
      <c r="D130">
        <f t="shared" si="8"/>
        <v>0.04</v>
      </c>
      <c r="E130">
        <f t="shared" si="6"/>
        <v>31357.445859354233</v>
      </c>
    </row>
    <row r="131" spans="1:5" x14ac:dyDescent="0.75">
      <c r="A131">
        <f t="shared" si="7"/>
        <v>36.249999999999986</v>
      </c>
      <c r="B131">
        <f t="shared" si="9"/>
        <v>6.2499999999999858</v>
      </c>
      <c r="C131">
        <f t="shared" si="10"/>
        <v>4.0691430762871978E-4</v>
      </c>
      <c r="D131">
        <f t="shared" si="8"/>
        <v>0.04</v>
      </c>
      <c r="E131">
        <f t="shared" si="6"/>
        <v>31543.767907715068</v>
      </c>
    </row>
    <row r="132" spans="1:5" x14ac:dyDescent="0.75">
      <c r="A132">
        <f t="shared" si="7"/>
        <v>36.299999999999983</v>
      </c>
      <c r="B132">
        <f t="shared" si="9"/>
        <v>6.2999999999999856</v>
      </c>
      <c r="C132">
        <f t="shared" si="10"/>
        <v>4.0800996211994012E-4</v>
      </c>
      <c r="D132">
        <f t="shared" si="8"/>
        <v>0.04</v>
      </c>
      <c r="E132">
        <f t="shared" si="6"/>
        <v>31730.46265251626</v>
      </c>
    </row>
    <row r="133" spans="1:5" x14ac:dyDescent="0.75">
      <c r="A133">
        <f t="shared" si="7"/>
        <v>36.349999999999987</v>
      </c>
      <c r="B133">
        <f t="shared" si="9"/>
        <v>6.3499999999999854</v>
      </c>
      <c r="C133">
        <f t="shared" si="10"/>
        <v>4.0911203911984592E-4</v>
      </c>
      <c r="D133">
        <f t="shared" si="8"/>
        <v>0.04</v>
      </c>
      <c r="E133">
        <f t="shared" si="6"/>
        <v>31917.530845253936</v>
      </c>
    </row>
    <row r="134" spans="1:5" x14ac:dyDescent="0.75">
      <c r="A134">
        <f t="shared" si="7"/>
        <v>36.399999999999984</v>
      </c>
      <c r="B134">
        <f t="shared" si="9"/>
        <v>6.3999999999999853</v>
      </c>
      <c r="C134">
        <f t="shared" si="10"/>
        <v>4.1022057627590502E-4</v>
      </c>
      <c r="D134">
        <f t="shared" si="8"/>
        <v>0.04</v>
      </c>
      <c r="E134">
        <f t="shared" ref="E134:E197" si="11">(E135 -$D$2*$B$2+$D$2*C134*$C$2)/(1+$D$2*D134+$D$2*C134)</f>
        <v>32104.973239055238</v>
      </c>
    </row>
    <row r="135" spans="1:5" x14ac:dyDescent="0.75">
      <c r="A135">
        <f t="shared" ref="A135:A198" si="12">$A$2+B135</f>
        <v>36.449999999999989</v>
      </c>
      <c r="B135">
        <f t="shared" si="9"/>
        <v>6.4499999999999851</v>
      </c>
      <c r="C135">
        <f t="shared" si="10"/>
        <v>4.113356114562683E-4</v>
      </c>
      <c r="D135">
        <f t="shared" ref="D135:D198" si="13">0.04</f>
        <v>0.04</v>
      </c>
      <c r="E135">
        <f t="shared" si="11"/>
        <v>32292.790588683143</v>
      </c>
    </row>
    <row r="136" spans="1:5" x14ac:dyDescent="0.75">
      <c r="A136">
        <f t="shared" si="12"/>
        <v>36.499999999999986</v>
      </c>
      <c r="B136">
        <f t="shared" si="9"/>
        <v>6.4999999999999849</v>
      </c>
      <c r="C136">
        <f t="shared" si="10"/>
        <v>4.1245718275106116E-4</v>
      </c>
      <c r="D136">
        <f t="shared" si="13"/>
        <v>0.04</v>
      </c>
      <c r="E136">
        <f t="shared" si="11"/>
        <v>32480.983650541351</v>
      </c>
    </row>
    <row r="137" spans="1:5" x14ac:dyDescent="0.75">
      <c r="A137">
        <f t="shared" si="12"/>
        <v>36.549999999999983</v>
      </c>
      <c r="B137">
        <f t="shared" ref="B137:B150" si="14">B136+$D$2</f>
        <v>6.5499999999999847</v>
      </c>
      <c r="C137">
        <f t="shared" si="10"/>
        <v>4.1358532847368657E-4</v>
      </c>
      <c r="D137">
        <f t="shared" si="13"/>
        <v>0.04</v>
      </c>
      <c r="E137">
        <f t="shared" si="11"/>
        <v>32669.553182679152</v>
      </c>
    </row>
    <row r="138" spans="1:5" x14ac:dyDescent="0.75">
      <c r="A138">
        <f t="shared" si="12"/>
        <v>36.599999999999987</v>
      </c>
      <c r="B138">
        <f t="shared" si="14"/>
        <v>6.5999999999999845</v>
      </c>
      <c r="C138">
        <f t="shared" si="10"/>
        <v>4.147200871621328E-4</v>
      </c>
      <c r="D138">
        <f t="shared" si="13"/>
        <v>0.04</v>
      </c>
      <c r="E138">
        <f t="shared" si="11"/>
        <v>32858.499944796349</v>
      </c>
    </row>
    <row r="139" spans="1:5" x14ac:dyDescent="0.75">
      <c r="A139">
        <f t="shared" si="12"/>
        <v>36.649999999999984</v>
      </c>
      <c r="B139">
        <f t="shared" si="14"/>
        <v>6.6499999999999844</v>
      </c>
      <c r="C139">
        <f t="shared" si="10"/>
        <v>4.1586149758028981E-4</v>
      </c>
      <c r="D139">
        <f t="shared" si="13"/>
        <v>0.04</v>
      </c>
      <c r="E139">
        <f t="shared" si="11"/>
        <v>33047.824698248187</v>
      </c>
    </row>
    <row r="140" spans="1:5" x14ac:dyDescent="0.75">
      <c r="A140">
        <f t="shared" si="12"/>
        <v>36.699999999999982</v>
      </c>
      <c r="B140">
        <f t="shared" si="14"/>
        <v>6.6999999999999842</v>
      </c>
      <c r="C140">
        <f t="shared" si="10"/>
        <v>4.170095987192739E-4</v>
      </c>
      <c r="D140">
        <f t="shared" si="13"/>
        <v>0.04</v>
      </c>
      <c r="E140">
        <f t="shared" si="11"/>
        <v>33237.528206050316</v>
      </c>
    </row>
    <row r="141" spans="1:5" x14ac:dyDescent="0.75">
      <c r="A141">
        <f t="shared" si="12"/>
        <v>36.749999999999986</v>
      </c>
      <c r="B141">
        <f t="shared" si="14"/>
        <v>6.749999999999984</v>
      </c>
      <c r="C141">
        <f t="shared" si="10"/>
        <v>4.1816442979876033E-4</v>
      </c>
      <c r="D141">
        <f t="shared" si="13"/>
        <v>0.04</v>
      </c>
      <c r="E141">
        <f t="shared" si="11"/>
        <v>33427.611232883799</v>
      </c>
    </row>
    <row r="142" spans="1:5" x14ac:dyDescent="0.75">
      <c r="A142">
        <f t="shared" si="12"/>
        <v>36.799999999999983</v>
      </c>
      <c r="B142">
        <f t="shared" si="14"/>
        <v>6.7999999999999838</v>
      </c>
      <c r="C142">
        <f t="shared" si="10"/>
        <v>4.1932603026832108E-4</v>
      </c>
      <c r="D142">
        <f t="shared" si="13"/>
        <v>0.04</v>
      </c>
      <c r="E142">
        <f t="shared" si="11"/>
        <v>33618.074545100106</v>
      </c>
    </row>
    <row r="143" spans="1:5" x14ac:dyDescent="0.75">
      <c r="A143">
        <f t="shared" si="12"/>
        <v>36.84999999999998</v>
      </c>
      <c r="B143">
        <f t="shared" si="14"/>
        <v>6.8499999999999837</v>
      </c>
      <c r="C143">
        <f t="shared" si="10"/>
        <v>4.204944398087744E-4</v>
      </c>
      <c r="D143">
        <f t="shared" si="13"/>
        <v>0.04</v>
      </c>
      <c r="E143">
        <f t="shared" si="11"/>
        <v>33808.918910726177</v>
      </c>
    </row>
    <row r="144" spans="1:5" x14ac:dyDescent="0.75">
      <c r="A144">
        <f t="shared" si="12"/>
        <v>36.899999999999984</v>
      </c>
      <c r="B144">
        <f t="shared" si="14"/>
        <v>6.8999999999999835</v>
      </c>
      <c r="C144">
        <f t="shared" si="10"/>
        <v>4.216696983335396E-4</v>
      </c>
      <c r="D144">
        <f t="shared" si="13"/>
        <v>0.04</v>
      </c>
      <c r="E144">
        <f t="shared" si="11"/>
        <v>34000.145099469482</v>
      </c>
    </row>
    <row r="145" spans="1:5" x14ac:dyDescent="0.75">
      <c r="A145">
        <f t="shared" si="12"/>
        <v>36.949999999999982</v>
      </c>
      <c r="B145">
        <f t="shared" si="14"/>
        <v>6.9499999999999833</v>
      </c>
      <c r="C145">
        <f t="shared" si="10"/>
        <v>4.2285184598999997E-4</v>
      </c>
      <c r="D145">
        <f t="shared" si="13"/>
        <v>0.04</v>
      </c>
      <c r="E145">
        <f t="shared" si="11"/>
        <v>34191.753882723118</v>
      </c>
    </row>
    <row r="146" spans="1:5" x14ac:dyDescent="0.75">
      <c r="A146">
        <f t="shared" si="12"/>
        <v>36.999999999999986</v>
      </c>
      <c r="B146">
        <f t="shared" si="14"/>
        <v>6.9999999999999831</v>
      </c>
      <c r="C146">
        <f t="shared" si="10"/>
        <v>4.2404092316087553E-4</v>
      </c>
      <c r="D146">
        <f t="shared" si="13"/>
        <v>0.04</v>
      </c>
      <c r="E146">
        <f t="shared" si="11"/>
        <v>34383.746033570962</v>
      </c>
    </row>
    <row r="147" spans="1:5" x14ac:dyDescent="0.75">
      <c r="A147">
        <f t="shared" si="12"/>
        <v>37.049999999999983</v>
      </c>
      <c r="B147">
        <f t="shared" si="14"/>
        <v>7.0499999999999829</v>
      </c>
      <c r="C147">
        <f t="shared" si="10"/>
        <v>4.2523697046560106E-4</v>
      </c>
      <c r="D147">
        <f t="shared" si="13"/>
        <v>0.04</v>
      </c>
      <c r="E147">
        <f t="shared" si="11"/>
        <v>34576.122326792785</v>
      </c>
    </row>
    <row r="148" spans="1:5" x14ac:dyDescent="0.75">
      <c r="A148">
        <f t="shared" si="12"/>
        <v>37.09999999999998</v>
      </c>
      <c r="B148">
        <f t="shared" si="14"/>
        <v>7.0999999999999828</v>
      </c>
      <c r="C148">
        <f t="shared" si="10"/>
        <v>4.2644002876171484E-4</v>
      </c>
      <c r="D148">
        <f t="shared" si="13"/>
        <v>0.04</v>
      </c>
      <c r="E148">
        <f t="shared" si="11"/>
        <v>34768.883538869479</v>
      </c>
    </row>
    <row r="149" spans="1:5" x14ac:dyDescent="0.75">
      <c r="A149">
        <f t="shared" si="12"/>
        <v>37.149999999999984</v>
      </c>
      <c r="B149">
        <f t="shared" si="14"/>
        <v>7.1499999999999826</v>
      </c>
      <c r="C149">
        <f t="shared" si="10"/>
        <v>4.276501391462541E-4</v>
      </c>
      <c r="D149">
        <f t="shared" si="13"/>
        <v>0.04</v>
      </c>
      <c r="E149">
        <f t="shared" si="11"/>
        <v>34962.030447988225</v>
      </c>
    </row>
    <row r="150" spans="1:5" x14ac:dyDescent="0.75">
      <c r="A150">
        <f t="shared" si="12"/>
        <v>37.199999999999982</v>
      </c>
      <c r="B150">
        <f t="shared" si="14"/>
        <v>7.1999999999999824</v>
      </c>
      <c r="C150">
        <f t="shared" si="10"/>
        <v>4.2886734295715799E-4</v>
      </c>
      <c r="D150">
        <f t="shared" si="13"/>
        <v>0.04</v>
      </c>
      <c r="E150">
        <f t="shared" si="11"/>
        <v>35155.563834047767</v>
      </c>
    </row>
    <row r="151" spans="1:5" x14ac:dyDescent="0.75">
      <c r="A151">
        <f t="shared" si="12"/>
        <v>37.249999999999986</v>
      </c>
      <c r="B151">
        <f>B150+$D$2</f>
        <v>7.2499999999999822</v>
      </c>
      <c r="C151">
        <f t="shared" si="10"/>
        <v>4.3009168177468105E-4</v>
      </c>
      <c r="D151">
        <f t="shared" si="13"/>
        <v>0.04</v>
      </c>
      <c r="E151">
        <f t="shared" si="11"/>
        <v>35349.48447866366</v>
      </c>
    </row>
    <row r="152" spans="1:5" x14ac:dyDescent="0.75">
      <c r="A152">
        <f t="shared" si="12"/>
        <v>37.299999999999983</v>
      </c>
      <c r="B152">
        <f t="shared" ref="B152:B169" si="15">B151+$D$2</f>
        <v>7.2999999999999821</v>
      </c>
      <c r="C152">
        <f t="shared" si="10"/>
        <v>4.3132319742281275E-4</v>
      </c>
      <c r="D152">
        <f t="shared" si="13"/>
        <v>0.04</v>
      </c>
      <c r="E152">
        <f t="shared" si="11"/>
        <v>35543.793165173578</v>
      </c>
    </row>
    <row r="153" spans="1:5" x14ac:dyDescent="0.75">
      <c r="A153">
        <f t="shared" si="12"/>
        <v>37.34999999999998</v>
      </c>
      <c r="B153">
        <f t="shared" si="15"/>
        <v>7.3499999999999819</v>
      </c>
      <c r="C153">
        <f t="shared" si="10"/>
        <v>4.3256193197070659E-4</v>
      </c>
      <c r="D153">
        <f t="shared" si="13"/>
        <v>0.04</v>
      </c>
      <c r="E153">
        <f t="shared" si="11"/>
        <v>35738.490678642636</v>
      </c>
    </row>
    <row r="154" spans="1:5" x14ac:dyDescent="0.75">
      <c r="A154">
        <f t="shared" si="12"/>
        <v>37.399999999999984</v>
      </c>
      <c r="B154">
        <f t="shared" si="15"/>
        <v>7.3999999999999817</v>
      </c>
      <c r="C154">
        <f t="shared" si="10"/>
        <v>4.3380792773411731E-4</v>
      </c>
      <c r="D154">
        <f t="shared" si="13"/>
        <v>0.04</v>
      </c>
      <c r="E154">
        <f t="shared" si="11"/>
        <v>35933.577805868757</v>
      </c>
    </row>
    <row r="155" spans="1:5" x14ac:dyDescent="0.75">
      <c r="A155">
        <f t="shared" si="12"/>
        <v>37.449999999999982</v>
      </c>
      <c r="B155">
        <f t="shared" si="15"/>
        <v>7.4499999999999815</v>
      </c>
      <c r="C155">
        <f t="shared" si="10"/>
        <v>4.3506122727684539E-4</v>
      </c>
      <c r="D155">
        <f t="shared" si="13"/>
        <v>0.04</v>
      </c>
      <c r="E155">
        <f t="shared" si="11"/>
        <v>36129.055335388031</v>
      </c>
    </row>
    <row r="156" spans="1:5" x14ac:dyDescent="0.75">
      <c r="A156">
        <f t="shared" si="12"/>
        <v>37.499999999999979</v>
      </c>
      <c r="B156">
        <f t="shared" si="15"/>
        <v>7.4999999999999813</v>
      </c>
      <c r="C156">
        <f t="shared" si="10"/>
        <v>4.363218734121926E-4</v>
      </c>
      <c r="D156">
        <f t="shared" si="13"/>
        <v>0.04</v>
      </c>
      <c r="E156">
        <f t="shared" si="11"/>
        <v>36324.924057480144</v>
      </c>
    </row>
    <row r="157" spans="1:5" x14ac:dyDescent="0.75">
      <c r="A157">
        <f t="shared" si="12"/>
        <v>37.549999999999983</v>
      </c>
      <c r="B157">
        <f t="shared" si="15"/>
        <v>7.5499999999999812</v>
      </c>
      <c r="C157">
        <f t="shared" si="10"/>
        <v>4.3758990920442372E-4</v>
      </c>
      <c r="D157">
        <f t="shared" si="13"/>
        <v>0.04</v>
      </c>
      <c r="E157">
        <f t="shared" si="11"/>
        <v>36521.184764173857</v>
      </c>
    </row>
    <row r="158" spans="1:5" x14ac:dyDescent="0.75">
      <c r="A158">
        <f t="shared" si="12"/>
        <v>37.59999999999998</v>
      </c>
      <c r="B158">
        <f t="shared" si="15"/>
        <v>7.599999999999981</v>
      </c>
      <c r="C158">
        <f t="shared" si="10"/>
        <v>4.3886537797023712E-4</v>
      </c>
      <c r="D158">
        <f t="shared" si="13"/>
        <v>0.04</v>
      </c>
      <c r="E158">
        <f t="shared" si="11"/>
        <v>36717.838249252432</v>
      </c>
    </row>
    <row r="159" spans="1:5" x14ac:dyDescent="0.75">
      <c r="A159">
        <f t="shared" si="12"/>
        <v>37.649999999999977</v>
      </c>
      <c r="B159">
        <f t="shared" si="15"/>
        <v>7.6499999999999808</v>
      </c>
      <c r="C159">
        <f t="shared" si="10"/>
        <v>4.4014832328024558E-4</v>
      </c>
      <c r="D159">
        <f t="shared" si="13"/>
        <v>0.04</v>
      </c>
      <c r="E159">
        <f t="shared" si="11"/>
        <v>36914.88530825916</v>
      </c>
    </row>
    <row r="160" spans="1:5" x14ac:dyDescent="0.75">
      <c r="A160">
        <f t="shared" si="12"/>
        <v>37.699999999999982</v>
      </c>
      <c r="B160">
        <f t="shared" si="15"/>
        <v>7.6999999999999806</v>
      </c>
      <c r="C160">
        <f t="shared" si="10"/>
        <v>4.4143878896046407E-4</v>
      </c>
      <c r="D160">
        <f t="shared" si="13"/>
        <v>0.04</v>
      </c>
      <c r="E160">
        <f t="shared" si="11"/>
        <v>37112.32673850291</v>
      </c>
    </row>
    <row r="161" spans="1:5" x14ac:dyDescent="0.75">
      <c r="A161">
        <f t="shared" si="12"/>
        <v>37.749999999999979</v>
      </c>
      <c r="B161">
        <f t="shared" si="15"/>
        <v>7.7499999999999805</v>
      </c>
      <c r="C161">
        <f t="shared" si="10"/>
        <v>4.4273681909380645E-4</v>
      </c>
      <c r="D161">
        <f t="shared" si="13"/>
        <v>0.04</v>
      </c>
      <c r="E161">
        <f t="shared" si="11"/>
        <v>37310.163339063663</v>
      </c>
    </row>
    <row r="162" spans="1:5" x14ac:dyDescent="0.75">
      <c r="A162">
        <f t="shared" si="12"/>
        <v>37.799999999999983</v>
      </c>
      <c r="B162">
        <f t="shared" si="15"/>
        <v>7.7999999999999803</v>
      </c>
      <c r="C162">
        <f t="shared" si="10"/>
        <v>4.4404245802159294E-4</v>
      </c>
      <c r="D162">
        <f t="shared" si="13"/>
        <v>0.04</v>
      </c>
      <c r="E162">
        <f t="shared" si="11"/>
        <v>37508.395910798157</v>
      </c>
    </row>
    <row r="163" spans="1:5" x14ac:dyDescent="0.75">
      <c r="A163">
        <f t="shared" si="12"/>
        <v>37.84999999999998</v>
      </c>
      <c r="B163">
        <f t="shared" si="15"/>
        <v>7.8499999999999801</v>
      </c>
      <c r="C163">
        <f t="shared" si="10"/>
        <v>4.4535575034506238E-4</v>
      </c>
      <c r="D163">
        <f t="shared" si="13"/>
        <v>0.04</v>
      </c>
      <c r="E163">
        <f t="shared" si="11"/>
        <v>37707.025256345478</v>
      </c>
    </row>
    <row r="164" spans="1:5" x14ac:dyDescent="0.75">
      <c r="A164">
        <f t="shared" si="12"/>
        <v>37.899999999999977</v>
      </c>
      <c r="B164">
        <f t="shared" si="15"/>
        <v>7.8999999999999799</v>
      </c>
      <c r="C164">
        <f t="shared" si="10"/>
        <v>4.466767409268983E-4</v>
      </c>
      <c r="D164">
        <f t="shared" si="13"/>
        <v>0.04</v>
      </c>
      <c r="E164">
        <f t="shared" si="11"/>
        <v>37906.052180132756</v>
      </c>
    </row>
    <row r="165" spans="1:5" x14ac:dyDescent="0.75">
      <c r="A165">
        <f t="shared" si="12"/>
        <v>37.949999999999982</v>
      </c>
      <c r="B165">
        <f t="shared" si="15"/>
        <v>7.9499999999999797</v>
      </c>
      <c r="C165">
        <f t="shared" si="10"/>
        <v>4.4800547489275995E-4</v>
      </c>
      <c r="D165">
        <f t="shared" si="13"/>
        <v>0.04</v>
      </c>
      <c r="E165">
        <f t="shared" si="11"/>
        <v>38105.477488380857</v>
      </c>
    </row>
    <row r="166" spans="1:5" x14ac:dyDescent="0.75">
      <c r="A166">
        <f t="shared" si="12"/>
        <v>37.999999999999979</v>
      </c>
      <c r="B166">
        <f t="shared" si="15"/>
        <v>7.9999999999999796</v>
      </c>
      <c r="C166">
        <f t="shared" si="10"/>
        <v>4.4934199763282392E-4</v>
      </c>
      <c r="D166">
        <f t="shared" si="13"/>
        <v>0.04</v>
      </c>
      <c r="E166">
        <f t="shared" si="11"/>
        <v>38305.301989110063</v>
      </c>
    </row>
    <row r="167" spans="1:5" x14ac:dyDescent="0.75">
      <c r="A167">
        <f t="shared" si="12"/>
        <v>38.049999999999983</v>
      </c>
      <c r="B167">
        <f t="shared" si="15"/>
        <v>8.0499999999999794</v>
      </c>
      <c r="C167">
        <f t="shared" si="10"/>
        <v>4.5068635480333564E-4</v>
      </c>
      <c r="D167">
        <f t="shared" si="13"/>
        <v>0.04</v>
      </c>
      <c r="E167">
        <f t="shared" si="11"/>
        <v>38505.526492145909</v>
      </c>
    </row>
    <row r="168" spans="1:5" x14ac:dyDescent="0.75">
      <c r="A168">
        <f t="shared" si="12"/>
        <v>38.09999999999998</v>
      </c>
      <c r="B168">
        <f t="shared" si="15"/>
        <v>8.0999999999999801</v>
      </c>
      <c r="C168">
        <f t="shared" si="10"/>
        <v>4.5203859232816751E-4</v>
      </c>
      <c r="D168">
        <f t="shared" si="13"/>
        <v>0.04</v>
      </c>
      <c r="E168">
        <f t="shared" si="11"/>
        <v>38706.151809124916</v>
      </c>
    </row>
    <row r="169" spans="1:5" x14ac:dyDescent="0.75">
      <c r="A169">
        <f t="shared" si="12"/>
        <v>38.149999999999977</v>
      </c>
      <c r="B169">
        <f t="shared" si="15"/>
        <v>8.1499999999999808</v>
      </c>
      <c r="C169">
        <f t="shared" si="10"/>
        <v>4.5339875640038947E-4</v>
      </c>
      <c r="D169">
        <f t="shared" si="13"/>
        <v>0.04</v>
      </c>
      <c r="E169">
        <f t="shared" si="11"/>
        <v>38907.178753500433</v>
      </c>
    </row>
    <row r="170" spans="1:5" x14ac:dyDescent="0.75">
      <c r="A170">
        <f t="shared" si="12"/>
        <v>38.199999999999982</v>
      </c>
      <c r="B170">
        <f>B169+$D$2</f>
        <v>8.1999999999999815</v>
      </c>
      <c r="C170">
        <f t="shared" si="10"/>
        <v>4.5476689348384561E-4</v>
      </c>
      <c r="D170">
        <f t="shared" si="13"/>
        <v>0.04</v>
      </c>
      <c r="E170">
        <f t="shared" si="11"/>
        <v>39108.608140548531</v>
      </c>
    </row>
    <row r="171" spans="1:5" x14ac:dyDescent="0.75">
      <c r="A171">
        <f t="shared" si="12"/>
        <v>38.249999999999986</v>
      </c>
      <c r="B171">
        <f t="shared" ref="B171:B187" si="16">B170+$D$2</f>
        <v>8.2499999999999822</v>
      </c>
      <c r="C171">
        <f t="shared" si="10"/>
        <v>4.5614305031474147E-4</v>
      </c>
      <c r="D171">
        <f t="shared" si="13"/>
        <v>0.04</v>
      </c>
      <c r="E171">
        <f t="shared" si="11"/>
        <v>39310.440787373838</v>
      </c>
    </row>
    <row r="172" spans="1:5" x14ac:dyDescent="0.75">
      <c r="A172">
        <f t="shared" si="12"/>
        <v>38.299999999999983</v>
      </c>
      <c r="B172">
        <f t="shared" si="16"/>
        <v>8.2999999999999829</v>
      </c>
      <c r="C172">
        <f t="shared" si="10"/>
        <v>4.5752727390324156E-4</v>
      </c>
      <c r="D172">
        <f t="shared" si="13"/>
        <v>0.04</v>
      </c>
      <c r="E172">
        <f t="shared" si="11"/>
        <v>39512.677512915507</v>
      </c>
    </row>
    <row r="173" spans="1:5" x14ac:dyDescent="0.75">
      <c r="A173">
        <f t="shared" si="12"/>
        <v>38.34999999999998</v>
      </c>
      <c r="B173">
        <f t="shared" si="16"/>
        <v>8.3499999999999837</v>
      </c>
      <c r="C173">
        <f t="shared" si="10"/>
        <v>4.5891961153507422E-4</v>
      </c>
      <c r="D173">
        <f t="shared" si="13"/>
        <v>0.04</v>
      </c>
      <c r="E173">
        <f t="shared" si="11"/>
        <v>39715.319137953171</v>
      </c>
    </row>
    <row r="174" spans="1:5" x14ac:dyDescent="0.75">
      <c r="A174">
        <f t="shared" si="12"/>
        <v>38.399999999999984</v>
      </c>
      <c r="B174">
        <f t="shared" si="16"/>
        <v>8.3999999999999844</v>
      </c>
      <c r="C174">
        <f t="shared" si="10"/>
        <v>4.6032011077314783E-4</v>
      </c>
      <c r="D174">
        <f t="shared" si="13"/>
        <v>0.04</v>
      </c>
      <c r="E174">
        <f t="shared" si="11"/>
        <v>39918.366485112936</v>
      </c>
    </row>
    <row r="175" spans="1:5" x14ac:dyDescent="0.75">
      <c r="A175">
        <f t="shared" si="12"/>
        <v>38.449999999999989</v>
      </c>
      <c r="B175">
        <f t="shared" si="16"/>
        <v>8.4499999999999851</v>
      </c>
      <c r="C175">
        <f t="shared" si="10"/>
        <v>4.6172881945917446E-4</v>
      </c>
      <c r="D175">
        <f t="shared" si="13"/>
        <v>0.04</v>
      </c>
      <c r="E175">
        <f t="shared" si="11"/>
        <v>40121.82037887341</v>
      </c>
    </row>
    <row r="176" spans="1:5" x14ac:dyDescent="0.75">
      <c r="A176">
        <f t="shared" si="12"/>
        <v>38.499999999999986</v>
      </c>
      <c r="B176">
        <f t="shared" si="16"/>
        <v>8.4999999999999858</v>
      </c>
      <c r="C176">
        <f t="shared" ref="C176:C239" si="17">0.00022  + 0.0000027*1.124^A176</f>
        <v>4.6314578571530465E-4</v>
      </c>
      <c r="D176">
        <f t="shared" si="13"/>
        <v>0.04</v>
      </c>
      <c r="E176">
        <f t="shared" si="11"/>
        <v>40325.681645571764</v>
      </c>
    </row>
    <row r="177" spans="1:5" x14ac:dyDescent="0.75">
      <c r="A177">
        <f t="shared" si="12"/>
        <v>38.549999999999983</v>
      </c>
      <c r="B177">
        <f t="shared" si="16"/>
        <v>8.5499999999999865</v>
      </c>
      <c r="C177">
        <f t="shared" si="17"/>
        <v>4.6457105794577231E-4</v>
      </c>
      <c r="D177">
        <f t="shared" si="13"/>
        <v>0.04</v>
      </c>
      <c r="E177">
        <f t="shared" si="11"/>
        <v>40529.951113409843</v>
      </c>
    </row>
    <row r="178" spans="1:5" x14ac:dyDescent="0.75">
      <c r="A178">
        <f t="shared" si="12"/>
        <v>38.599999999999987</v>
      </c>
      <c r="B178">
        <f t="shared" si="16"/>
        <v>8.5999999999999872</v>
      </c>
      <c r="C178">
        <f t="shared" si="17"/>
        <v>4.6600468483854677E-4</v>
      </c>
      <c r="D178">
        <f t="shared" si="13"/>
        <v>0.04</v>
      </c>
      <c r="E178">
        <f t="shared" si="11"/>
        <v>40734.629612460303</v>
      </c>
    </row>
    <row r="179" spans="1:5" x14ac:dyDescent="0.75">
      <c r="A179">
        <f t="shared" si="12"/>
        <v>38.649999999999991</v>
      </c>
      <c r="B179">
        <f t="shared" si="16"/>
        <v>8.6499999999999879</v>
      </c>
      <c r="C179">
        <f t="shared" si="17"/>
        <v>4.6744671536699638E-4</v>
      </c>
      <c r="D179">
        <f t="shared" si="13"/>
        <v>0.04</v>
      </c>
      <c r="E179">
        <f t="shared" si="11"/>
        <v>40939.717974672763</v>
      </c>
    </row>
    <row r="180" spans="1:5" x14ac:dyDescent="0.75">
      <c r="A180">
        <f t="shared" si="12"/>
        <v>38.699999999999989</v>
      </c>
      <c r="B180">
        <f t="shared" si="16"/>
        <v>8.6999999999999886</v>
      </c>
      <c r="C180">
        <f t="shared" si="17"/>
        <v>4.688971987915619E-4</v>
      </c>
      <c r="D180">
        <f t="shared" si="13"/>
        <v>0.04</v>
      </c>
      <c r="E180">
        <f t="shared" si="11"/>
        <v>41145.217033880035</v>
      </c>
    </row>
    <row r="181" spans="1:5" x14ac:dyDescent="0.75">
      <c r="A181">
        <f t="shared" si="12"/>
        <v>38.749999999999986</v>
      </c>
      <c r="B181">
        <f t="shared" si="16"/>
        <v>8.7499999999999893</v>
      </c>
      <c r="C181">
        <f t="shared" si="17"/>
        <v>4.7035618466143871E-4</v>
      </c>
      <c r="D181">
        <f t="shared" si="13"/>
        <v>0.04</v>
      </c>
      <c r="E181">
        <f t="shared" si="11"/>
        <v>41351.127625804387</v>
      </c>
    </row>
    <row r="182" spans="1:5" x14ac:dyDescent="0.75">
      <c r="A182">
        <f t="shared" si="12"/>
        <v>38.79999999999999</v>
      </c>
      <c r="B182">
        <f t="shared" si="16"/>
        <v>8.7999999999999901</v>
      </c>
      <c r="C182">
        <f t="shared" si="17"/>
        <v>4.7182372281627061E-4</v>
      </c>
      <c r="D182">
        <f t="shared" si="13"/>
        <v>0.04</v>
      </c>
      <c r="E182">
        <f t="shared" si="11"/>
        <v>41557.450588063766</v>
      </c>
    </row>
    <row r="183" spans="1:5" x14ac:dyDescent="0.75">
      <c r="A183">
        <f t="shared" si="12"/>
        <v>38.849999999999994</v>
      </c>
      <c r="B183">
        <f t="shared" si="16"/>
        <v>8.8499999999999908</v>
      </c>
      <c r="C183">
        <f t="shared" si="17"/>
        <v>4.7329986338785063E-4</v>
      </c>
      <c r="D183">
        <f t="shared" si="13"/>
        <v>0.04</v>
      </c>
      <c r="E183">
        <f t="shared" si="11"/>
        <v>41764.186760178171</v>
      </c>
    </row>
    <row r="184" spans="1:5" x14ac:dyDescent="0.75">
      <c r="A184">
        <f t="shared" si="12"/>
        <v>38.899999999999991</v>
      </c>
      <c r="B184">
        <f t="shared" si="16"/>
        <v>8.8999999999999915</v>
      </c>
      <c r="C184">
        <f t="shared" si="17"/>
        <v>4.7478465680183418E-4</v>
      </c>
      <c r="D184">
        <f t="shared" si="13"/>
        <v>0.04</v>
      </c>
      <c r="E184">
        <f t="shared" si="11"/>
        <v>41971.336983575988</v>
      </c>
    </row>
    <row r="185" spans="1:5" x14ac:dyDescent="0.75">
      <c r="A185">
        <f t="shared" si="12"/>
        <v>38.949999999999989</v>
      </c>
      <c r="B185">
        <f t="shared" si="16"/>
        <v>8.9499999999999922</v>
      </c>
      <c r="C185">
        <f t="shared" si="17"/>
        <v>4.7627815377946237E-4</v>
      </c>
      <c r="D185">
        <f t="shared" si="13"/>
        <v>0.04</v>
      </c>
      <c r="E185">
        <f t="shared" si="11"/>
        <v>42178.902101600397</v>
      </c>
    </row>
    <row r="186" spans="1:5" x14ac:dyDescent="0.75">
      <c r="A186">
        <f t="shared" si="12"/>
        <v>38.999999999999993</v>
      </c>
      <c r="B186">
        <f t="shared" si="16"/>
        <v>8.9999999999999929</v>
      </c>
      <c r="C186">
        <f t="shared" si="17"/>
        <v>4.7778040533929449E-4</v>
      </c>
      <c r="D186">
        <f t="shared" si="13"/>
        <v>0.04</v>
      </c>
      <c r="E186">
        <f t="shared" si="11"/>
        <v>42386.882959515766</v>
      </c>
    </row>
    <row r="187" spans="1:5" x14ac:dyDescent="0.75">
      <c r="A187">
        <f t="shared" si="12"/>
        <v>39.049999999999997</v>
      </c>
      <c r="B187">
        <f t="shared" si="16"/>
        <v>9.0499999999999936</v>
      </c>
      <c r="C187">
        <f t="shared" si="17"/>
        <v>4.7929146279894973E-4</v>
      </c>
      <c r="D187">
        <f t="shared" si="13"/>
        <v>0.04</v>
      </c>
      <c r="E187">
        <f t="shared" si="11"/>
        <v>42595.280404514182</v>
      </c>
    </row>
    <row r="188" spans="1:5" x14ac:dyDescent="0.75">
      <c r="A188">
        <f t="shared" si="12"/>
        <v>39.099999999999994</v>
      </c>
      <c r="B188">
        <f>B187+$D$2</f>
        <v>9.0999999999999943</v>
      </c>
      <c r="C188">
        <f t="shared" si="17"/>
        <v>4.8081137777686083E-4</v>
      </c>
      <c r="D188">
        <f t="shared" si="13"/>
        <v>0.04</v>
      </c>
      <c r="E188">
        <f t="shared" si="11"/>
        <v>42804.09528572188</v>
      </c>
    </row>
    <row r="189" spans="1:5" x14ac:dyDescent="0.75">
      <c r="A189">
        <f t="shared" si="12"/>
        <v>39.149999999999991</v>
      </c>
      <c r="B189">
        <f t="shared" ref="B189:B201" si="18">B188+$D$2</f>
        <v>9.149999999999995</v>
      </c>
      <c r="C189">
        <f t="shared" si="17"/>
        <v>4.8234020219403825E-4</v>
      </c>
      <c r="D189">
        <f t="shared" si="13"/>
        <v>0.04</v>
      </c>
      <c r="E189">
        <f t="shared" si="11"/>
        <v>43013.32845420589</v>
      </c>
    </row>
    <row r="190" spans="1:5" x14ac:dyDescent="0.75">
      <c r="A190">
        <f t="shared" si="12"/>
        <v>39.199999999999996</v>
      </c>
      <c r="B190">
        <f t="shared" si="18"/>
        <v>9.1999999999999957</v>
      </c>
      <c r="C190">
        <f t="shared" si="17"/>
        <v>4.8387798827584274E-4</v>
      </c>
      <c r="D190">
        <f t="shared" si="13"/>
        <v>0.04</v>
      </c>
      <c r="E190">
        <f t="shared" si="11"/>
        <v>43222.980762980515</v>
      </c>
    </row>
    <row r="191" spans="1:5" x14ac:dyDescent="0.75">
      <c r="A191">
        <f t="shared" si="12"/>
        <v>39.25</v>
      </c>
      <c r="B191">
        <f t="shared" si="18"/>
        <v>9.2499999999999964</v>
      </c>
      <c r="C191">
        <f t="shared" si="17"/>
        <v>4.8542478855376995E-4</v>
      </c>
      <c r="D191">
        <f t="shared" si="13"/>
        <v>0.04</v>
      </c>
      <c r="E191">
        <f t="shared" si="11"/>
        <v>43433.053067014043</v>
      </c>
    </row>
    <row r="192" spans="1:5" x14ac:dyDescent="0.75">
      <c r="A192">
        <f t="shared" si="12"/>
        <v>39.299999999999997</v>
      </c>
      <c r="B192">
        <f t="shared" si="18"/>
        <v>9.2999999999999972</v>
      </c>
      <c r="C192">
        <f t="shared" si="17"/>
        <v>4.8698065586724401E-4</v>
      </c>
      <c r="D192">
        <f t="shared" si="13"/>
        <v>0.04</v>
      </c>
      <c r="E192">
        <f t="shared" si="11"/>
        <v>43643.546223235368</v>
      </c>
    </row>
    <row r="193" spans="1:5" x14ac:dyDescent="0.75">
      <c r="A193">
        <f t="shared" si="12"/>
        <v>39.349999999999994</v>
      </c>
      <c r="B193">
        <f t="shared" si="18"/>
        <v>9.3499999999999979</v>
      </c>
      <c r="C193">
        <f t="shared" si="17"/>
        <v>4.8854564336542393E-4</v>
      </c>
      <c r="D193">
        <f t="shared" si="13"/>
        <v>0.04</v>
      </c>
      <c r="E193">
        <f t="shared" si="11"/>
        <v>43854.46109054071</v>
      </c>
    </row>
    <row r="194" spans="1:5" x14ac:dyDescent="0.75">
      <c r="A194">
        <f t="shared" si="12"/>
        <v>39.4</v>
      </c>
      <c r="B194">
        <f t="shared" si="18"/>
        <v>9.3999999999999986</v>
      </c>
      <c r="C194">
        <f t="shared" si="17"/>
        <v>4.9011980450901866E-4</v>
      </c>
      <c r="D194">
        <f t="shared" si="13"/>
        <v>0.04</v>
      </c>
      <c r="E194">
        <f t="shared" si="11"/>
        <v>44065.798529800362</v>
      </c>
    </row>
    <row r="195" spans="1:5" x14ac:dyDescent="0.75">
      <c r="A195">
        <f t="shared" si="12"/>
        <v>39.450000000000003</v>
      </c>
      <c r="B195">
        <f t="shared" si="18"/>
        <v>9.4499999999999993</v>
      </c>
      <c r="C195">
        <f t="shared" si="17"/>
        <v>4.9170319307211257E-4</v>
      </c>
      <c r="D195">
        <f t="shared" si="13"/>
        <v>0.04</v>
      </c>
      <c r="E195">
        <f t="shared" si="11"/>
        <v>44277.559403865467</v>
      </c>
    </row>
    <row r="196" spans="1:5" x14ac:dyDescent="0.75">
      <c r="A196">
        <f t="shared" si="12"/>
        <v>39.5</v>
      </c>
      <c r="B196">
        <f t="shared" si="18"/>
        <v>9.5</v>
      </c>
      <c r="C196">
        <f t="shared" si="17"/>
        <v>4.9329586314400303E-4</v>
      </c>
      <c r="D196">
        <f t="shared" si="13"/>
        <v>0.04</v>
      </c>
      <c r="E196">
        <f t="shared" si="11"/>
        <v>44489.744577574857</v>
      </c>
    </row>
    <row r="197" spans="1:5" x14ac:dyDescent="0.75">
      <c r="A197">
        <f t="shared" si="12"/>
        <v>39.549999999999997</v>
      </c>
      <c r="B197">
        <f t="shared" si="18"/>
        <v>9.5500000000000007</v>
      </c>
      <c r="C197">
        <f t="shared" si="17"/>
        <v>4.948978691310486E-4</v>
      </c>
      <c r="D197">
        <f t="shared" si="13"/>
        <v>0.04</v>
      </c>
      <c r="E197">
        <f t="shared" si="11"/>
        <v>44702.354917761906</v>
      </c>
    </row>
    <row r="198" spans="1:5" x14ac:dyDescent="0.75">
      <c r="A198">
        <f t="shared" si="12"/>
        <v>39.6</v>
      </c>
      <c r="B198">
        <f t="shared" si="18"/>
        <v>9.6000000000000014</v>
      </c>
      <c r="C198">
        <f t="shared" si="17"/>
        <v>4.9650926575852707E-4</v>
      </c>
      <c r="D198">
        <f t="shared" si="13"/>
        <v>0.04</v>
      </c>
      <c r="E198">
        <f t="shared" ref="E198:E261" si="19">(E199 -$D$2*$B$2+$D$2*C198*$C$2)/(1+$D$2*D198+$D$2*C198)</f>
        <v>44915.391293261469</v>
      </c>
    </row>
    <row r="199" spans="1:5" x14ac:dyDescent="0.75">
      <c r="A199">
        <f t="shared" ref="A199:A262" si="20">$A$2+B199</f>
        <v>39.650000000000006</v>
      </c>
      <c r="B199">
        <f t="shared" si="18"/>
        <v>9.6500000000000021</v>
      </c>
      <c r="C199">
        <f t="shared" si="17"/>
        <v>4.9813010807250456E-4</v>
      </c>
      <c r="D199">
        <f t="shared" ref="D199:D262" si="21">0.04</f>
        <v>0.04</v>
      </c>
      <c r="E199">
        <f t="shared" si="19"/>
        <v>45128.854574916819</v>
      </c>
    </row>
    <row r="200" spans="1:5" x14ac:dyDescent="0.75">
      <c r="A200">
        <f t="shared" si="20"/>
        <v>39.700000000000003</v>
      </c>
      <c r="B200">
        <f t="shared" si="18"/>
        <v>9.7000000000000028</v>
      </c>
      <c r="C200">
        <f t="shared" si="17"/>
        <v>4.9976045144171585E-4</v>
      </c>
      <c r="D200">
        <f t="shared" si="21"/>
        <v>0.04</v>
      </c>
      <c r="E200">
        <f t="shared" si="19"/>
        <v>45342.745635586623</v>
      </c>
    </row>
    <row r="201" spans="1:5" x14ac:dyDescent="0.75">
      <c r="A201">
        <f t="shared" si="20"/>
        <v>39.75</v>
      </c>
      <c r="B201">
        <f t="shared" si="18"/>
        <v>9.7500000000000036</v>
      </c>
      <c r="C201">
        <f t="shared" si="17"/>
        <v>5.0140035155945759E-4</v>
      </c>
      <c r="D201">
        <f t="shared" si="21"/>
        <v>0.04</v>
      </c>
      <c r="E201">
        <f t="shared" si="19"/>
        <v>45557.065350152006</v>
      </c>
    </row>
    <row r="202" spans="1:5" x14ac:dyDescent="0.75">
      <c r="A202">
        <f t="shared" si="20"/>
        <v>39.800000000000004</v>
      </c>
      <c r="B202">
        <f>B201+$D$2</f>
        <v>9.8000000000000043</v>
      </c>
      <c r="C202">
        <f t="shared" si="17"/>
        <v>5.030498644454887E-4</v>
      </c>
      <c r="D202">
        <f t="shared" si="21"/>
        <v>0.04</v>
      </c>
      <c r="E202">
        <f t="shared" si="19"/>
        <v>45771.81459552364</v>
      </c>
    </row>
    <row r="203" spans="1:5" x14ac:dyDescent="0.75">
      <c r="A203">
        <f t="shared" si="20"/>
        <v>39.850000000000009</v>
      </c>
      <c r="B203">
        <f t="shared" ref="B203:B214" si="22">B202+$D$2</f>
        <v>9.850000000000005</v>
      </c>
      <c r="C203">
        <f t="shared" si="17"/>
        <v>5.0470904644794466E-4</v>
      </c>
      <c r="D203">
        <f t="shared" si="21"/>
        <v>0.04</v>
      </c>
      <c r="E203">
        <f t="shared" si="19"/>
        <v>45986.994250648844</v>
      </c>
    </row>
    <row r="204" spans="1:5" x14ac:dyDescent="0.75">
      <c r="A204">
        <f t="shared" si="20"/>
        <v>39.900000000000006</v>
      </c>
      <c r="B204">
        <f t="shared" si="22"/>
        <v>9.9000000000000057</v>
      </c>
      <c r="C204">
        <f t="shared" si="17"/>
        <v>5.0637795424526215E-4</v>
      </c>
      <c r="D204">
        <f t="shared" si="21"/>
        <v>0.04</v>
      </c>
      <c r="E204">
        <f t="shared" si="19"/>
        <v>46202.605196518773</v>
      </c>
    </row>
    <row r="205" spans="1:5" x14ac:dyDescent="0.75">
      <c r="A205">
        <f t="shared" si="20"/>
        <v>39.950000000000003</v>
      </c>
      <c r="B205">
        <f t="shared" si="22"/>
        <v>9.9500000000000064</v>
      </c>
      <c r="C205">
        <f t="shared" si="17"/>
        <v>5.0805664484811631E-4</v>
      </c>
      <c r="D205">
        <f t="shared" si="21"/>
        <v>0.04</v>
      </c>
      <c r="E205">
        <f t="shared" si="19"/>
        <v>46418.64831617559</v>
      </c>
    </row>
    <row r="206" spans="1:5" x14ac:dyDescent="0.75">
      <c r="A206">
        <f t="shared" si="20"/>
        <v>40.000000000000007</v>
      </c>
      <c r="B206">
        <f t="shared" si="22"/>
        <v>10.000000000000007</v>
      </c>
      <c r="C206">
        <f t="shared" si="17"/>
        <v>5.0974517560136757E-4</v>
      </c>
      <c r="D206">
        <f t="shared" si="21"/>
        <v>0.04</v>
      </c>
      <c r="E206">
        <f t="shared" si="19"/>
        <v>46635.124494719792</v>
      </c>
    </row>
    <row r="207" spans="1:5" x14ac:dyDescent="0.75">
      <c r="A207">
        <f t="shared" si="20"/>
        <v>40.050000000000011</v>
      </c>
      <c r="B207">
        <f t="shared" si="22"/>
        <v>10.050000000000008</v>
      </c>
      <c r="C207">
        <f t="shared" si="17"/>
        <v>5.1144360418602E-4</v>
      </c>
      <c r="D207">
        <f t="shared" si="21"/>
        <v>0.04</v>
      </c>
      <c r="E207">
        <f t="shared" si="19"/>
        <v>46852.03461931747</v>
      </c>
    </row>
    <row r="208" spans="1:5" x14ac:dyDescent="0.75">
      <c r="A208">
        <f t="shared" si="20"/>
        <v>40.100000000000009</v>
      </c>
      <c r="B208">
        <f t="shared" si="22"/>
        <v>10.100000000000009</v>
      </c>
      <c r="C208">
        <f t="shared" si="17"/>
        <v>5.1315198862119207E-4</v>
      </c>
      <c r="D208">
        <f t="shared" si="21"/>
        <v>0.04</v>
      </c>
      <c r="E208">
        <f t="shared" si="19"/>
        <v>47069.379579207642</v>
      </c>
    </row>
    <row r="209" spans="1:5" x14ac:dyDescent="0.75">
      <c r="A209">
        <f t="shared" si="20"/>
        <v>40.150000000000006</v>
      </c>
      <c r="B209">
        <f t="shared" si="22"/>
        <v>10.150000000000009</v>
      </c>
      <c r="C209">
        <f t="shared" si="17"/>
        <v>5.1487038726609946E-4</v>
      </c>
      <c r="D209">
        <f t="shared" si="21"/>
        <v>0.04</v>
      </c>
      <c r="E209">
        <f t="shared" si="19"/>
        <v>47287.160265709659</v>
      </c>
    </row>
    <row r="210" spans="1:5" x14ac:dyDescent="0.75">
      <c r="A210">
        <f t="shared" si="20"/>
        <v>40.20000000000001</v>
      </c>
      <c r="B210">
        <f t="shared" si="22"/>
        <v>10.20000000000001</v>
      </c>
      <c r="C210">
        <f t="shared" si="17"/>
        <v>5.1659885882204771E-4</v>
      </c>
      <c r="D210">
        <f t="shared" si="21"/>
        <v>0.04</v>
      </c>
      <c r="E210">
        <f t="shared" si="19"/>
        <v>47505.377572230682</v>
      </c>
    </row>
    <row r="211" spans="1:5" x14ac:dyDescent="0.75">
      <c r="A211">
        <f t="shared" si="20"/>
        <v>40.250000000000014</v>
      </c>
      <c r="B211">
        <f t="shared" si="22"/>
        <v>10.250000000000011</v>
      </c>
      <c r="C211">
        <f t="shared" si="17"/>
        <v>5.1833746233443789E-4</v>
      </c>
      <c r="D211">
        <f t="shared" si="21"/>
        <v>0.04</v>
      </c>
      <c r="E211">
        <f t="shared" si="19"/>
        <v>47724.032394273119</v>
      </c>
    </row>
    <row r="212" spans="1:5" x14ac:dyDescent="0.75">
      <c r="A212">
        <f t="shared" si="20"/>
        <v>40.300000000000011</v>
      </c>
      <c r="B212">
        <f t="shared" si="22"/>
        <v>10.300000000000011</v>
      </c>
      <c r="C212">
        <f t="shared" si="17"/>
        <v>5.2008625719478273E-4</v>
      </c>
      <c r="D212">
        <f t="shared" si="21"/>
        <v>0.04</v>
      </c>
      <c r="E212">
        <f t="shared" si="19"/>
        <v>47943.125629442169</v>
      </c>
    </row>
    <row r="213" spans="1:5" x14ac:dyDescent="0.75">
      <c r="A213">
        <f t="shared" si="20"/>
        <v>40.350000000000009</v>
      </c>
      <c r="B213">
        <f t="shared" si="22"/>
        <v>10.350000000000012</v>
      </c>
      <c r="C213">
        <f t="shared" si="17"/>
        <v>5.218453031427371E-4</v>
      </c>
      <c r="D213">
        <f t="shared" si="21"/>
        <v>0.04</v>
      </c>
      <c r="E213">
        <f t="shared" si="19"/>
        <v>48162.658177453421</v>
      </c>
    </row>
    <row r="214" spans="1:5" x14ac:dyDescent="0.75">
      <c r="A214">
        <f t="shared" si="20"/>
        <v>40.400000000000013</v>
      </c>
      <c r="B214">
        <f t="shared" si="22"/>
        <v>10.400000000000013</v>
      </c>
      <c r="C214">
        <f t="shared" si="17"/>
        <v>5.2361466026813752E-4</v>
      </c>
      <c r="D214">
        <f t="shared" si="21"/>
        <v>0.04</v>
      </c>
      <c r="E214">
        <f t="shared" si="19"/>
        <v>48382.630940140451</v>
      </c>
    </row>
    <row r="215" spans="1:5" x14ac:dyDescent="0.75">
      <c r="A215">
        <f t="shared" si="20"/>
        <v>40.450000000000017</v>
      </c>
      <c r="B215">
        <f>B214+$D$2</f>
        <v>10.450000000000014</v>
      </c>
      <c r="C215">
        <f t="shared" si="17"/>
        <v>5.2539438901305505E-4</v>
      </c>
      <c r="D215">
        <f t="shared" si="21"/>
        <v>0.04</v>
      </c>
      <c r="E215">
        <f t="shared" si="19"/>
        <v>48603.044821462521</v>
      </c>
    </row>
    <row r="216" spans="1:5" x14ac:dyDescent="0.75">
      <c r="A216">
        <f t="shared" si="20"/>
        <v>40.500000000000014</v>
      </c>
      <c r="B216">
        <f t="shared" ref="B216:B221" si="23">B215+$D$2</f>
        <v>10.500000000000014</v>
      </c>
      <c r="C216">
        <f t="shared" si="17"/>
        <v>5.2718455017385991E-4</v>
      </c>
      <c r="D216">
        <f t="shared" si="21"/>
        <v>0.04</v>
      </c>
      <c r="E216">
        <f t="shared" si="19"/>
        <v>48823.900727512286</v>
      </c>
    </row>
    <row r="217" spans="1:5" x14ac:dyDescent="0.75">
      <c r="A217">
        <f t="shared" si="20"/>
        <v>40.550000000000011</v>
      </c>
      <c r="B217">
        <f t="shared" si="23"/>
        <v>10.550000000000015</v>
      </c>
      <c r="C217">
        <f t="shared" si="17"/>
        <v>5.2898520490329913E-4</v>
      </c>
      <c r="D217">
        <f t="shared" si="21"/>
        <v>0.04</v>
      </c>
      <c r="E217">
        <f t="shared" si="19"/>
        <v>49045.199566523574</v>
      </c>
    </row>
    <row r="218" spans="1:5" x14ac:dyDescent="0.75">
      <c r="A218">
        <f t="shared" si="20"/>
        <v>40.600000000000016</v>
      </c>
      <c r="B218">
        <f t="shared" si="23"/>
        <v>10.600000000000016</v>
      </c>
      <c r="C218">
        <f t="shared" si="17"/>
        <v>5.3079641471258496E-4</v>
      </c>
      <c r="D218">
        <f t="shared" si="21"/>
        <v>0.04</v>
      </c>
      <c r="E218">
        <f t="shared" si="19"/>
        <v>49266.942248879212</v>
      </c>
    </row>
    <row r="219" spans="1:5" x14ac:dyDescent="0.75">
      <c r="A219">
        <f t="shared" si="20"/>
        <v>40.65000000000002</v>
      </c>
      <c r="B219">
        <f t="shared" si="23"/>
        <v>10.650000000000016</v>
      </c>
      <c r="C219">
        <f t="shared" si="17"/>
        <v>5.3261824147349528E-4</v>
      </c>
      <c r="D219">
        <f t="shared" si="21"/>
        <v>0.04</v>
      </c>
      <c r="E219">
        <f t="shared" si="19"/>
        <v>49489.129687118882</v>
      </c>
    </row>
    <row r="220" spans="1:5" x14ac:dyDescent="0.75">
      <c r="A220">
        <f t="shared" si="20"/>
        <v>40.700000000000017</v>
      </c>
      <c r="B220">
        <f t="shared" si="23"/>
        <v>10.700000000000017</v>
      </c>
      <c r="C220">
        <f t="shared" si="17"/>
        <v>5.3445074742048911E-4</v>
      </c>
      <c r="D220">
        <f t="shared" si="21"/>
        <v>0.04</v>
      </c>
      <c r="E220">
        <f t="shared" si="19"/>
        <v>49711.762795947056</v>
      </c>
    </row>
    <row r="221" spans="1:5" x14ac:dyDescent="0.75">
      <c r="A221">
        <f t="shared" si="20"/>
        <v>40.750000000000014</v>
      </c>
      <c r="B221">
        <f t="shared" si="23"/>
        <v>10.750000000000018</v>
      </c>
      <c r="C221">
        <f t="shared" si="17"/>
        <v>5.3629399515283088E-4</v>
      </c>
      <c r="D221">
        <f t="shared" si="21"/>
        <v>0.04</v>
      </c>
      <c r="E221">
        <f t="shared" si="19"/>
        <v>49934.842492240947</v>
      </c>
    </row>
    <row r="222" spans="1:5" x14ac:dyDescent="0.75">
      <c r="A222">
        <f t="shared" si="20"/>
        <v>40.800000000000018</v>
      </c>
      <c r="B222">
        <f>B221+$D$2</f>
        <v>10.800000000000018</v>
      </c>
      <c r="C222">
        <f t="shared" si="17"/>
        <v>5.3814804763672997E-4</v>
      </c>
      <c r="D222">
        <f t="shared" si="21"/>
        <v>0.04</v>
      </c>
      <c r="E222">
        <f t="shared" si="19"/>
        <v>50158.369695058544</v>
      </c>
    </row>
    <row r="223" spans="1:5" x14ac:dyDescent="0.75">
      <c r="A223">
        <f t="shared" si="20"/>
        <v>40.850000000000023</v>
      </c>
      <c r="B223">
        <f t="shared" ref="B223:B228" si="24">B222+$D$2</f>
        <v>10.850000000000019</v>
      </c>
      <c r="C223">
        <f t="shared" si="17"/>
        <v>5.400129682074904E-4</v>
      </c>
      <c r="D223">
        <f t="shared" si="21"/>
        <v>0.04</v>
      </c>
      <c r="E223">
        <f t="shared" si="19"/>
        <v>50382.345325646675</v>
      </c>
    </row>
    <row r="224" spans="1:5" x14ac:dyDescent="0.75">
      <c r="A224">
        <f t="shared" si="20"/>
        <v>40.90000000000002</v>
      </c>
      <c r="B224">
        <f t="shared" si="24"/>
        <v>10.90000000000002</v>
      </c>
      <c r="C224">
        <f t="shared" si="17"/>
        <v>5.418888205716752E-4</v>
      </c>
      <c r="D224">
        <f t="shared" si="21"/>
        <v>0.04</v>
      </c>
      <c r="E224">
        <f t="shared" si="19"/>
        <v>50606.770307449158</v>
      </c>
    </row>
    <row r="225" spans="1:5" x14ac:dyDescent="0.75">
      <c r="A225">
        <f t="shared" si="20"/>
        <v>40.950000000000017</v>
      </c>
      <c r="B225">
        <f t="shared" si="24"/>
        <v>10.950000000000021</v>
      </c>
      <c r="C225">
        <f t="shared" si="17"/>
        <v>5.4377566880928338E-4</v>
      </c>
      <c r="D225">
        <f t="shared" si="21"/>
        <v>0.04</v>
      </c>
      <c r="E225">
        <f t="shared" si="19"/>
        <v>50831.645566114938</v>
      </c>
    </row>
    <row r="226" spans="1:5" x14ac:dyDescent="0.75">
      <c r="A226">
        <f t="shared" si="20"/>
        <v>41.000000000000021</v>
      </c>
      <c r="B226">
        <f t="shared" si="24"/>
        <v>11.000000000000021</v>
      </c>
      <c r="C226">
        <f t="shared" si="17"/>
        <v>5.4567357737593774E-4</v>
      </c>
      <c r="D226">
        <f t="shared" si="21"/>
        <v>0.04</v>
      </c>
      <c r="E226">
        <f t="shared" si="19"/>
        <v>51056.972029506345</v>
      </c>
    </row>
    <row r="227" spans="1:5" x14ac:dyDescent="0.75">
      <c r="A227">
        <f t="shared" si="20"/>
        <v>41.050000000000026</v>
      </c>
      <c r="B227">
        <f t="shared" si="24"/>
        <v>11.050000000000022</v>
      </c>
      <c r="C227">
        <f t="shared" si="17"/>
        <v>5.4758261110508712E-4</v>
      </c>
      <c r="D227">
        <f t="shared" si="21"/>
        <v>0.04</v>
      </c>
      <c r="E227">
        <f t="shared" si="19"/>
        <v>51282.750627707348</v>
      </c>
    </row>
    <row r="228" spans="1:5" x14ac:dyDescent="0.75">
      <c r="A228">
        <f t="shared" si="20"/>
        <v>41.100000000000023</v>
      </c>
      <c r="B228">
        <f t="shared" si="24"/>
        <v>11.100000000000023</v>
      </c>
      <c r="C228">
        <f t="shared" si="17"/>
        <v>5.4950283521022054E-4</v>
      </c>
      <c r="D228">
        <f t="shared" si="21"/>
        <v>0.04</v>
      </c>
      <c r="E228">
        <f t="shared" si="19"/>
        <v>51508.982293031899</v>
      </c>
    </row>
    <row r="229" spans="1:5" x14ac:dyDescent="0.75">
      <c r="A229">
        <f t="shared" si="20"/>
        <v>41.15000000000002</v>
      </c>
      <c r="B229">
        <f>B228+$D$2</f>
        <v>11.150000000000023</v>
      </c>
      <c r="C229">
        <f t="shared" si="17"/>
        <v>5.5143431528709608E-4</v>
      </c>
      <c r="D229">
        <f t="shared" si="21"/>
        <v>0.04</v>
      </c>
      <c r="E229">
        <f t="shared" si="19"/>
        <v>51735.667960032355</v>
      </c>
    </row>
    <row r="230" spans="1:5" x14ac:dyDescent="0.75">
      <c r="A230">
        <f t="shared" si="20"/>
        <v>41.200000000000024</v>
      </c>
      <c r="B230">
        <f t="shared" ref="B230:B234" si="25">B229+$D$2</f>
        <v>11.200000000000024</v>
      </c>
      <c r="C230">
        <f t="shared" si="17"/>
        <v>5.533771173159822E-4</v>
      </c>
      <c r="D230">
        <f t="shared" si="21"/>
        <v>0.04</v>
      </c>
      <c r="E230">
        <f t="shared" si="19"/>
        <v>51962.808565507854</v>
      </c>
    </row>
    <row r="231" spans="1:5" x14ac:dyDescent="0.75">
      <c r="A231">
        <f t="shared" si="20"/>
        <v>41.250000000000028</v>
      </c>
      <c r="B231">
        <f t="shared" si="25"/>
        <v>11.250000000000025</v>
      </c>
      <c r="C231">
        <f t="shared" si="17"/>
        <v>5.5533130766390883E-4</v>
      </c>
      <c r="D231">
        <f t="shared" si="21"/>
        <v>0.04</v>
      </c>
      <c r="E231">
        <f t="shared" si="19"/>
        <v>52190.405048512876</v>
      </c>
    </row>
    <row r="232" spans="1:5" x14ac:dyDescent="0.75">
      <c r="A232">
        <f t="shared" si="20"/>
        <v>41.300000000000026</v>
      </c>
      <c r="B232">
        <f t="shared" si="25"/>
        <v>11.300000000000026</v>
      </c>
      <c r="C232">
        <f t="shared" si="17"/>
        <v>5.572969530869364E-4</v>
      </c>
      <c r="D232">
        <f t="shared" si="21"/>
        <v>0.04</v>
      </c>
      <c r="E232">
        <f t="shared" si="19"/>
        <v>52418.458350365734</v>
      </c>
    </row>
    <row r="233" spans="1:5" x14ac:dyDescent="0.75">
      <c r="A233">
        <f t="shared" si="20"/>
        <v>41.350000000000023</v>
      </c>
      <c r="B233">
        <f t="shared" si="25"/>
        <v>11.350000000000026</v>
      </c>
      <c r="C233">
        <f t="shared" si="17"/>
        <v>5.5927412073243708E-4</v>
      </c>
      <c r="D233">
        <f t="shared" si="21"/>
        <v>0.04</v>
      </c>
      <c r="E233">
        <f t="shared" si="19"/>
        <v>52646.969414657244</v>
      </c>
    </row>
    <row r="234" spans="1:5" x14ac:dyDescent="0.75">
      <c r="A234">
        <f t="shared" si="20"/>
        <v>41.400000000000027</v>
      </c>
      <c r="B234">
        <f t="shared" si="25"/>
        <v>11.400000000000027</v>
      </c>
      <c r="C234">
        <f t="shared" si="17"/>
        <v>5.6126287814138728E-4</v>
      </c>
      <c r="D234">
        <f t="shared" si="21"/>
        <v>0.04</v>
      </c>
      <c r="E234">
        <f t="shared" si="19"/>
        <v>52875.939187259326</v>
      </c>
    </row>
    <row r="235" spans="1:5" x14ac:dyDescent="0.75">
      <c r="A235">
        <f t="shared" si="20"/>
        <v>41.450000000000031</v>
      </c>
      <c r="B235">
        <f>B234+$D$2</f>
        <v>11.450000000000028</v>
      </c>
      <c r="C235">
        <f t="shared" si="17"/>
        <v>5.6326329325067455E-4</v>
      </c>
      <c r="D235">
        <f t="shared" si="21"/>
        <v>0.04</v>
      </c>
      <c r="E235">
        <f t="shared" si="19"/>
        <v>53105.368616333777</v>
      </c>
    </row>
    <row r="236" spans="1:5" x14ac:dyDescent="0.75">
      <c r="A236">
        <f t="shared" si="20"/>
        <v>41.500000000000028</v>
      </c>
      <c r="B236">
        <f t="shared" ref="B236:B237" si="26">B235+$D$2</f>
        <v>11.500000000000028</v>
      </c>
      <c r="C236">
        <f t="shared" si="17"/>
        <v>5.6527543439541922E-4</v>
      </c>
      <c r="D236">
        <f t="shared" si="21"/>
        <v>0.04</v>
      </c>
      <c r="E236">
        <f t="shared" si="19"/>
        <v>53335.258652340999</v>
      </c>
    </row>
    <row r="237" spans="1:5" x14ac:dyDescent="0.75">
      <c r="A237">
        <f t="shared" si="20"/>
        <v>41.550000000000026</v>
      </c>
      <c r="B237">
        <f t="shared" si="26"/>
        <v>11.550000000000029</v>
      </c>
      <c r="C237">
        <f t="shared" si="17"/>
        <v>5.6729937031130891E-4</v>
      </c>
      <c r="D237">
        <f t="shared" si="21"/>
        <v>0.04</v>
      </c>
      <c r="E237">
        <f t="shared" si="19"/>
        <v>53565.610248048863</v>
      </c>
    </row>
    <row r="238" spans="1:5" x14ac:dyDescent="0.75">
      <c r="A238">
        <f t="shared" si="20"/>
        <v>41.60000000000003</v>
      </c>
      <c r="B238">
        <f>B237+$D$2</f>
        <v>11.60000000000003</v>
      </c>
      <c r="C238">
        <f t="shared" si="17"/>
        <v>5.6933517013694579E-4</v>
      </c>
      <c r="D238">
        <f t="shared" si="21"/>
        <v>0.04</v>
      </c>
      <c r="E238">
        <f t="shared" si="19"/>
        <v>53796.424358541604</v>
      </c>
    </row>
    <row r="239" spans="1:5" x14ac:dyDescent="0.75">
      <c r="A239">
        <f t="shared" si="20"/>
        <v>41.650000000000034</v>
      </c>
      <c r="B239">
        <f t="shared" ref="B239" si="27">B238+$D$2</f>
        <v>11.650000000000031</v>
      </c>
      <c r="C239">
        <f t="shared" si="17"/>
        <v>5.7138290341620941E-4</v>
      </c>
      <c r="D239">
        <f t="shared" si="21"/>
        <v>0.04</v>
      </c>
      <c r="E239">
        <f t="shared" si="19"/>
        <v>54027.701941228748</v>
      </c>
    </row>
    <row r="240" spans="1:5" x14ac:dyDescent="0.75">
      <c r="A240">
        <f t="shared" si="20"/>
        <v>41.700000000000031</v>
      </c>
      <c r="B240">
        <f>B239+$D$2</f>
        <v>11.700000000000031</v>
      </c>
      <c r="C240">
        <f t="shared" ref="C240:C303" si="28">0.00022  + 0.0000027*1.124^A240</f>
        <v>5.7344264010063045E-4</v>
      </c>
      <c r="D240">
        <f t="shared" si="21"/>
        <v>0.04</v>
      </c>
      <c r="E240">
        <f t="shared" si="19"/>
        <v>54259.443955854134</v>
      </c>
    </row>
    <row r="241" spans="1:5" x14ac:dyDescent="0.75">
      <c r="A241">
        <f t="shared" si="20"/>
        <v>41.750000000000028</v>
      </c>
      <c r="B241">
        <f t="shared" ref="B241:B242" si="29">B240+$D$2</f>
        <v>11.750000000000032</v>
      </c>
      <c r="C241">
        <f t="shared" si="28"/>
        <v>5.7551445055178268E-4</v>
      </c>
      <c r="D241">
        <f t="shared" si="21"/>
        <v>0.04</v>
      </c>
      <c r="E241">
        <f t="shared" si="19"/>
        <v>54491.651364504964</v>
      </c>
    </row>
    <row r="242" spans="1:5" x14ac:dyDescent="0.75">
      <c r="A242">
        <f t="shared" si="20"/>
        <v>41.800000000000033</v>
      </c>
      <c r="B242">
        <f t="shared" si="29"/>
        <v>11.800000000000033</v>
      </c>
      <c r="C242">
        <f t="shared" si="28"/>
        <v>5.7759840554368514E-4</v>
      </c>
      <c r="D242">
        <f t="shared" si="21"/>
        <v>0.04</v>
      </c>
      <c r="E242">
        <f t="shared" si="19"/>
        <v>54724.325131620957</v>
      </c>
    </row>
    <row r="243" spans="1:5" x14ac:dyDescent="0.75">
      <c r="A243">
        <f t="shared" si="20"/>
        <v>41.850000000000037</v>
      </c>
      <c r="B243">
        <f>B242+$D$2</f>
        <v>11.850000000000033</v>
      </c>
      <c r="C243">
        <f t="shared" si="28"/>
        <v>5.7969457626521974E-4</v>
      </c>
      <c r="D243">
        <f t="shared" si="21"/>
        <v>0.04</v>
      </c>
      <c r="E243">
        <f t="shared" si="19"/>
        <v>54957.46622400351</v>
      </c>
    </row>
    <row r="244" spans="1:5" x14ac:dyDescent="0.75">
      <c r="A244">
        <f t="shared" si="20"/>
        <v>41.900000000000034</v>
      </c>
      <c r="B244">
        <f t="shared" ref="B244" si="30">B243+$D$2</f>
        <v>11.900000000000034</v>
      </c>
      <c r="C244">
        <f t="shared" si="28"/>
        <v>5.8180303432256355E-4</v>
      </c>
      <c r="D244">
        <f t="shared" si="21"/>
        <v>0.04</v>
      </c>
      <c r="E244">
        <f t="shared" si="19"/>
        <v>55191.075610824962</v>
      </c>
    </row>
    <row r="245" spans="1:5" x14ac:dyDescent="0.75">
      <c r="A245">
        <f t="shared" si="20"/>
        <v>41.950000000000031</v>
      </c>
      <c r="B245">
        <f>B244+$D$2</f>
        <v>11.950000000000035</v>
      </c>
      <c r="C245">
        <f t="shared" si="28"/>
        <v>5.8392385174163509E-4</v>
      </c>
      <c r="D245">
        <f t="shared" si="21"/>
        <v>0.04</v>
      </c>
      <c r="E245">
        <f t="shared" si="19"/>
        <v>55425.154263637894</v>
      </c>
    </row>
    <row r="246" spans="1:5" x14ac:dyDescent="0.75">
      <c r="A246">
        <f t="shared" si="20"/>
        <v>42.000000000000036</v>
      </c>
      <c r="B246">
        <f>B245+$D$2</f>
        <v>12.000000000000036</v>
      </c>
      <c r="C246">
        <f t="shared" si="28"/>
        <v>5.860571009705548E-4</v>
      </c>
      <c r="D246">
        <f t="shared" si="21"/>
        <v>0.04</v>
      </c>
      <c r="E246">
        <f t="shared" si="19"/>
        <v>55659.703156384508</v>
      </c>
    </row>
    <row r="247" spans="1:5" x14ac:dyDescent="0.75">
      <c r="A247">
        <f t="shared" si="20"/>
        <v>42.05000000000004</v>
      </c>
      <c r="B247">
        <f t="shared" ref="B247:B310" si="31">B246+$D$2</f>
        <v>12.050000000000036</v>
      </c>
      <c r="C247">
        <f t="shared" si="28"/>
        <v>5.8820285488211856E-4</v>
      </c>
      <c r="D247">
        <f t="shared" si="21"/>
        <v>0.04</v>
      </c>
      <c r="E247">
        <f t="shared" si="19"/>
        <v>55894.723265406057</v>
      </c>
    </row>
    <row r="248" spans="1:5" x14ac:dyDescent="0.75">
      <c r="A248">
        <f t="shared" si="20"/>
        <v>42.100000000000037</v>
      </c>
      <c r="B248">
        <f t="shared" si="31"/>
        <v>12.100000000000037</v>
      </c>
      <c r="C248">
        <f t="shared" si="28"/>
        <v>5.903611867762882E-4</v>
      </c>
      <c r="D248">
        <f t="shared" si="21"/>
        <v>0.04</v>
      </c>
      <c r="E248">
        <f t="shared" si="19"/>
        <v>56130.215569452332</v>
      </c>
    </row>
    <row r="249" spans="1:5" x14ac:dyDescent="0.75">
      <c r="A249">
        <f t="shared" si="20"/>
        <v>42.150000000000034</v>
      </c>
      <c r="B249">
        <f t="shared" si="31"/>
        <v>12.150000000000038</v>
      </c>
      <c r="C249">
        <f t="shared" si="28"/>
        <v>5.9253217038269666E-4</v>
      </c>
      <c r="D249">
        <f t="shared" si="21"/>
        <v>0.04</v>
      </c>
      <c r="E249">
        <f t="shared" si="19"/>
        <v>56366.181049691237</v>
      </c>
    </row>
    <row r="250" spans="1:5" x14ac:dyDescent="0.75">
      <c r="A250">
        <f t="shared" si="20"/>
        <v>42.200000000000038</v>
      </c>
      <c r="B250">
        <f t="shared" si="31"/>
        <v>12.200000000000038</v>
      </c>
      <c r="C250">
        <f t="shared" si="28"/>
        <v>5.9471587986316475E-4</v>
      </c>
      <c r="D250">
        <f t="shared" si="21"/>
        <v>0.04</v>
      </c>
      <c r="E250">
        <f t="shared" si="19"/>
        <v>56602.620689718387</v>
      </c>
    </row>
    <row r="251" spans="1:5" x14ac:dyDescent="0.75">
      <c r="A251">
        <f t="shared" si="20"/>
        <v>42.250000000000043</v>
      </c>
      <c r="B251">
        <f t="shared" si="31"/>
        <v>12.250000000000039</v>
      </c>
      <c r="C251">
        <f t="shared" si="28"/>
        <v>5.9691238981423418E-4</v>
      </c>
      <c r="D251">
        <f t="shared" si="21"/>
        <v>0.04</v>
      </c>
      <c r="E251">
        <f t="shared" si="19"/>
        <v>56839.535475566809</v>
      </c>
    </row>
    <row r="252" spans="1:5" x14ac:dyDescent="0.75">
      <c r="A252">
        <f t="shared" si="20"/>
        <v>42.30000000000004</v>
      </c>
      <c r="B252">
        <f t="shared" si="31"/>
        <v>12.30000000000004</v>
      </c>
      <c r="C252">
        <f t="shared" si="28"/>
        <v>5.9912177526971722E-4</v>
      </c>
      <c r="D252">
        <f t="shared" si="21"/>
        <v>0.04</v>
      </c>
      <c r="E252">
        <f t="shared" si="19"/>
        <v>57076.926395716699</v>
      </c>
    </row>
    <row r="253" spans="1:5" x14ac:dyDescent="0.75">
      <c r="A253">
        <f t="shared" si="20"/>
        <v>42.350000000000037</v>
      </c>
      <c r="B253">
        <f t="shared" si="31"/>
        <v>12.350000000000041</v>
      </c>
      <c r="C253">
        <f t="shared" si="28"/>
        <v>6.0134411170326E-4</v>
      </c>
      <c r="D253">
        <f t="shared" si="21"/>
        <v>0.04</v>
      </c>
      <c r="E253">
        <f t="shared" si="19"/>
        <v>57314.794441105245</v>
      </c>
    </row>
    <row r="254" spans="1:5" x14ac:dyDescent="0.75">
      <c r="A254">
        <f t="shared" si="20"/>
        <v>42.400000000000041</v>
      </c>
      <c r="B254">
        <f t="shared" si="31"/>
        <v>12.400000000000041</v>
      </c>
      <c r="C254">
        <f t="shared" si="28"/>
        <v>6.0357947503092001E-4</v>
      </c>
      <c r="D254">
        <f t="shared" si="21"/>
        <v>0.04</v>
      </c>
      <c r="E254">
        <f t="shared" si="19"/>
        <v>57553.140605136468</v>
      </c>
    </row>
    <row r="255" spans="1:5" x14ac:dyDescent="0.75">
      <c r="A255">
        <f t="shared" si="20"/>
        <v>42.450000000000045</v>
      </c>
      <c r="B255">
        <f t="shared" si="31"/>
        <v>12.450000000000042</v>
      </c>
      <c r="C255">
        <f t="shared" si="28"/>
        <v>6.0582794161375883E-4</v>
      </c>
      <c r="D255">
        <f t="shared" si="21"/>
        <v>0.04</v>
      </c>
      <c r="E255">
        <f t="shared" si="19"/>
        <v>57791.965883691228</v>
      </c>
    </row>
    <row r="256" spans="1:5" x14ac:dyDescent="0.75">
      <c r="A256">
        <f t="shared" si="20"/>
        <v>42.500000000000043</v>
      </c>
      <c r="B256">
        <f t="shared" si="31"/>
        <v>12.500000000000043</v>
      </c>
      <c r="C256">
        <f t="shared" si="28"/>
        <v>6.0808958826045188E-4</v>
      </c>
      <c r="D256">
        <f t="shared" si="21"/>
        <v>0.04</v>
      </c>
      <c r="E256">
        <f t="shared" si="19"/>
        <v>58031.271275137202</v>
      </c>
    </row>
    <row r="257" spans="1:5" x14ac:dyDescent="0.75">
      <c r="A257">
        <f t="shared" si="20"/>
        <v>42.55000000000004</v>
      </c>
      <c r="B257">
        <f t="shared" si="31"/>
        <v>12.550000000000043</v>
      </c>
      <c r="C257">
        <f t="shared" si="28"/>
        <v>6.1036449222991185E-4</v>
      </c>
      <c r="D257">
        <f t="shared" si="21"/>
        <v>0.04</v>
      </c>
      <c r="E257">
        <f t="shared" si="19"/>
        <v>58271.057780338968</v>
      </c>
    </row>
    <row r="258" spans="1:5" x14ac:dyDescent="0.75">
      <c r="A258">
        <f t="shared" si="20"/>
        <v>42.600000000000044</v>
      </c>
      <c r="B258">
        <f t="shared" si="31"/>
        <v>12.600000000000044</v>
      </c>
      <c r="C258">
        <f t="shared" si="28"/>
        <v>6.1265273123392778E-4</v>
      </c>
      <c r="D258">
        <f t="shared" si="21"/>
        <v>0.04</v>
      </c>
      <c r="E258">
        <f t="shared" si="19"/>
        <v>58511.326402668179</v>
      </c>
    </row>
    <row r="259" spans="1:5" x14ac:dyDescent="0.75">
      <c r="A259">
        <f t="shared" si="20"/>
        <v>42.650000000000048</v>
      </c>
      <c r="B259">
        <f t="shared" si="31"/>
        <v>12.650000000000045</v>
      </c>
      <c r="C259">
        <f t="shared" si="28"/>
        <v>6.1495438343982017E-4</v>
      </c>
      <c r="D259">
        <f t="shared" si="21"/>
        <v>0.04</v>
      </c>
      <c r="E259">
        <f t="shared" si="19"/>
        <v>58752.078148013781</v>
      </c>
    </row>
    <row r="260" spans="1:5" x14ac:dyDescent="0.75">
      <c r="A260">
        <f t="shared" si="20"/>
        <v>42.700000000000045</v>
      </c>
      <c r="B260">
        <f t="shared" si="31"/>
        <v>12.700000000000045</v>
      </c>
      <c r="C260">
        <f t="shared" si="28"/>
        <v>6.172695274731094E-4</v>
      </c>
      <c r="D260">
        <f t="shared" si="21"/>
        <v>0.04</v>
      </c>
      <c r="E260">
        <f t="shared" si="19"/>
        <v>58993.314024792271</v>
      </c>
    </row>
    <row r="261" spans="1:5" x14ac:dyDescent="0.75">
      <c r="A261">
        <f t="shared" si="20"/>
        <v>42.750000000000043</v>
      </c>
      <c r="B261">
        <f t="shared" si="31"/>
        <v>12.750000000000046</v>
      </c>
      <c r="C261">
        <f t="shared" si="28"/>
        <v>6.1959824242020431E-4</v>
      </c>
      <c r="D261">
        <f t="shared" si="21"/>
        <v>0.04</v>
      </c>
      <c r="E261">
        <f t="shared" si="19"/>
        <v>59235.035043958102</v>
      </c>
    </row>
    <row r="262" spans="1:5" x14ac:dyDescent="0.75">
      <c r="A262">
        <f t="shared" si="20"/>
        <v>42.800000000000047</v>
      </c>
      <c r="B262">
        <f t="shared" si="31"/>
        <v>12.800000000000047</v>
      </c>
      <c r="C262">
        <f t="shared" si="28"/>
        <v>6.219406078311028E-4</v>
      </c>
      <c r="D262">
        <f t="shared" si="21"/>
        <v>0.04</v>
      </c>
      <c r="E262">
        <f t="shared" ref="E262:E325" si="32">(E263 -$D$2*$B$2+$D$2*C262*$C$2)/(1+$D$2*D262+$D$2*C262)</f>
        <v>59477.242219014057</v>
      </c>
    </row>
    <row r="263" spans="1:5" x14ac:dyDescent="0.75">
      <c r="A263">
        <f t="shared" ref="A263:A326" si="33">$A$2+B263</f>
        <v>42.850000000000051</v>
      </c>
      <c r="B263">
        <f t="shared" si="31"/>
        <v>12.850000000000048</v>
      </c>
      <c r="C263">
        <f t="shared" si="28"/>
        <v>6.2429670372210781E-4</v>
      </c>
      <c r="D263">
        <f t="shared" ref="D263:D326" si="34">0.04</f>
        <v>0.04</v>
      </c>
      <c r="E263">
        <f t="shared" si="32"/>
        <v>59719.936566021825</v>
      </c>
    </row>
    <row r="264" spans="1:5" x14ac:dyDescent="0.75">
      <c r="A264">
        <f t="shared" si="33"/>
        <v>42.900000000000048</v>
      </c>
      <c r="B264">
        <f t="shared" si="31"/>
        <v>12.900000000000048</v>
      </c>
      <c r="C264">
        <f t="shared" si="28"/>
        <v>6.2666661057856222E-4</v>
      </c>
      <c r="D264">
        <f t="shared" si="34"/>
        <v>0.04</v>
      </c>
      <c r="E264">
        <f t="shared" si="32"/>
        <v>59963.119103612495</v>
      </c>
    </row>
    <row r="265" spans="1:5" x14ac:dyDescent="0.75">
      <c r="A265">
        <f t="shared" si="33"/>
        <v>42.950000000000045</v>
      </c>
      <c r="B265">
        <f t="shared" si="31"/>
        <v>12.950000000000049</v>
      </c>
      <c r="C265">
        <f t="shared" si="28"/>
        <v>6.2905040935759863E-4</v>
      </c>
      <c r="D265">
        <f t="shared" si="34"/>
        <v>0.04</v>
      </c>
      <c r="E265">
        <f t="shared" si="32"/>
        <v>60206.790852997241</v>
      </c>
    </row>
    <row r="266" spans="1:5" x14ac:dyDescent="0.75">
      <c r="A266">
        <f t="shared" si="33"/>
        <v>43.00000000000005</v>
      </c>
      <c r="B266">
        <f t="shared" si="31"/>
        <v>13.00000000000005</v>
      </c>
      <c r="C266">
        <f t="shared" si="28"/>
        <v>6.3144818149090428E-4</v>
      </c>
      <c r="D266">
        <f t="shared" si="34"/>
        <v>0.04</v>
      </c>
      <c r="E266">
        <f t="shared" si="32"/>
        <v>60450.95283797806</v>
      </c>
    </row>
    <row r="267" spans="1:5" x14ac:dyDescent="0.75">
      <c r="A267">
        <f t="shared" si="33"/>
        <v>43.050000000000054</v>
      </c>
      <c r="B267">
        <f t="shared" si="31"/>
        <v>13.05000000000005</v>
      </c>
      <c r="C267">
        <f t="shared" si="28"/>
        <v>6.3386000888750161E-4</v>
      </c>
      <c r="D267">
        <f t="shared" si="34"/>
        <v>0.04</v>
      </c>
      <c r="E267">
        <f t="shared" si="32"/>
        <v>60695.606084958505</v>
      </c>
    </row>
    <row r="268" spans="1:5" x14ac:dyDescent="0.75">
      <c r="A268">
        <f t="shared" si="33"/>
        <v>43.100000000000051</v>
      </c>
      <c r="B268">
        <f t="shared" si="31"/>
        <v>13.100000000000051</v>
      </c>
      <c r="C268">
        <f t="shared" si="28"/>
        <v>6.362859739365487E-4</v>
      </c>
      <c r="D268">
        <f t="shared" si="34"/>
        <v>0.04</v>
      </c>
      <c r="E268">
        <f t="shared" si="32"/>
        <v>60940.751622954616</v>
      </c>
    </row>
    <row r="269" spans="1:5" x14ac:dyDescent="0.75">
      <c r="A269">
        <f t="shared" si="33"/>
        <v>43.150000000000048</v>
      </c>
      <c r="B269">
        <f t="shared" si="31"/>
        <v>13.150000000000052</v>
      </c>
      <c r="C269">
        <f t="shared" si="28"/>
        <v>6.3872615951015188E-4</v>
      </c>
      <c r="D269">
        <f t="shared" si="34"/>
        <v>0.04</v>
      </c>
      <c r="E269">
        <f t="shared" si="32"/>
        <v>61186.390483605785</v>
      </c>
    </row>
    <row r="270" spans="1:5" x14ac:dyDescent="0.75">
      <c r="A270">
        <f t="shared" si="33"/>
        <v>43.200000000000053</v>
      </c>
      <c r="B270">
        <f t="shared" si="31"/>
        <v>13.200000000000053</v>
      </c>
      <c r="C270">
        <f t="shared" si="28"/>
        <v>6.4118064896619793E-4</v>
      </c>
      <c r="D270">
        <f t="shared" si="34"/>
        <v>0.04</v>
      </c>
      <c r="E270">
        <f t="shared" si="32"/>
        <v>61432.523701185841</v>
      </c>
    </row>
    <row r="271" spans="1:5" x14ac:dyDescent="0.75">
      <c r="A271">
        <f t="shared" si="33"/>
        <v>43.250000000000057</v>
      </c>
      <c r="B271">
        <f t="shared" si="31"/>
        <v>13.250000000000053</v>
      </c>
      <c r="C271">
        <f t="shared" si="28"/>
        <v>6.4364952615120002E-4</v>
      </c>
      <c r="D271">
        <f t="shared" si="34"/>
        <v>0.04</v>
      </c>
      <c r="E271">
        <f t="shared" si="32"/>
        <v>61679.152312614096</v>
      </c>
    </row>
    <row r="272" spans="1:5" x14ac:dyDescent="0.75">
      <c r="A272">
        <f t="shared" si="33"/>
        <v>43.300000000000054</v>
      </c>
      <c r="B272">
        <f t="shared" si="31"/>
        <v>13.300000000000054</v>
      </c>
      <c r="C272">
        <f t="shared" si="28"/>
        <v>6.4613287540316294E-4</v>
      </c>
      <c r="D272">
        <f t="shared" si="34"/>
        <v>0.04</v>
      </c>
      <c r="E272">
        <f t="shared" si="32"/>
        <v>61926.277357466548</v>
      </c>
    </row>
    <row r="273" spans="1:5" x14ac:dyDescent="0.75">
      <c r="A273">
        <f t="shared" si="33"/>
        <v>43.350000000000051</v>
      </c>
      <c r="B273">
        <f t="shared" si="31"/>
        <v>13.350000000000055</v>
      </c>
      <c r="C273">
        <f t="shared" si="28"/>
        <v>6.48630781554465E-4</v>
      </c>
      <c r="D273">
        <f t="shared" si="34"/>
        <v>0.04</v>
      </c>
      <c r="E273">
        <f t="shared" si="32"/>
        <v>62173.899877987067</v>
      </c>
    </row>
    <row r="274" spans="1:5" x14ac:dyDescent="0.75">
      <c r="A274">
        <f t="shared" si="33"/>
        <v>43.400000000000055</v>
      </c>
      <c r="B274">
        <f t="shared" si="31"/>
        <v>13.400000000000055</v>
      </c>
      <c r="C274">
        <f t="shared" si="28"/>
        <v>6.5114332993475483E-4</v>
      </c>
      <c r="D274">
        <f t="shared" si="34"/>
        <v>0.04</v>
      </c>
      <c r="E274">
        <f t="shared" si="32"/>
        <v>62422.020919098766</v>
      </c>
    </row>
    <row r="275" spans="1:5" x14ac:dyDescent="0.75">
      <c r="A275">
        <f t="shared" si="33"/>
        <v>43.45000000000006</v>
      </c>
      <c r="B275">
        <f t="shared" si="31"/>
        <v>13.450000000000056</v>
      </c>
      <c r="C275">
        <f t="shared" si="28"/>
        <v>6.536706063738658E-4</v>
      </c>
      <c r="D275">
        <f t="shared" si="34"/>
        <v>0.04</v>
      </c>
      <c r="E275">
        <f t="shared" si="32"/>
        <v>62670.641528415414</v>
      </c>
    </row>
    <row r="276" spans="1:5" x14ac:dyDescent="0.75">
      <c r="A276">
        <f t="shared" si="33"/>
        <v>43.500000000000057</v>
      </c>
      <c r="B276">
        <f t="shared" si="31"/>
        <v>13.500000000000057</v>
      </c>
      <c r="C276">
        <f t="shared" si="28"/>
        <v>6.5621269720474878E-4</v>
      </c>
      <c r="D276">
        <f t="shared" si="34"/>
        <v>0.04</v>
      </c>
      <c r="E276">
        <f t="shared" si="32"/>
        <v>62919.762756252858</v>
      </c>
    </row>
    <row r="277" spans="1:5" x14ac:dyDescent="0.75">
      <c r="A277">
        <f t="shared" si="33"/>
        <v>43.550000000000054</v>
      </c>
      <c r="B277">
        <f t="shared" si="31"/>
        <v>13.550000000000058</v>
      </c>
      <c r="C277">
        <f t="shared" si="28"/>
        <v>6.587696892664213E-4</v>
      </c>
      <c r="D277">
        <f t="shared" si="34"/>
        <v>0.04</v>
      </c>
      <c r="E277">
        <f t="shared" si="32"/>
        <v>63169.385655640624</v>
      </c>
    </row>
    <row r="278" spans="1:5" x14ac:dyDescent="0.75">
      <c r="A278">
        <f t="shared" si="33"/>
        <v>43.600000000000058</v>
      </c>
      <c r="B278">
        <f t="shared" si="31"/>
        <v>13.600000000000058</v>
      </c>
      <c r="C278">
        <f t="shared" si="28"/>
        <v>6.6134166990693567E-4</v>
      </c>
      <c r="D278">
        <f t="shared" si="34"/>
        <v>0.04</v>
      </c>
      <c r="E278">
        <f t="shared" si="32"/>
        <v>63419.511282333551</v>
      </c>
    </row>
    <row r="279" spans="1:5" x14ac:dyDescent="0.75">
      <c r="A279">
        <f t="shared" si="33"/>
        <v>43.650000000000063</v>
      </c>
      <c r="B279">
        <f t="shared" si="31"/>
        <v>13.650000000000059</v>
      </c>
      <c r="C279">
        <f t="shared" si="28"/>
        <v>6.6392872698635853E-4</v>
      </c>
      <c r="D279">
        <f t="shared" si="34"/>
        <v>0.04</v>
      </c>
      <c r="E279">
        <f t="shared" si="32"/>
        <v>63670.140694823494</v>
      </c>
    </row>
    <row r="280" spans="1:5" x14ac:dyDescent="0.75">
      <c r="A280">
        <f t="shared" si="33"/>
        <v>43.70000000000006</v>
      </c>
      <c r="B280">
        <f t="shared" si="31"/>
        <v>13.70000000000006</v>
      </c>
      <c r="C280">
        <f t="shared" si="28"/>
        <v>6.6653094887977578E-4</v>
      </c>
      <c r="D280">
        <f t="shared" si="34"/>
        <v>0.04</v>
      </c>
      <c r="E280">
        <f t="shared" si="32"/>
        <v>63921.274954351138</v>
      </c>
    </row>
    <row r="281" spans="1:5" x14ac:dyDescent="0.75">
      <c r="A281">
        <f t="shared" si="33"/>
        <v>43.750000000000057</v>
      </c>
      <c r="B281">
        <f t="shared" si="31"/>
        <v>13.75000000000006</v>
      </c>
      <c r="C281">
        <f t="shared" si="28"/>
        <v>6.6914842448031055E-4</v>
      </c>
      <c r="D281">
        <f t="shared" si="34"/>
        <v>0.04</v>
      </c>
      <c r="E281">
        <f t="shared" si="32"/>
        <v>64172.915124917883</v>
      </c>
    </row>
    <row r="282" spans="1:5" x14ac:dyDescent="0.75">
      <c r="A282">
        <f t="shared" si="33"/>
        <v>43.800000000000061</v>
      </c>
      <c r="B282">
        <f t="shared" si="31"/>
        <v>13.800000000000061</v>
      </c>
      <c r="C282">
        <f t="shared" si="28"/>
        <v>6.7178124320216043E-4</v>
      </c>
      <c r="D282">
        <f t="shared" si="34"/>
        <v>0.04</v>
      </c>
      <c r="E282">
        <f t="shared" si="32"/>
        <v>64425.062273297823</v>
      </c>
    </row>
    <row r="283" spans="1:5" x14ac:dyDescent="0.75">
      <c r="A283">
        <f t="shared" si="33"/>
        <v>43.850000000000065</v>
      </c>
      <c r="B283">
        <f t="shared" si="31"/>
        <v>13.850000000000062</v>
      </c>
      <c r="C283">
        <f t="shared" si="28"/>
        <v>6.7442949498365003E-4</v>
      </c>
      <c r="D283">
        <f t="shared" si="34"/>
        <v>0.04</v>
      </c>
      <c r="E283">
        <f t="shared" si="32"/>
        <v>64677.717469049778</v>
      </c>
    </row>
    <row r="284" spans="1:5" x14ac:dyDescent="0.75">
      <c r="A284">
        <f t="shared" si="33"/>
        <v>43.900000000000063</v>
      </c>
      <c r="B284">
        <f t="shared" si="31"/>
        <v>13.900000000000063</v>
      </c>
      <c r="C284">
        <f t="shared" si="28"/>
        <v>6.7709327029030471E-4</v>
      </c>
      <c r="D284">
        <f t="shared" si="34"/>
        <v>0.04</v>
      </c>
      <c r="E284">
        <f t="shared" si="32"/>
        <v>64930.881784529432</v>
      </c>
    </row>
    <row r="285" spans="1:5" x14ac:dyDescent="0.75">
      <c r="A285">
        <f t="shared" si="33"/>
        <v>43.95000000000006</v>
      </c>
      <c r="B285">
        <f t="shared" si="31"/>
        <v>13.950000000000063</v>
      </c>
      <c r="C285">
        <f t="shared" si="28"/>
        <v>6.7977266011794168E-4</v>
      </c>
      <c r="D285">
        <f t="shared" si="34"/>
        <v>0.04</v>
      </c>
      <c r="E285">
        <f t="shared" si="32"/>
        <v>65184.556294901558</v>
      </c>
    </row>
    <row r="286" spans="1:5" x14ac:dyDescent="0.75">
      <c r="A286">
        <f t="shared" si="33"/>
        <v>44.000000000000064</v>
      </c>
      <c r="B286">
        <f t="shared" si="31"/>
        <v>14.000000000000064</v>
      </c>
      <c r="C286">
        <f t="shared" si="28"/>
        <v>6.824677559957768E-4</v>
      </c>
      <c r="D286">
        <f t="shared" si="34"/>
        <v>0.04</v>
      </c>
      <c r="E286">
        <f t="shared" si="32"/>
        <v>65438.742078152332</v>
      </c>
    </row>
    <row r="287" spans="1:5" x14ac:dyDescent="0.75">
      <c r="A287">
        <f t="shared" si="33"/>
        <v>44.050000000000068</v>
      </c>
      <c r="B287">
        <f t="shared" si="31"/>
        <v>14.050000000000065</v>
      </c>
      <c r="C287">
        <f t="shared" si="28"/>
        <v>6.8517864998955268E-4</v>
      </c>
      <c r="D287">
        <f t="shared" si="34"/>
        <v>0.04</v>
      </c>
      <c r="E287">
        <f t="shared" si="32"/>
        <v>65693.440215101728</v>
      </c>
    </row>
    <row r="288" spans="1:5" x14ac:dyDescent="0.75">
      <c r="A288">
        <f t="shared" si="33"/>
        <v>44.100000000000065</v>
      </c>
      <c r="B288">
        <f t="shared" si="31"/>
        <v>14.100000000000065</v>
      </c>
      <c r="C288">
        <f t="shared" si="28"/>
        <v>6.8790543470468159E-4</v>
      </c>
      <c r="D288">
        <f t="shared" si="34"/>
        <v>0.04</v>
      </c>
      <c r="E288">
        <f t="shared" si="32"/>
        <v>65948.651789415977</v>
      </c>
    </row>
    <row r="289" spans="1:5" x14ac:dyDescent="0.75">
      <c r="A289">
        <f t="shared" si="33"/>
        <v>44.150000000000063</v>
      </c>
      <c r="B289">
        <f t="shared" si="31"/>
        <v>14.150000000000066</v>
      </c>
      <c r="C289">
        <f t="shared" si="28"/>
        <v>6.9064820328941154E-4</v>
      </c>
      <c r="D289">
        <f t="shared" si="34"/>
        <v>0.04</v>
      </c>
      <c r="E289">
        <f t="shared" si="32"/>
        <v>66204.377887620154</v>
      </c>
    </row>
    <row r="290" spans="1:5" x14ac:dyDescent="0.75">
      <c r="A290">
        <f t="shared" si="33"/>
        <v>44.200000000000067</v>
      </c>
      <c r="B290">
        <f t="shared" si="31"/>
        <v>14.200000000000067</v>
      </c>
      <c r="C290">
        <f t="shared" si="28"/>
        <v>6.9340704943800734E-4</v>
      </c>
      <c r="D290">
        <f t="shared" si="34"/>
        <v>0.04</v>
      </c>
      <c r="E290">
        <f t="shared" si="32"/>
        <v>66460.61959911084</v>
      </c>
    </row>
    <row r="291" spans="1:5" x14ac:dyDescent="0.75">
      <c r="A291">
        <f t="shared" si="33"/>
        <v>44.250000000000071</v>
      </c>
      <c r="B291">
        <f t="shared" si="31"/>
        <v>14.250000000000068</v>
      </c>
      <c r="C291">
        <f t="shared" si="28"/>
        <v>6.9618206739394974E-4</v>
      </c>
      <c r="D291">
        <f t="shared" si="34"/>
        <v>0.04</v>
      </c>
      <c r="E291">
        <f t="shared" si="32"/>
        <v>66717.378016168877</v>
      </c>
    </row>
    <row r="292" spans="1:5" x14ac:dyDescent="0.75">
      <c r="A292">
        <f t="shared" si="33"/>
        <v>44.300000000000068</v>
      </c>
      <c r="B292">
        <f t="shared" si="31"/>
        <v>14.300000000000068</v>
      </c>
      <c r="C292">
        <f t="shared" si="28"/>
        <v>6.9897335195315605E-4</v>
      </c>
      <c r="D292">
        <f t="shared" si="34"/>
        <v>0.04</v>
      </c>
      <c r="E292">
        <f t="shared" si="32"/>
        <v>66974.654233972178</v>
      </c>
    </row>
    <row r="293" spans="1:5" x14ac:dyDescent="0.75">
      <c r="A293">
        <f t="shared" si="33"/>
        <v>44.350000000000065</v>
      </c>
      <c r="B293">
        <f t="shared" si="31"/>
        <v>14.350000000000069</v>
      </c>
      <c r="C293">
        <f t="shared" si="28"/>
        <v>7.0178099846721954E-4</v>
      </c>
      <c r="D293">
        <f t="shared" si="34"/>
        <v>0.04</v>
      </c>
      <c r="E293">
        <f t="shared" si="32"/>
        <v>67232.449350608658</v>
      </c>
    </row>
    <row r="294" spans="1:5" x14ac:dyDescent="0.75">
      <c r="A294">
        <f t="shared" si="33"/>
        <v>44.40000000000007</v>
      </c>
      <c r="B294">
        <f t="shared" si="31"/>
        <v>14.40000000000007</v>
      </c>
      <c r="C294">
        <f t="shared" si="28"/>
        <v>7.0460510284666529E-4</v>
      </c>
      <c r="D294">
        <f t="shared" si="34"/>
        <v>0.04</v>
      </c>
      <c r="E294">
        <f t="shared" si="32"/>
        <v>67490.764467089277</v>
      </c>
    </row>
    <row r="295" spans="1:5" x14ac:dyDescent="0.75">
      <c r="A295">
        <f t="shared" si="33"/>
        <v>44.450000000000074</v>
      </c>
      <c r="B295">
        <f t="shared" si="31"/>
        <v>14.45000000000007</v>
      </c>
      <c r="C295">
        <f t="shared" si="28"/>
        <v>7.0744576156422598E-4</v>
      </c>
      <c r="D295">
        <f t="shared" si="34"/>
        <v>0.04</v>
      </c>
      <c r="E295">
        <f t="shared" si="32"/>
        <v>67749.600687361148</v>
      </c>
    </row>
    <row r="296" spans="1:5" x14ac:dyDescent="0.75">
      <c r="A296">
        <f t="shared" si="33"/>
        <v>44.500000000000071</v>
      </c>
      <c r="B296">
        <f t="shared" si="31"/>
        <v>14.500000000000071</v>
      </c>
      <c r="C296">
        <f t="shared" si="28"/>
        <v>7.1030307165813799E-4</v>
      </c>
      <c r="D296">
        <f t="shared" si="34"/>
        <v>0.04</v>
      </c>
      <c r="E296">
        <f t="shared" si="32"/>
        <v>68008.959118320738</v>
      </c>
    </row>
    <row r="297" spans="1:5" x14ac:dyDescent="0.75">
      <c r="A297">
        <f t="shared" si="33"/>
        <v>44.550000000000068</v>
      </c>
      <c r="B297">
        <f t="shared" si="31"/>
        <v>14.550000000000072</v>
      </c>
      <c r="C297">
        <f t="shared" si="28"/>
        <v>7.1317713073545843E-4</v>
      </c>
      <c r="D297">
        <f t="shared" si="34"/>
        <v>0.04</v>
      </c>
      <c r="E297">
        <f t="shared" si="32"/>
        <v>68268.840869827181</v>
      </c>
    </row>
    <row r="298" spans="1:5" x14ac:dyDescent="0.75">
      <c r="A298">
        <f t="shared" si="33"/>
        <v>44.600000000000072</v>
      </c>
      <c r="B298">
        <f t="shared" si="31"/>
        <v>14.600000000000072</v>
      </c>
      <c r="C298">
        <f t="shared" si="28"/>
        <v>7.1606803697539664E-4</v>
      </c>
      <c r="D298">
        <f t="shared" si="34"/>
        <v>0.04</v>
      </c>
      <c r="E298">
        <f t="shared" si="32"/>
        <v>68529.247054715655</v>
      </c>
    </row>
    <row r="299" spans="1:5" x14ac:dyDescent="0.75">
      <c r="A299">
        <f t="shared" si="33"/>
        <v>44.650000000000077</v>
      </c>
      <c r="B299">
        <f t="shared" si="31"/>
        <v>14.650000000000073</v>
      </c>
      <c r="C299">
        <f t="shared" si="28"/>
        <v>7.1897588913266794E-4</v>
      </c>
      <c r="D299">
        <f t="shared" si="34"/>
        <v>0.04</v>
      </c>
      <c r="E299">
        <f t="shared" si="32"/>
        <v>68790.178788810896</v>
      </c>
    </row>
    <row r="300" spans="1:5" x14ac:dyDescent="0.75">
      <c r="A300">
        <f t="shared" si="33"/>
        <v>44.700000000000074</v>
      </c>
      <c r="B300">
        <f t="shared" si="31"/>
        <v>14.700000000000074</v>
      </c>
      <c r="C300">
        <f t="shared" si="28"/>
        <v>7.2190078654086882E-4</v>
      </c>
      <c r="D300">
        <f t="shared" si="34"/>
        <v>0.04</v>
      </c>
      <c r="E300">
        <f t="shared" si="32"/>
        <v>69051.637190940761</v>
      </c>
    </row>
    <row r="301" spans="1:5" x14ac:dyDescent="0.75">
      <c r="A301">
        <f t="shared" si="33"/>
        <v>44.750000000000071</v>
      </c>
      <c r="B301">
        <f t="shared" si="31"/>
        <v>14.750000000000075</v>
      </c>
      <c r="C301">
        <f t="shared" si="28"/>
        <v>7.2484282911586999E-4</v>
      </c>
      <c r="D301">
        <f t="shared" si="34"/>
        <v>0.04</v>
      </c>
      <c r="E301">
        <f t="shared" si="32"/>
        <v>69313.62338294994</v>
      </c>
    </row>
    <row r="302" spans="1:5" x14ac:dyDescent="0.75">
      <c r="A302">
        <f t="shared" si="33"/>
        <v>44.800000000000075</v>
      </c>
      <c r="B302">
        <f t="shared" si="31"/>
        <v>14.800000000000075</v>
      </c>
      <c r="C302">
        <f t="shared" si="28"/>
        <v>7.2780211735922916E-4</v>
      </c>
      <c r="D302">
        <f t="shared" si="34"/>
        <v>0.04</v>
      </c>
      <c r="E302">
        <f t="shared" si="32"/>
        <v>69576.138489713718</v>
      </c>
    </row>
    <row r="303" spans="1:5" x14ac:dyDescent="0.75">
      <c r="A303">
        <f t="shared" si="33"/>
        <v>44.85000000000008</v>
      </c>
      <c r="B303">
        <f t="shared" si="31"/>
        <v>14.850000000000076</v>
      </c>
      <c r="C303">
        <f t="shared" si="28"/>
        <v>7.3077875236162359E-4</v>
      </c>
      <c r="D303">
        <f t="shared" si="34"/>
        <v>0.04</v>
      </c>
      <c r="E303">
        <f t="shared" si="32"/>
        <v>69839.183639151874</v>
      </c>
    </row>
    <row r="304" spans="1:5" x14ac:dyDescent="0.75">
      <c r="A304">
        <f t="shared" si="33"/>
        <v>44.900000000000077</v>
      </c>
      <c r="B304">
        <f t="shared" si="31"/>
        <v>14.900000000000077</v>
      </c>
      <c r="C304">
        <f t="shared" ref="C304:C367" si="35">0.00022  + 0.0000027*1.124^A304</f>
        <v>7.3377283580630345E-4</v>
      </c>
      <c r="D304">
        <f t="shared" si="34"/>
        <v>0.04</v>
      </c>
      <c r="E304">
        <f t="shared" si="32"/>
        <v>70102.759962242664</v>
      </c>
    </row>
    <row r="305" spans="1:5" x14ac:dyDescent="0.75">
      <c r="A305">
        <f t="shared" si="33"/>
        <v>44.950000000000074</v>
      </c>
      <c r="B305">
        <f t="shared" si="31"/>
        <v>14.950000000000077</v>
      </c>
      <c r="C305">
        <f t="shared" si="35"/>
        <v>7.3678446997256747E-4</v>
      </c>
      <c r="D305">
        <f t="shared" si="34"/>
        <v>0.04</v>
      </c>
      <c r="E305">
        <f t="shared" si="32"/>
        <v>70366.868593036896</v>
      </c>
    </row>
    <row r="306" spans="1:5" x14ac:dyDescent="0.75">
      <c r="A306">
        <f t="shared" si="33"/>
        <v>45.000000000000078</v>
      </c>
      <c r="B306">
        <f t="shared" si="31"/>
        <v>15.000000000000078</v>
      </c>
      <c r="C306">
        <f t="shared" si="35"/>
        <v>7.3981375773925413E-4</v>
      </c>
      <c r="D306">
        <f t="shared" si="34"/>
        <v>0.04</v>
      </c>
      <c r="E306">
        <f t="shared" si="32"/>
        <v>70631.510668672097</v>
      </c>
    </row>
    <row r="307" spans="1:5" x14ac:dyDescent="0.75">
      <c r="A307">
        <f t="shared" si="33"/>
        <v>45.050000000000082</v>
      </c>
      <c r="B307">
        <f t="shared" si="31"/>
        <v>15.050000000000079</v>
      </c>
      <c r="C307">
        <f t="shared" si="35"/>
        <v>7.4286080258825814E-4</v>
      </c>
      <c r="D307">
        <f t="shared" si="34"/>
        <v>0.04</v>
      </c>
      <c r="E307">
        <f t="shared" si="32"/>
        <v>70896.68732938687</v>
      </c>
    </row>
    <row r="308" spans="1:5" x14ac:dyDescent="0.75">
      <c r="A308">
        <f t="shared" si="33"/>
        <v>45.10000000000008</v>
      </c>
      <c r="B308">
        <f t="shared" si="31"/>
        <v>15.10000000000008</v>
      </c>
      <c r="C308">
        <f t="shared" si="35"/>
        <v>7.45925708608063E-4</v>
      </c>
      <c r="D308">
        <f t="shared" si="34"/>
        <v>0.04</v>
      </c>
      <c r="E308">
        <f t="shared" si="32"/>
        <v>71162.39971853522</v>
      </c>
    </row>
    <row r="309" spans="1:5" x14ac:dyDescent="0.75">
      <c r="A309">
        <f t="shared" si="33"/>
        <v>45.150000000000077</v>
      </c>
      <c r="B309">
        <f t="shared" si="31"/>
        <v>15.15000000000008</v>
      </c>
      <c r="C309">
        <f t="shared" si="35"/>
        <v>7.4900858049729965E-4</v>
      </c>
      <c r="D309">
        <f t="shared" si="34"/>
        <v>0.04</v>
      </c>
      <c r="E309">
        <f t="shared" si="32"/>
        <v>71428.64898260108</v>
      </c>
    </row>
    <row r="310" spans="1:5" x14ac:dyDescent="0.75">
      <c r="A310">
        <f t="shared" si="33"/>
        <v>45.200000000000081</v>
      </c>
      <c r="B310">
        <f t="shared" si="31"/>
        <v>15.200000000000081</v>
      </c>
      <c r="C310">
        <f t="shared" si="35"/>
        <v>7.5210952356832123E-4</v>
      </c>
      <c r="D310">
        <f t="shared" si="34"/>
        <v>0.04</v>
      </c>
      <c r="E310">
        <f t="shared" si="32"/>
        <v>71695.43627121285</v>
      </c>
    </row>
    <row r="311" spans="1:5" x14ac:dyDescent="0.75">
      <c r="A311">
        <f t="shared" si="33"/>
        <v>45.250000000000085</v>
      </c>
      <c r="B311">
        <f t="shared" ref="B311:B374" si="36">B310+$D$2</f>
        <v>15.250000000000082</v>
      </c>
      <c r="C311">
        <f t="shared" si="35"/>
        <v>7.5522864375080043E-4</v>
      </c>
      <c r="D311">
        <f t="shared" si="34"/>
        <v>0.04</v>
      </c>
      <c r="E311">
        <f t="shared" si="32"/>
        <v>71962.76273715822</v>
      </c>
    </row>
    <row r="312" spans="1:5" x14ac:dyDescent="0.75">
      <c r="A312">
        <f t="shared" si="33"/>
        <v>45.300000000000082</v>
      </c>
      <c r="B312">
        <f t="shared" si="36"/>
        <v>15.300000000000082</v>
      </c>
      <c r="C312">
        <f t="shared" si="35"/>
        <v>7.5836604759534846E-4</v>
      </c>
      <c r="D312">
        <f t="shared" si="34"/>
        <v>0.04</v>
      </c>
      <c r="E312">
        <f t="shared" si="32"/>
        <v>72230.629536398919</v>
      </c>
    </row>
    <row r="313" spans="1:5" x14ac:dyDescent="0.75">
      <c r="A313">
        <f t="shared" si="33"/>
        <v>45.35000000000008</v>
      </c>
      <c r="B313">
        <f t="shared" si="36"/>
        <v>15.350000000000083</v>
      </c>
      <c r="C313">
        <f t="shared" si="35"/>
        <v>7.6152184227715582E-4</v>
      </c>
      <c r="D313">
        <f t="shared" si="34"/>
        <v>0.04</v>
      </c>
      <c r="E313">
        <f t="shared" si="32"/>
        <v>72499.03782808558</v>
      </c>
    </row>
    <row r="314" spans="1:5" x14ac:dyDescent="0.75">
      <c r="A314">
        <f t="shared" si="33"/>
        <v>45.400000000000084</v>
      </c>
      <c r="B314">
        <f t="shared" si="36"/>
        <v>15.400000000000084</v>
      </c>
      <c r="C314">
        <f t="shared" si="35"/>
        <v>7.6469613559965275E-4</v>
      </c>
      <c r="D314">
        <f t="shared" si="34"/>
        <v>0.04</v>
      </c>
      <c r="E314">
        <f t="shared" si="32"/>
        <v>72767.988774572877</v>
      </c>
    </row>
    <row r="315" spans="1:5" x14ac:dyDescent="0.75">
      <c r="A315">
        <f t="shared" si="33"/>
        <v>45.450000000000088</v>
      </c>
      <c r="B315">
        <f t="shared" si="36"/>
        <v>15.450000000000085</v>
      </c>
      <c r="C315">
        <f t="shared" si="35"/>
        <v>7.6788903599819055E-4</v>
      </c>
      <c r="D315">
        <f t="shared" si="34"/>
        <v>0.04</v>
      </c>
      <c r="E315">
        <f t="shared" si="32"/>
        <v>73037.483541434587</v>
      </c>
    </row>
    <row r="316" spans="1:5" x14ac:dyDescent="0.75">
      <c r="A316">
        <f t="shared" si="33"/>
        <v>45.500000000000085</v>
      </c>
      <c r="B316">
        <f t="shared" si="36"/>
        <v>15.500000000000085</v>
      </c>
      <c r="C316">
        <f t="shared" si="35"/>
        <v>7.7110065254374814E-4</v>
      </c>
      <c r="D316">
        <f t="shared" si="34"/>
        <v>0.04</v>
      </c>
      <c r="E316">
        <f t="shared" si="32"/>
        <v>73307.523297478881</v>
      </c>
    </row>
    <row r="317" spans="1:5" x14ac:dyDescent="0.75">
      <c r="A317">
        <f t="shared" si="33"/>
        <v>45.550000000000082</v>
      </c>
      <c r="B317">
        <f t="shared" si="36"/>
        <v>15.550000000000086</v>
      </c>
      <c r="C317">
        <f t="shared" si="35"/>
        <v>7.743310949466564E-4</v>
      </c>
      <c r="D317">
        <f t="shared" si="34"/>
        <v>0.04</v>
      </c>
      <c r="E317">
        <f t="shared" si="32"/>
        <v>73578.109214763666</v>
      </c>
    </row>
    <row r="318" spans="1:5" x14ac:dyDescent="0.75">
      <c r="A318">
        <f t="shared" si="33"/>
        <v>45.600000000000087</v>
      </c>
      <c r="B318">
        <f t="shared" si="36"/>
        <v>15.600000000000087</v>
      </c>
      <c r="C318">
        <f t="shared" si="35"/>
        <v>7.775804735603468E-4</v>
      </c>
      <c r="D318">
        <f t="shared" si="34"/>
        <v>0.04</v>
      </c>
      <c r="E318">
        <f t="shared" si="32"/>
        <v>73849.242468612079</v>
      </c>
    </row>
    <row r="319" spans="1:5" x14ac:dyDescent="0.75">
      <c r="A319">
        <f t="shared" si="33"/>
        <v>45.650000000000091</v>
      </c>
      <c r="B319">
        <f t="shared" si="36"/>
        <v>15.650000000000087</v>
      </c>
      <c r="C319">
        <f t="shared" si="35"/>
        <v>7.8084889938511988E-4</v>
      </c>
      <c r="D319">
        <f t="shared" si="34"/>
        <v>0.04</v>
      </c>
      <c r="E319">
        <f t="shared" si="32"/>
        <v>74120.924237628045</v>
      </c>
    </row>
    <row r="320" spans="1:5" x14ac:dyDescent="0.75">
      <c r="A320">
        <f t="shared" si="33"/>
        <v>45.700000000000088</v>
      </c>
      <c r="B320">
        <f t="shared" si="36"/>
        <v>15.700000000000088</v>
      </c>
      <c r="C320">
        <f t="shared" si="35"/>
        <v>7.8413648407193765E-4</v>
      </c>
      <c r="D320">
        <f t="shared" si="34"/>
        <v>0.04</v>
      </c>
      <c r="E320">
        <f t="shared" si="32"/>
        <v>74393.155703711993</v>
      </c>
    </row>
    <row r="321" spans="1:5" x14ac:dyDescent="0.75">
      <c r="A321">
        <f t="shared" si="33"/>
        <v>45.750000000000085</v>
      </c>
      <c r="B321">
        <f t="shared" si="36"/>
        <v>15.750000000000089</v>
      </c>
      <c r="C321">
        <f t="shared" si="35"/>
        <v>7.8744333992623893E-4</v>
      </c>
      <c r="D321">
        <f t="shared" si="34"/>
        <v>0.04</v>
      </c>
      <c r="E321">
        <f t="shared" si="32"/>
        <v>74665.938052076686</v>
      </c>
    </row>
    <row r="322" spans="1:5" x14ac:dyDescent="0.75">
      <c r="A322">
        <f t="shared" si="33"/>
        <v>45.80000000000009</v>
      </c>
      <c r="B322">
        <f t="shared" si="36"/>
        <v>15.80000000000009</v>
      </c>
      <c r="C322">
        <f t="shared" si="35"/>
        <v>7.9076957991177461E-4</v>
      </c>
      <c r="D322">
        <f t="shared" si="34"/>
        <v>0.04</v>
      </c>
      <c r="E322">
        <f t="shared" si="32"/>
        <v>74939.272471263117</v>
      </c>
    </row>
    <row r="323" spans="1:5" x14ac:dyDescent="0.75">
      <c r="A323">
        <f t="shared" si="33"/>
        <v>45.850000000000094</v>
      </c>
      <c r="B323">
        <f t="shared" si="36"/>
        <v>15.85000000000009</v>
      </c>
      <c r="C323">
        <f t="shared" si="35"/>
        <v>7.9411531765446585E-4</v>
      </c>
      <c r="D323">
        <f t="shared" si="34"/>
        <v>0.04</v>
      </c>
      <c r="E323">
        <f t="shared" si="32"/>
        <v>75213.160153156641</v>
      </c>
    </row>
    <row r="324" spans="1:5" x14ac:dyDescent="0.75">
      <c r="A324">
        <f t="shared" si="33"/>
        <v>45.900000000000091</v>
      </c>
      <c r="B324">
        <f t="shared" si="36"/>
        <v>15.900000000000091</v>
      </c>
      <c r="C324">
        <f t="shared" si="35"/>
        <v>7.9748066744628622E-4</v>
      </c>
      <c r="D324">
        <f t="shared" si="34"/>
        <v>0.04</v>
      </c>
      <c r="E324">
        <f t="shared" si="32"/>
        <v>75487.60229300303</v>
      </c>
    </row>
    <row r="325" spans="1:5" x14ac:dyDescent="0.75">
      <c r="A325">
        <f t="shared" si="33"/>
        <v>45.950000000000088</v>
      </c>
      <c r="B325">
        <f t="shared" si="36"/>
        <v>15.950000000000092</v>
      </c>
      <c r="C325">
        <f t="shared" si="35"/>
        <v>8.0086574424916631E-4</v>
      </c>
      <c r="D325">
        <f t="shared" si="34"/>
        <v>0.04</v>
      </c>
      <c r="E325">
        <f t="shared" si="32"/>
        <v>75762.600089424828</v>
      </c>
    </row>
    <row r="326" spans="1:5" x14ac:dyDescent="0.75">
      <c r="A326">
        <f t="shared" si="33"/>
        <v>46.000000000000092</v>
      </c>
      <c r="B326">
        <f t="shared" si="36"/>
        <v>16.000000000000092</v>
      </c>
      <c r="C326">
        <f t="shared" si="35"/>
        <v>8.0427066369892269E-4</v>
      </c>
      <c r="D326">
        <f t="shared" si="34"/>
        <v>0.04</v>
      </c>
      <c r="E326">
        <f t="shared" ref="E326:E389" si="37">(E327 -$D$2*$B$2+$D$2*C326*$C$2)/(1+$D$2*D326+$D$2*C326)</f>
        <v>76038.154744437779</v>
      </c>
    </row>
    <row r="327" spans="1:5" x14ac:dyDescent="0.75">
      <c r="A327">
        <f t="shared" ref="A327:A390" si="38">$A$2+B327</f>
        <v>46.050000000000097</v>
      </c>
      <c r="B327">
        <f t="shared" si="36"/>
        <v>16.050000000000093</v>
      </c>
      <c r="C327">
        <f t="shared" si="35"/>
        <v>8.0769554210920332E-4</v>
      </c>
      <c r="D327">
        <f t="shared" ref="D327:D390" si="39">0.04</f>
        <v>0.04</v>
      </c>
      <c r="E327">
        <f t="shared" si="37"/>
        <v>76314.267463467288</v>
      </c>
    </row>
    <row r="328" spans="1:5" x14ac:dyDescent="0.75">
      <c r="A328">
        <f t="shared" si="38"/>
        <v>46.100000000000094</v>
      </c>
      <c r="B328">
        <f t="shared" si="36"/>
        <v>16.100000000000094</v>
      </c>
      <c r="C328">
        <f t="shared" si="35"/>
        <v>8.1114049647546395E-4</v>
      </c>
      <c r="D328">
        <f t="shared" si="39"/>
        <v>0.04</v>
      </c>
      <c r="E328">
        <f t="shared" si="37"/>
        <v>76590.939455365151</v>
      </c>
    </row>
    <row r="329" spans="1:5" x14ac:dyDescent="0.75">
      <c r="A329">
        <f t="shared" si="38"/>
        <v>46.150000000000091</v>
      </c>
      <c r="B329">
        <f t="shared" si="36"/>
        <v>16.150000000000095</v>
      </c>
      <c r="C329">
        <f t="shared" si="35"/>
        <v>8.1460564447896578E-4</v>
      </c>
      <c r="D329">
        <f t="shared" si="39"/>
        <v>0.04</v>
      </c>
      <c r="E329">
        <f t="shared" si="37"/>
        <v>76868.171932426281</v>
      </c>
    </row>
    <row r="330" spans="1:5" x14ac:dyDescent="0.75">
      <c r="A330">
        <f t="shared" si="38"/>
        <v>46.200000000000095</v>
      </c>
      <c r="B330">
        <f t="shared" si="36"/>
        <v>16.200000000000095</v>
      </c>
      <c r="C330">
        <f t="shared" si="35"/>
        <v>8.1809110449079423E-4</v>
      </c>
      <c r="D330">
        <f t="shared" si="39"/>
        <v>0.04</v>
      </c>
      <c r="E330">
        <f t="shared" si="37"/>
        <v>77145.96611040557</v>
      </c>
    </row>
    <row r="331" spans="1:5" x14ac:dyDescent="0.75">
      <c r="A331">
        <f t="shared" si="38"/>
        <v>46.250000000000099</v>
      </c>
      <c r="B331">
        <f t="shared" si="36"/>
        <v>16.250000000000096</v>
      </c>
      <c r="C331">
        <f t="shared" si="35"/>
        <v>8.2159699557590087E-4</v>
      </c>
      <c r="D331">
        <f t="shared" si="39"/>
        <v>0.04</v>
      </c>
      <c r="E331">
        <f t="shared" si="37"/>
        <v>77424.323208535046</v>
      </c>
    </row>
    <row r="332" spans="1:5" x14ac:dyDescent="0.75">
      <c r="A332">
        <f t="shared" si="38"/>
        <v>46.300000000000097</v>
      </c>
      <c r="B332">
        <f t="shared" si="36"/>
        <v>16.300000000000097</v>
      </c>
      <c r="C332">
        <f t="shared" si="35"/>
        <v>8.2512343749717269E-4</v>
      </c>
      <c r="D332">
        <f t="shared" si="39"/>
        <v>0.04</v>
      </c>
      <c r="E332">
        <f t="shared" si="37"/>
        <v>77703.244449540871</v>
      </c>
    </row>
    <row r="333" spans="1:5" x14ac:dyDescent="0.75">
      <c r="A333">
        <f t="shared" si="38"/>
        <v>46.350000000000094</v>
      </c>
      <c r="B333">
        <f t="shared" si="36"/>
        <v>16.350000000000097</v>
      </c>
      <c r="C333">
        <f t="shared" si="35"/>
        <v>8.2867055071952412E-4</v>
      </c>
      <c r="D333">
        <f t="shared" si="39"/>
        <v>0.04</v>
      </c>
      <c r="E333">
        <f t="shared" si="37"/>
        <v>77982.731059660713</v>
      </c>
    </row>
    <row r="334" spans="1:5" x14ac:dyDescent="0.75">
      <c r="A334">
        <f t="shared" si="38"/>
        <v>46.400000000000098</v>
      </c>
      <c r="B334">
        <f t="shared" si="36"/>
        <v>16.400000000000098</v>
      </c>
      <c r="C334">
        <f t="shared" si="35"/>
        <v>8.3223845641401033E-4</v>
      </c>
      <c r="D334">
        <f t="shared" si="39"/>
        <v>0.04</v>
      </c>
      <c r="E334">
        <f t="shared" si="37"/>
        <v>78262.784268661126</v>
      </c>
    </row>
    <row r="335" spans="1:5" x14ac:dyDescent="0.75">
      <c r="A335">
        <f t="shared" si="38"/>
        <v>46.450000000000102</v>
      </c>
      <c r="B335">
        <f t="shared" si="36"/>
        <v>16.450000000000099</v>
      </c>
      <c r="C335">
        <f t="shared" si="35"/>
        <v>8.3582727646196739E-4</v>
      </c>
      <c r="D335">
        <f t="shared" si="39"/>
        <v>0.04</v>
      </c>
      <c r="E335">
        <f t="shared" si="37"/>
        <v>78543.405309855079</v>
      </c>
    </row>
    <row r="336" spans="1:5" x14ac:dyDescent="0.75">
      <c r="A336">
        <f t="shared" si="38"/>
        <v>46.500000000000099</v>
      </c>
      <c r="B336">
        <f t="shared" si="36"/>
        <v>16.500000000000099</v>
      </c>
      <c r="C336">
        <f t="shared" si="35"/>
        <v>8.39437133459174E-4</v>
      </c>
      <c r="D336">
        <f t="shared" si="39"/>
        <v>0.04</v>
      </c>
      <c r="E336">
        <f t="shared" si="37"/>
        <v>78824.595420119687</v>
      </c>
    </row>
    <row r="337" spans="1:5" x14ac:dyDescent="0.75">
      <c r="A337">
        <f t="shared" si="38"/>
        <v>46.550000000000097</v>
      </c>
      <c r="B337">
        <f t="shared" si="36"/>
        <v>16.5500000000001</v>
      </c>
      <c r="C337">
        <f t="shared" si="35"/>
        <v>8.4306815072004288E-4</v>
      </c>
      <c r="D337">
        <f t="shared" si="39"/>
        <v>0.04</v>
      </c>
      <c r="E337">
        <f t="shared" si="37"/>
        <v>79106.355839913915</v>
      </c>
    </row>
    <row r="338" spans="1:5" x14ac:dyDescent="0.75">
      <c r="A338">
        <f t="shared" si="38"/>
        <v>46.600000000000101</v>
      </c>
      <c r="B338">
        <f t="shared" si="36"/>
        <v>16.600000000000101</v>
      </c>
      <c r="C338">
        <f t="shared" si="35"/>
        <v>8.4672045228183094E-4</v>
      </c>
      <c r="D338">
        <f t="shared" si="39"/>
        <v>0.04</v>
      </c>
      <c r="E338">
        <f t="shared" si="37"/>
        <v>79388.687813296565</v>
      </c>
    </row>
    <row r="339" spans="1:5" x14ac:dyDescent="0.75">
      <c r="A339">
        <f t="shared" si="38"/>
        <v>46.650000000000105</v>
      </c>
      <c r="B339">
        <f t="shared" si="36"/>
        <v>16.650000000000102</v>
      </c>
      <c r="C339">
        <f t="shared" si="35"/>
        <v>8.5039416290887582E-4</v>
      </c>
      <c r="D339">
        <f t="shared" si="39"/>
        <v>0.04</v>
      </c>
      <c r="E339">
        <f t="shared" si="37"/>
        <v>79671.592587944324</v>
      </c>
    </row>
    <row r="340" spans="1:5" x14ac:dyDescent="0.75">
      <c r="A340">
        <f t="shared" si="38"/>
        <v>46.700000000000102</v>
      </c>
      <c r="B340">
        <f t="shared" si="36"/>
        <v>16.700000000000102</v>
      </c>
      <c r="C340">
        <f t="shared" si="35"/>
        <v>8.5408940809685897E-4</v>
      </c>
      <c r="D340">
        <f t="shared" si="39"/>
        <v>0.04</v>
      </c>
      <c r="E340">
        <f t="shared" si="37"/>
        <v>79955.071415169994</v>
      </c>
    </row>
    <row r="341" spans="1:5" x14ac:dyDescent="0.75">
      <c r="A341">
        <f t="shared" si="38"/>
        <v>46.750000000000099</v>
      </c>
      <c r="B341">
        <f t="shared" si="36"/>
        <v>16.750000000000103</v>
      </c>
      <c r="C341">
        <f t="shared" si="35"/>
        <v>8.5780631407709367E-4</v>
      </c>
      <c r="D341">
        <f t="shared" si="39"/>
        <v>0.04</v>
      </c>
      <c r="E341">
        <f t="shared" si="37"/>
        <v>80239.125549940814</v>
      </c>
    </row>
    <row r="342" spans="1:5" x14ac:dyDescent="0.75">
      <c r="A342">
        <f t="shared" si="38"/>
        <v>46.800000000000104</v>
      </c>
      <c r="B342">
        <f t="shared" si="36"/>
        <v>16.800000000000104</v>
      </c>
      <c r="C342">
        <f t="shared" si="35"/>
        <v>8.615450078208359E-4</v>
      </c>
      <c r="D342">
        <f t="shared" si="39"/>
        <v>0.04</v>
      </c>
      <c r="E342">
        <f t="shared" si="37"/>
        <v>80523.756250896957</v>
      </c>
    </row>
    <row r="343" spans="1:5" x14ac:dyDescent="0.75">
      <c r="A343">
        <f t="shared" si="38"/>
        <v>46.850000000000108</v>
      </c>
      <c r="B343">
        <f t="shared" si="36"/>
        <v>16.850000000000104</v>
      </c>
      <c r="C343">
        <f t="shared" si="35"/>
        <v>8.6530561704362087E-4</v>
      </c>
      <c r="D343">
        <f t="shared" si="39"/>
        <v>0.04</v>
      </c>
      <c r="E343">
        <f t="shared" si="37"/>
        <v>80808.964780370094</v>
      </c>
    </row>
    <row r="344" spans="1:5" x14ac:dyDescent="0.75">
      <c r="A344">
        <f t="shared" si="38"/>
        <v>46.900000000000105</v>
      </c>
      <c r="B344">
        <f t="shared" si="36"/>
        <v>16.900000000000105</v>
      </c>
      <c r="C344">
        <f t="shared" si="35"/>
        <v>8.6908827020962633E-4</v>
      </c>
      <c r="D344">
        <f t="shared" si="39"/>
        <v>0.04</v>
      </c>
      <c r="E344">
        <f t="shared" si="37"/>
        <v>81094.752404402214</v>
      </c>
    </row>
    <row r="345" spans="1:5" x14ac:dyDescent="0.75">
      <c r="A345">
        <f t="shared" si="38"/>
        <v>46.950000000000102</v>
      </c>
      <c r="B345">
        <f t="shared" si="36"/>
        <v>16.950000000000106</v>
      </c>
      <c r="C345">
        <f t="shared" si="35"/>
        <v>8.728930965360641E-4</v>
      </c>
      <c r="D345">
        <f t="shared" si="39"/>
        <v>0.04</v>
      </c>
      <c r="E345">
        <f t="shared" si="37"/>
        <v>81381.120392764467</v>
      </c>
    </row>
    <row r="346" spans="1:5" x14ac:dyDescent="0.75">
      <c r="A346">
        <f t="shared" si="38"/>
        <v>47.000000000000107</v>
      </c>
      <c r="B346">
        <f t="shared" si="36"/>
        <v>17.000000000000107</v>
      </c>
      <c r="C346">
        <f t="shared" si="35"/>
        <v>8.7672022599759032E-4</v>
      </c>
      <c r="D346">
        <f t="shared" si="39"/>
        <v>0.04</v>
      </c>
      <c r="E346">
        <f t="shared" si="37"/>
        <v>81668.070018976287</v>
      </c>
    </row>
    <row r="347" spans="1:5" x14ac:dyDescent="0.75">
      <c r="A347">
        <f t="shared" si="38"/>
        <v>47.050000000000111</v>
      </c>
      <c r="B347">
        <f t="shared" si="36"/>
        <v>17.050000000000107</v>
      </c>
      <c r="C347">
        <f t="shared" si="35"/>
        <v>8.8056978933074572E-4</v>
      </c>
      <c r="D347">
        <f t="shared" si="39"/>
        <v>0.04</v>
      </c>
      <c r="E347">
        <f t="shared" si="37"/>
        <v>81955.602560324449</v>
      </c>
    </row>
    <row r="348" spans="1:5" x14ac:dyDescent="0.75">
      <c r="A348">
        <f t="shared" si="38"/>
        <v>47.100000000000108</v>
      </c>
      <c r="B348">
        <f t="shared" si="36"/>
        <v>17.100000000000108</v>
      </c>
      <c r="C348">
        <f t="shared" si="35"/>
        <v>8.8444191803842276E-4</v>
      </c>
      <c r="D348">
        <f t="shared" si="39"/>
        <v>0.04</v>
      </c>
      <c r="E348">
        <f t="shared" si="37"/>
        <v>82243.71929788249</v>
      </c>
    </row>
    <row r="349" spans="1:5" x14ac:dyDescent="0.75">
      <c r="A349">
        <f t="shared" si="38"/>
        <v>47.150000000000105</v>
      </c>
      <c r="B349">
        <f t="shared" si="36"/>
        <v>17.150000000000109</v>
      </c>
      <c r="C349">
        <f t="shared" si="35"/>
        <v>8.8833674439435886E-4</v>
      </c>
      <c r="D349">
        <f t="shared" si="39"/>
        <v>0.04</v>
      </c>
      <c r="E349">
        <f t="shared" si="37"/>
        <v>82532.421516530172</v>
      </c>
    </row>
    <row r="350" spans="1:5" x14ac:dyDescent="0.75">
      <c r="A350">
        <f t="shared" si="38"/>
        <v>47.200000000000109</v>
      </c>
      <c r="B350">
        <f t="shared" si="36"/>
        <v>17.200000000000109</v>
      </c>
      <c r="C350">
        <f t="shared" si="35"/>
        <v>8.9225440144765386E-4</v>
      </c>
      <c r="D350">
        <f t="shared" si="39"/>
        <v>0.04</v>
      </c>
      <c r="E350">
        <f t="shared" si="37"/>
        <v>82821.710504973118</v>
      </c>
    </row>
    <row r="351" spans="1:5" x14ac:dyDescent="0.75">
      <c r="A351">
        <f t="shared" si="38"/>
        <v>47.250000000000114</v>
      </c>
      <c r="B351">
        <f t="shared" si="36"/>
        <v>17.25000000000011</v>
      </c>
      <c r="C351">
        <f t="shared" si="35"/>
        <v>8.961950230273138E-4</v>
      </c>
      <c r="D351">
        <f t="shared" si="39"/>
        <v>0.04</v>
      </c>
      <c r="E351">
        <f t="shared" si="37"/>
        <v>83111.587555762511</v>
      </c>
    </row>
    <row r="352" spans="1:5" x14ac:dyDescent="0.75">
      <c r="A352">
        <f t="shared" si="38"/>
        <v>47.300000000000111</v>
      </c>
      <c r="B352">
        <f t="shared" si="36"/>
        <v>17.300000000000111</v>
      </c>
      <c r="C352">
        <f t="shared" si="35"/>
        <v>9.0015874374682343E-4</v>
      </c>
      <c r="D352">
        <f t="shared" si="39"/>
        <v>0.04</v>
      </c>
      <c r="E352">
        <f t="shared" si="37"/>
        <v>83402.053965315077</v>
      </c>
    </row>
    <row r="353" spans="1:5" x14ac:dyDescent="0.75">
      <c r="A353">
        <f t="shared" si="38"/>
        <v>47.350000000000108</v>
      </c>
      <c r="B353">
        <f t="shared" si="36"/>
        <v>17.350000000000112</v>
      </c>
      <c r="C353">
        <f t="shared" si="35"/>
        <v>9.0414569900874647E-4</v>
      </c>
      <c r="D353">
        <f t="shared" si="39"/>
        <v>0.04</v>
      </c>
      <c r="E353">
        <f t="shared" si="37"/>
        <v>83693.11103393315</v>
      </c>
    </row>
    <row r="354" spans="1:5" x14ac:dyDescent="0.75">
      <c r="A354">
        <f t="shared" si="38"/>
        <v>47.400000000000112</v>
      </c>
      <c r="B354">
        <f t="shared" si="36"/>
        <v>17.400000000000112</v>
      </c>
      <c r="C354">
        <f t="shared" si="35"/>
        <v>9.0815602500934878E-4</v>
      </c>
      <c r="D354">
        <f t="shared" si="39"/>
        <v>0.04</v>
      </c>
      <c r="E354">
        <f t="shared" si="37"/>
        <v>83984.76006582487</v>
      </c>
    </row>
    <row r="355" spans="1:5" x14ac:dyDescent="0.75">
      <c r="A355">
        <f t="shared" si="38"/>
        <v>47.450000000000117</v>
      </c>
      <c r="B355">
        <f t="shared" si="36"/>
        <v>17.450000000000113</v>
      </c>
      <c r="C355">
        <f t="shared" si="35"/>
        <v>9.121898587432526E-4</v>
      </c>
      <c r="D355">
        <f t="shared" si="39"/>
        <v>0.04</v>
      </c>
      <c r="E355">
        <f t="shared" si="37"/>
        <v>84277.002369124617</v>
      </c>
    </row>
    <row r="356" spans="1:5" x14ac:dyDescent="0.75">
      <c r="A356">
        <f t="shared" si="38"/>
        <v>47.500000000000114</v>
      </c>
      <c r="B356">
        <f t="shared" si="36"/>
        <v>17.500000000000114</v>
      </c>
      <c r="C356">
        <f t="shared" si="35"/>
        <v>9.1624733800811284E-4</v>
      </c>
      <c r="D356">
        <f t="shared" si="39"/>
        <v>0.04</v>
      </c>
      <c r="E356">
        <f t="shared" si="37"/>
        <v>84569.839255913452</v>
      </c>
    </row>
    <row r="357" spans="1:5" x14ac:dyDescent="0.75">
      <c r="A357">
        <f t="shared" si="38"/>
        <v>47.550000000000111</v>
      </c>
      <c r="B357">
        <f t="shared" si="36"/>
        <v>17.550000000000114</v>
      </c>
      <c r="C357">
        <f t="shared" si="35"/>
        <v>9.2032860140932955E-4</v>
      </c>
      <c r="D357">
        <f t="shared" si="39"/>
        <v>0.04</v>
      </c>
      <c r="E357">
        <f t="shared" si="37"/>
        <v>84863.272042239943</v>
      </c>
    </row>
    <row r="358" spans="1:5" x14ac:dyDescent="0.75">
      <c r="A358">
        <f t="shared" si="38"/>
        <v>47.600000000000115</v>
      </c>
      <c r="B358">
        <f t="shared" si="36"/>
        <v>17.600000000000115</v>
      </c>
      <c r="C358">
        <f t="shared" si="35"/>
        <v>9.2443378836477928E-4</v>
      </c>
      <c r="D358">
        <f t="shared" si="39"/>
        <v>0.04</v>
      </c>
      <c r="E358">
        <f t="shared" si="37"/>
        <v>85157.30204814086</v>
      </c>
    </row>
    <row r="359" spans="1:5" x14ac:dyDescent="0.75">
      <c r="A359">
        <f t="shared" si="38"/>
        <v>47.650000000000119</v>
      </c>
      <c r="B359">
        <f t="shared" si="36"/>
        <v>17.650000000000116</v>
      </c>
      <c r="C359">
        <f t="shared" si="35"/>
        <v>9.2856303910957775E-4</v>
      </c>
      <c r="D359">
        <f t="shared" si="39"/>
        <v>0.04</v>
      </c>
      <c r="E359">
        <f t="shared" si="37"/>
        <v>85451.930597662271</v>
      </c>
    </row>
    <row r="360" spans="1:5" x14ac:dyDescent="0.75">
      <c r="A360">
        <f t="shared" si="38"/>
        <v>47.700000000000117</v>
      </c>
      <c r="B360">
        <f t="shared" si="36"/>
        <v>17.700000000000117</v>
      </c>
      <c r="C360">
        <f t="shared" si="35"/>
        <v>9.3271649470087086E-4</v>
      </c>
      <c r="D360">
        <f t="shared" si="39"/>
        <v>0.04</v>
      </c>
      <c r="E360">
        <f t="shared" si="37"/>
        <v>85747.159018880717</v>
      </c>
    </row>
    <row r="361" spans="1:5" x14ac:dyDescent="0.75">
      <c r="A361">
        <f t="shared" si="38"/>
        <v>47.750000000000114</v>
      </c>
      <c r="B361">
        <f t="shared" si="36"/>
        <v>17.750000000000117</v>
      </c>
      <c r="C361">
        <f t="shared" si="35"/>
        <v>9.3689429702265459E-4</v>
      </c>
      <c r="D361">
        <f t="shared" si="39"/>
        <v>0.04</v>
      </c>
      <c r="E361">
        <f t="shared" si="37"/>
        <v>86042.988643924517</v>
      </c>
    </row>
    <row r="362" spans="1:5" x14ac:dyDescent="0.75">
      <c r="A362">
        <f t="shared" si="38"/>
        <v>47.800000000000118</v>
      </c>
      <c r="B362">
        <f t="shared" si="36"/>
        <v>17.800000000000118</v>
      </c>
      <c r="C362">
        <f t="shared" si="35"/>
        <v>9.4109658879062085E-4</v>
      </c>
      <c r="D362">
        <f t="shared" si="39"/>
        <v>0.04</v>
      </c>
      <c r="E362">
        <f t="shared" si="37"/>
        <v>86339.420808995215</v>
      </c>
    </row>
    <row r="363" spans="1:5" x14ac:dyDescent="0.75">
      <c r="A363">
        <f t="shared" si="38"/>
        <v>47.850000000000122</v>
      </c>
      <c r="B363">
        <f t="shared" si="36"/>
        <v>17.850000000000119</v>
      </c>
      <c r="C363">
        <f t="shared" si="35"/>
        <v>9.4532351355703054E-4</v>
      </c>
      <c r="D363">
        <f t="shared" si="39"/>
        <v>0.04</v>
      </c>
      <c r="E363">
        <f t="shared" si="37"/>
        <v>86636.456854389326</v>
      </c>
    </row>
    <row r="364" spans="1:5" x14ac:dyDescent="0.75">
      <c r="A364">
        <f t="shared" si="38"/>
        <v>47.900000000000119</v>
      </c>
      <c r="B364">
        <f t="shared" si="36"/>
        <v>17.900000000000119</v>
      </c>
      <c r="C364">
        <f t="shared" si="35"/>
        <v>9.4957521571562128E-4</v>
      </c>
      <c r="D364">
        <f t="shared" si="39"/>
        <v>0.04</v>
      </c>
      <c r="E364">
        <f t="shared" si="37"/>
        <v>86934.098124520111</v>
      </c>
    </row>
    <row r="365" spans="1:5" x14ac:dyDescent="0.75">
      <c r="A365">
        <f t="shared" si="38"/>
        <v>47.950000000000117</v>
      </c>
      <c r="B365">
        <f t="shared" si="36"/>
        <v>17.95000000000012</v>
      </c>
      <c r="C365">
        <f t="shared" si="35"/>
        <v>9.5385184050653733E-4</v>
      </c>
      <c r="D365">
        <f t="shared" si="39"/>
        <v>0.04</v>
      </c>
      <c r="E365">
        <f t="shared" si="37"/>
        <v>87232.34596793956</v>
      </c>
    </row>
    <row r="366" spans="1:5" x14ac:dyDescent="0.75">
      <c r="A366">
        <f t="shared" si="38"/>
        <v>48.000000000000121</v>
      </c>
      <c r="B366">
        <f t="shared" si="36"/>
        <v>18.000000000000121</v>
      </c>
      <c r="C366">
        <f t="shared" si="35"/>
        <v>9.5815353402129279E-4</v>
      </c>
      <c r="D366">
        <f t="shared" si="39"/>
        <v>0.04</v>
      </c>
      <c r="E366">
        <f t="shared" si="37"/>
        <v>87531.201737360578</v>
      </c>
    </row>
    <row r="367" spans="1:5" x14ac:dyDescent="0.75">
      <c r="A367">
        <f t="shared" si="38"/>
        <v>48.050000000000125</v>
      </c>
      <c r="B367">
        <f t="shared" si="36"/>
        <v>18.050000000000122</v>
      </c>
      <c r="C367">
        <f t="shared" si="35"/>
        <v>9.6248044320775949E-4</v>
      </c>
      <c r="D367">
        <f t="shared" si="39"/>
        <v>0.04</v>
      </c>
      <c r="E367">
        <f t="shared" si="37"/>
        <v>87830.666789679293</v>
      </c>
    </row>
    <row r="368" spans="1:5" x14ac:dyDescent="0.75">
      <c r="A368">
        <f t="shared" si="38"/>
        <v>48.100000000000122</v>
      </c>
      <c r="B368">
        <f t="shared" si="36"/>
        <v>18.100000000000122</v>
      </c>
      <c r="C368">
        <f t="shared" ref="C368:C406" si="40">0.00022  + 0.0000027*1.124^A368</f>
        <v>9.6683271587518849E-4</v>
      </c>
      <c r="D368">
        <f t="shared" si="39"/>
        <v>0.04</v>
      </c>
      <c r="E368">
        <f t="shared" si="37"/>
        <v>88130.742485997558</v>
      </c>
    </row>
    <row r="369" spans="1:5" x14ac:dyDescent="0.75">
      <c r="A369">
        <f t="shared" si="38"/>
        <v>48.150000000000119</v>
      </c>
      <c r="B369">
        <f t="shared" si="36"/>
        <v>18.150000000000123</v>
      </c>
      <c r="C369">
        <f t="shared" si="40"/>
        <v>9.7121050069926072E-4</v>
      </c>
      <c r="D369">
        <f t="shared" si="39"/>
        <v>0.04</v>
      </c>
      <c r="E369">
        <f t="shared" si="37"/>
        <v>88431.430191645661</v>
      </c>
    </row>
    <row r="370" spans="1:5" x14ac:dyDescent="0.75">
      <c r="A370">
        <f t="shared" si="38"/>
        <v>48.200000000000124</v>
      </c>
      <c r="B370">
        <f t="shared" si="36"/>
        <v>18.200000000000124</v>
      </c>
      <c r="C370">
        <f t="shared" si="40"/>
        <v>9.7561394722716428E-4</v>
      </c>
      <c r="D370">
        <f t="shared" si="39"/>
        <v>0.04</v>
      </c>
      <c r="E370">
        <f t="shared" si="37"/>
        <v>88732.731276205144</v>
      </c>
    </row>
    <row r="371" spans="1:5" x14ac:dyDescent="0.75">
      <c r="A371">
        <f t="shared" si="38"/>
        <v>48.250000000000128</v>
      </c>
      <c r="B371">
        <f t="shared" si="36"/>
        <v>18.250000000000124</v>
      </c>
      <c r="C371">
        <f t="shared" si="40"/>
        <v>9.8004320588270205E-4</v>
      </c>
      <c r="D371">
        <f t="shared" si="39"/>
        <v>0.04</v>
      </c>
      <c r="E371">
        <f t="shared" si="37"/>
        <v>89034.647113531842</v>
      </c>
    </row>
    <row r="372" spans="1:5" x14ac:dyDescent="0.75">
      <c r="A372">
        <f t="shared" si="38"/>
        <v>48.300000000000125</v>
      </c>
      <c r="B372">
        <f t="shared" si="36"/>
        <v>18.300000000000125</v>
      </c>
      <c r="C372">
        <f t="shared" si="40"/>
        <v>9.8449842797143096E-4</v>
      </c>
      <c r="D372">
        <f t="shared" si="39"/>
        <v>0.04</v>
      </c>
      <c r="E372">
        <f t="shared" si="37"/>
        <v>89337.179081779075</v>
      </c>
    </row>
    <row r="373" spans="1:5" x14ac:dyDescent="0.75">
      <c r="A373">
        <f t="shared" si="38"/>
        <v>48.350000000000122</v>
      </c>
      <c r="B373">
        <f t="shared" si="36"/>
        <v>18.350000000000126</v>
      </c>
      <c r="C373">
        <f t="shared" si="40"/>
        <v>9.8897976568583165E-4</v>
      </c>
      <c r="D373">
        <f t="shared" si="39"/>
        <v>0.04</v>
      </c>
      <c r="E373">
        <f t="shared" si="37"/>
        <v>89640.328563421048</v>
      </c>
    </row>
    <row r="374" spans="1:5" x14ac:dyDescent="0.75">
      <c r="A374">
        <f t="shared" si="38"/>
        <v>48.400000000000126</v>
      </c>
      <c r="B374">
        <f t="shared" si="36"/>
        <v>18.400000000000126</v>
      </c>
      <c r="C374">
        <f t="shared" si="40"/>
        <v>9.9348737211050944E-4</v>
      </c>
      <c r="D374">
        <f t="shared" si="39"/>
        <v>0.04</v>
      </c>
      <c r="E374">
        <f t="shared" si="37"/>
        <v>89944.096945276397</v>
      </c>
    </row>
    <row r="375" spans="1:5" x14ac:dyDescent="0.75">
      <c r="A375">
        <f t="shared" si="38"/>
        <v>48.450000000000131</v>
      </c>
      <c r="B375">
        <f t="shared" ref="B375:B406" si="41">B374+$D$2</f>
        <v>18.450000000000127</v>
      </c>
      <c r="C375">
        <f t="shared" si="40"/>
        <v>9.9802140122741715E-4</v>
      </c>
      <c r="D375">
        <f t="shared" si="39"/>
        <v>0.04</v>
      </c>
      <c r="E375">
        <f t="shared" si="37"/>
        <v>90248.485618531951</v>
      </c>
    </row>
    <row r="376" spans="1:5" x14ac:dyDescent="0.75">
      <c r="A376">
        <f t="shared" si="38"/>
        <v>48.500000000000128</v>
      </c>
      <c r="B376">
        <f t="shared" si="41"/>
        <v>18.500000000000128</v>
      </c>
      <c r="C376">
        <f t="shared" si="40"/>
        <v>1.0025820079211203E-3</v>
      </c>
      <c r="D376">
        <f t="shared" si="39"/>
        <v>0.04</v>
      </c>
      <c r="E376">
        <f t="shared" si="37"/>
        <v>90553.495978766674</v>
      </c>
    </row>
    <row r="377" spans="1:5" x14ac:dyDescent="0.75">
      <c r="A377">
        <f t="shared" si="38"/>
        <v>48.550000000000125</v>
      </c>
      <c r="B377">
        <f t="shared" si="41"/>
        <v>18.550000000000129</v>
      </c>
      <c r="C377">
        <f t="shared" si="40"/>
        <v>1.0071693479840878E-3</v>
      </c>
      <c r="D377">
        <f t="shared" si="39"/>
        <v>0.04</v>
      </c>
      <c r="E377">
        <f t="shared" si="37"/>
        <v>90859.129425975741</v>
      </c>
    </row>
    <row r="378" spans="1:5" x14ac:dyDescent="0.75">
      <c r="A378">
        <f t="shared" si="38"/>
        <v>48.600000000000129</v>
      </c>
      <c r="B378">
        <f t="shared" si="41"/>
        <v>18.600000000000129</v>
      </c>
      <c r="C378">
        <f t="shared" si="40"/>
        <v>1.0117835781220134E-3</v>
      </c>
      <c r="D378">
        <f t="shared" si="39"/>
        <v>0.04</v>
      </c>
      <c r="E378">
        <f t="shared" si="37"/>
        <v>91165.387364594892</v>
      </c>
    </row>
    <row r="379" spans="1:5" x14ac:dyDescent="0.75">
      <c r="A379">
        <f t="shared" si="38"/>
        <v>48.650000000000134</v>
      </c>
      <c r="B379">
        <f t="shared" si="41"/>
        <v>18.65000000000013</v>
      </c>
      <c r="C379">
        <f t="shared" si="40"/>
        <v>1.0164248559591668E-3</v>
      </c>
      <c r="D379">
        <f t="shared" si="39"/>
        <v>0.04</v>
      </c>
      <c r="E379">
        <f t="shared" si="37"/>
        <v>91472.271203524899</v>
      </c>
    </row>
    <row r="380" spans="1:5" x14ac:dyDescent="0.75">
      <c r="A380">
        <f t="shared" si="38"/>
        <v>48.700000000000131</v>
      </c>
      <c r="B380">
        <f t="shared" si="41"/>
        <v>18.700000000000131</v>
      </c>
      <c r="C380">
        <f t="shared" si="40"/>
        <v>1.0210933400437803E-3</v>
      </c>
      <c r="D380">
        <f t="shared" si="39"/>
        <v>0.04</v>
      </c>
      <c r="E380">
        <f t="shared" si="37"/>
        <v>91779.782356156255</v>
      </c>
    </row>
    <row r="381" spans="1:5" x14ac:dyDescent="0.75">
      <c r="A381">
        <f t="shared" si="38"/>
        <v>48.750000000000128</v>
      </c>
      <c r="B381">
        <f t="shared" si="41"/>
        <v>18.750000000000131</v>
      </c>
      <c r="C381">
        <f t="shared" si="40"/>
        <v>1.0257891898534652E-3</v>
      </c>
      <c r="D381">
        <f t="shared" si="39"/>
        <v>0.04</v>
      </c>
      <c r="E381">
        <f t="shared" si="37"/>
        <v>92087.92224039408</v>
      </c>
    </row>
    <row r="382" spans="1:5" x14ac:dyDescent="0.75">
      <c r="A382">
        <f t="shared" si="38"/>
        <v>48.800000000000132</v>
      </c>
      <c r="B382">
        <f t="shared" si="41"/>
        <v>18.800000000000132</v>
      </c>
      <c r="C382">
        <f t="shared" si="40"/>
        <v>1.0305125658006586E-3</v>
      </c>
      <c r="D382">
        <f t="shared" si="39"/>
        <v>0.04</v>
      </c>
      <c r="E382">
        <f t="shared" si="37"/>
        <v>92396.692278683113</v>
      </c>
    </row>
    <row r="383" spans="1:5" x14ac:dyDescent="0.75">
      <c r="A383">
        <f t="shared" si="38"/>
        <v>48.850000000000136</v>
      </c>
      <c r="B383">
        <f t="shared" si="41"/>
        <v>18.850000000000133</v>
      </c>
      <c r="C383">
        <f t="shared" si="40"/>
        <v>1.0352636292381037E-3</v>
      </c>
      <c r="D383">
        <f t="shared" si="39"/>
        <v>0.04</v>
      </c>
      <c r="E383">
        <f t="shared" si="37"/>
        <v>92706.093898033068</v>
      </c>
    </row>
    <row r="384" spans="1:5" x14ac:dyDescent="0.75">
      <c r="A384">
        <f t="shared" si="38"/>
        <v>48.900000000000134</v>
      </c>
      <c r="B384">
        <f t="shared" si="41"/>
        <v>18.900000000000134</v>
      </c>
      <c r="C384">
        <f t="shared" si="40"/>
        <v>1.0400425424643596E-3</v>
      </c>
      <c r="D384">
        <f t="shared" si="39"/>
        <v>0.04</v>
      </c>
      <c r="E384">
        <f t="shared" si="37"/>
        <v>93016.128530044007</v>
      </c>
    </row>
    <row r="385" spans="1:5" x14ac:dyDescent="0.75">
      <c r="A385">
        <f t="shared" si="38"/>
        <v>48.950000000000131</v>
      </c>
      <c r="B385">
        <f t="shared" si="41"/>
        <v>18.950000000000134</v>
      </c>
      <c r="C385">
        <f t="shared" si="40"/>
        <v>1.0448494687293494E-3</v>
      </c>
      <c r="D385">
        <f t="shared" si="39"/>
        <v>0.04</v>
      </c>
      <c r="E385">
        <f t="shared" si="37"/>
        <v>93326.797610932103</v>
      </c>
    </row>
    <row r="386" spans="1:5" x14ac:dyDescent="0.75">
      <c r="A386">
        <f t="shared" si="38"/>
        <v>49.000000000000135</v>
      </c>
      <c r="B386">
        <f t="shared" si="41"/>
        <v>19.000000000000135</v>
      </c>
      <c r="C386">
        <f t="shared" si="40"/>
        <v>1.0496845722399346E-3</v>
      </c>
      <c r="D386">
        <f t="shared" si="39"/>
        <v>0.04</v>
      </c>
      <c r="E386">
        <f t="shared" si="37"/>
        <v>93638.102581555417</v>
      </c>
    </row>
    <row r="387" spans="1:5" x14ac:dyDescent="0.75">
      <c r="A387">
        <f t="shared" si="38"/>
        <v>49.050000000000139</v>
      </c>
      <c r="B387">
        <f t="shared" si="41"/>
        <v>19.050000000000136</v>
      </c>
      <c r="C387">
        <f t="shared" si="40"/>
        <v>1.0545480181655231E-3</v>
      </c>
      <c r="D387">
        <f t="shared" si="39"/>
        <v>0.04</v>
      </c>
      <c r="E387">
        <f t="shared" si="37"/>
        <v>93950.044887440017</v>
      </c>
    </row>
    <row r="388" spans="1:5" x14ac:dyDescent="0.75">
      <c r="A388">
        <f t="shared" si="38"/>
        <v>49.100000000000136</v>
      </c>
      <c r="B388">
        <f t="shared" si="41"/>
        <v>19.100000000000136</v>
      </c>
      <c r="C388">
        <f t="shared" si="40"/>
        <v>1.0594399726437133E-3</v>
      </c>
      <c r="D388">
        <f t="shared" si="39"/>
        <v>0.04</v>
      </c>
      <c r="E388">
        <f t="shared" si="37"/>
        <v>94262.625978806202</v>
      </c>
    </row>
    <row r="389" spans="1:5" x14ac:dyDescent="0.75">
      <c r="A389">
        <f t="shared" si="38"/>
        <v>49.150000000000134</v>
      </c>
      <c r="B389">
        <f t="shared" si="41"/>
        <v>19.150000000000137</v>
      </c>
      <c r="C389">
        <f t="shared" si="40"/>
        <v>1.0643606027859705E-3</v>
      </c>
      <c r="D389">
        <f t="shared" si="39"/>
        <v>0.04</v>
      </c>
      <c r="E389">
        <f t="shared" si="37"/>
        <v>94575.847310595011</v>
      </c>
    </row>
    <row r="390" spans="1:5" x14ac:dyDescent="0.75">
      <c r="A390">
        <f t="shared" si="38"/>
        <v>49.200000000000138</v>
      </c>
      <c r="B390">
        <f t="shared" si="41"/>
        <v>19.200000000000138</v>
      </c>
      <c r="C390">
        <f t="shared" si="40"/>
        <v>1.0693100766833341E-3</v>
      </c>
      <c r="D390">
        <f t="shared" si="39"/>
        <v>0.04</v>
      </c>
      <c r="E390">
        <f t="shared" ref="E390:E404" si="42">(E391 -$D$2*$B$2+$D$2*C390*$C$2)/(1+$D$2*D390+$D$2*C390)</f>
        <v>94889.710342494902</v>
      </c>
    </row>
    <row r="391" spans="1:5" x14ac:dyDescent="0.75">
      <c r="A391">
        <f t="shared" ref="A391:A406" si="43">$A$2+B391</f>
        <v>49.250000000000142</v>
      </c>
      <c r="B391">
        <f t="shared" si="41"/>
        <v>19.250000000000139</v>
      </c>
      <c r="C391">
        <f t="shared" si="40"/>
        <v>1.0742885634121586E-3</v>
      </c>
      <c r="D391">
        <f t="shared" ref="D391:D406" si="44">0.04</f>
        <v>0.04</v>
      </c>
      <c r="E391">
        <f t="shared" si="42"/>
        <v>95204.216538968627</v>
      </c>
    </row>
    <row r="392" spans="1:5" x14ac:dyDescent="0.75">
      <c r="A392">
        <f t="shared" si="43"/>
        <v>49.300000000000139</v>
      </c>
      <c r="B392">
        <f t="shared" si="41"/>
        <v>19.300000000000139</v>
      </c>
      <c r="C392">
        <f t="shared" si="40"/>
        <v>1.079296233039889E-3</v>
      </c>
      <c r="D392">
        <f t="shared" si="44"/>
        <v>0.04</v>
      </c>
      <c r="E392">
        <f t="shared" si="42"/>
        <v>95519.367369280328</v>
      </c>
    </row>
    <row r="393" spans="1:5" x14ac:dyDescent="0.75">
      <c r="A393">
        <f t="shared" si="43"/>
        <v>49.350000000000136</v>
      </c>
      <c r="B393">
        <f t="shared" si="41"/>
        <v>19.35000000000014</v>
      </c>
      <c r="C393">
        <f t="shared" si="40"/>
        <v>1.0843332566308765E-3</v>
      </c>
      <c r="D393">
        <f t="shared" si="44"/>
        <v>0.04</v>
      </c>
      <c r="E393">
        <f t="shared" si="42"/>
        <v>95835.164307522893</v>
      </c>
    </row>
    <row r="394" spans="1:5" x14ac:dyDescent="0.75">
      <c r="A394">
        <f t="shared" si="43"/>
        <v>49.400000000000141</v>
      </c>
      <c r="B394">
        <f t="shared" si="41"/>
        <v>19.400000000000141</v>
      </c>
      <c r="C394">
        <f t="shared" si="40"/>
        <v>1.0893998062522143E-3</v>
      </c>
      <c r="D394">
        <f t="shared" si="44"/>
        <v>0.04</v>
      </c>
      <c r="E394">
        <f t="shared" si="42"/>
        <v>96151.608832645434</v>
      </c>
    </row>
    <row r="395" spans="1:5" x14ac:dyDescent="0.75">
      <c r="A395">
        <f t="shared" si="43"/>
        <v>49.450000000000145</v>
      </c>
      <c r="B395">
        <f t="shared" si="41"/>
        <v>19.450000000000141</v>
      </c>
      <c r="C395">
        <f t="shared" si="40"/>
        <v>1.0944960549796187E-3</v>
      </c>
      <c r="D395">
        <f t="shared" si="44"/>
        <v>0.04</v>
      </c>
      <c r="E395">
        <f t="shared" si="42"/>
        <v>96468.70242848112</v>
      </c>
    </row>
    <row r="396" spans="1:5" x14ac:dyDescent="0.75">
      <c r="A396">
        <f t="shared" si="43"/>
        <v>49.500000000000142</v>
      </c>
      <c r="B396">
        <f t="shared" si="41"/>
        <v>19.500000000000142</v>
      </c>
      <c r="C396">
        <f t="shared" si="40"/>
        <v>1.0996221769033407E-3</v>
      </c>
      <c r="D396">
        <f t="shared" si="44"/>
        <v>0.04</v>
      </c>
      <c r="E396">
        <f t="shared" si="42"/>
        <v>96786.446583775032</v>
      </c>
    </row>
    <row r="397" spans="1:5" x14ac:dyDescent="0.75">
      <c r="A397">
        <f t="shared" si="43"/>
        <v>49.550000000000139</v>
      </c>
      <c r="B397">
        <f t="shared" si="41"/>
        <v>19.550000000000143</v>
      </c>
      <c r="C397">
        <f t="shared" si="40"/>
        <v>1.1047783471341162E-3</v>
      </c>
      <c r="D397">
        <f t="shared" si="44"/>
        <v>0.04</v>
      </c>
      <c r="E397">
        <f t="shared" si="42"/>
        <v>97104.842792212439</v>
      </c>
    </row>
    <row r="398" spans="1:5" x14ac:dyDescent="0.75">
      <c r="A398">
        <f t="shared" si="43"/>
        <v>49.600000000000144</v>
      </c>
      <c r="B398">
        <f t="shared" si="41"/>
        <v>19.600000000000144</v>
      </c>
      <c r="C398">
        <f t="shared" si="40"/>
        <v>1.1099647418091447E-3</v>
      </c>
      <c r="D398">
        <f t="shared" si="44"/>
        <v>0.04</v>
      </c>
      <c r="E398">
        <f t="shared" si="42"/>
        <v>97423.892552447127</v>
      </c>
    </row>
    <row r="399" spans="1:5" x14ac:dyDescent="0.75">
      <c r="A399">
        <f t="shared" si="43"/>
        <v>49.650000000000148</v>
      </c>
      <c r="B399">
        <f t="shared" si="41"/>
        <v>19.650000000000144</v>
      </c>
      <c r="C399">
        <f t="shared" si="40"/>
        <v>1.1151815380981052E-3</v>
      </c>
      <c r="D399">
        <f t="shared" si="44"/>
        <v>0.04</v>
      </c>
      <c r="E399">
        <f t="shared" si="42"/>
        <v>97743.597368130111</v>
      </c>
    </row>
    <row r="400" spans="1:5" x14ac:dyDescent="0.75">
      <c r="A400">
        <f t="shared" si="43"/>
        <v>49.700000000000145</v>
      </c>
      <c r="B400">
        <f t="shared" si="41"/>
        <v>19.700000000000145</v>
      </c>
      <c r="C400">
        <f t="shared" si="40"/>
        <v>1.1204289142092106E-3</v>
      </c>
      <c r="D400">
        <f t="shared" si="44"/>
        <v>0.04</v>
      </c>
      <c r="E400">
        <f t="shared" si="42"/>
        <v>98063.958747938479</v>
      </c>
    </row>
    <row r="401" spans="1:5" x14ac:dyDescent="0.75">
      <c r="A401">
        <f t="shared" si="43"/>
        <v>49.750000000000142</v>
      </c>
      <c r="B401">
        <f t="shared" si="41"/>
        <v>19.750000000000146</v>
      </c>
      <c r="C401">
        <f t="shared" si="40"/>
        <v>1.1257070493952965E-3</v>
      </c>
      <c r="D401">
        <f t="shared" si="44"/>
        <v>0.04</v>
      </c>
      <c r="E401">
        <f t="shared" si="42"/>
        <v>98384.97820560445</v>
      </c>
    </row>
    <row r="402" spans="1:5" x14ac:dyDescent="0.75">
      <c r="A402">
        <f t="shared" si="43"/>
        <v>49.800000000000146</v>
      </c>
      <c r="B402">
        <f t="shared" si="41"/>
        <v>19.800000000000146</v>
      </c>
      <c r="C402">
        <f t="shared" si="40"/>
        <v>1.1310161239599418E-3</v>
      </c>
      <c r="D402">
        <f t="shared" si="44"/>
        <v>0.04</v>
      </c>
      <c r="E402">
        <f t="shared" si="42"/>
        <v>98706.65725994471</v>
      </c>
    </row>
    <row r="403" spans="1:5" x14ac:dyDescent="0.75">
      <c r="A403">
        <f t="shared" si="43"/>
        <v>49.850000000000151</v>
      </c>
      <c r="B403">
        <f t="shared" si="41"/>
        <v>19.850000000000147</v>
      </c>
      <c r="C403">
        <f t="shared" si="40"/>
        <v>1.1363563192636303E-3</v>
      </c>
      <c r="D403">
        <f t="shared" si="44"/>
        <v>0.04</v>
      </c>
      <c r="E403">
        <f t="shared" si="42"/>
        <v>99028.997434889956</v>
      </c>
    </row>
    <row r="404" spans="1:5" x14ac:dyDescent="0.75">
      <c r="A404">
        <f t="shared" si="43"/>
        <v>49.900000000000148</v>
      </c>
      <c r="B404">
        <f t="shared" si="41"/>
        <v>19.900000000000148</v>
      </c>
      <c r="C404">
        <f t="shared" si="40"/>
        <v>1.1417278177299421E-3</v>
      </c>
      <c r="D404">
        <f t="shared" si="44"/>
        <v>0.04</v>
      </c>
      <c r="E404">
        <f t="shared" si="42"/>
        <v>99352.000259514694</v>
      </c>
    </row>
    <row r="405" spans="1:5" x14ac:dyDescent="0.75">
      <c r="A405">
        <f t="shared" si="43"/>
        <v>49.950000000000145</v>
      </c>
      <c r="B405">
        <f t="shared" si="41"/>
        <v>19.950000000000149</v>
      </c>
      <c r="C405">
        <f t="shared" si="40"/>
        <v>1.1471308028517906E-3</v>
      </c>
      <c r="D405">
        <f t="shared" si="44"/>
        <v>0.04</v>
      </c>
      <c r="E405">
        <f>(E406 -$D$2*$B$2+$D$2*C405*$C$2)/(1+$D$2*D405+$D$2*C405)</f>
        <v>99675.667268067235</v>
      </c>
    </row>
    <row r="406" spans="1:5" x14ac:dyDescent="0.75">
      <c r="A406">
        <f t="shared" si="43"/>
        <v>50.000000000000149</v>
      </c>
      <c r="B406">
        <f t="shared" si="41"/>
        <v>20.000000000000149</v>
      </c>
      <c r="C406">
        <f t="shared" si="40"/>
        <v>1.1525654591976883E-3</v>
      </c>
      <c r="D406">
        <f t="shared" si="44"/>
        <v>0.04</v>
      </c>
      <c r="E406">
        <f>$C$2</f>
        <v>100000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B430-1263-4A6B-946B-9187E6EE83F6}">
  <dimension ref="A1:H25"/>
  <sheetViews>
    <sheetView zoomScale="86" workbookViewId="0">
      <selection activeCell="G5" sqref="G5"/>
    </sheetView>
  </sheetViews>
  <sheetFormatPr defaultRowHeight="14.75" x14ac:dyDescent="0.75"/>
  <cols>
    <col min="2" max="2" width="9.08984375" customWidth="1"/>
    <col min="3" max="3" width="14.453125" customWidth="1"/>
    <col min="5" max="5" width="9.453125" customWidth="1"/>
  </cols>
  <sheetData>
    <row r="1" spans="1:8" x14ac:dyDescent="0.75">
      <c r="A1" t="s">
        <v>13</v>
      </c>
      <c r="B1" t="s">
        <v>0</v>
      </c>
      <c r="C1" t="s">
        <v>1</v>
      </c>
      <c r="D1" t="s">
        <v>7</v>
      </c>
      <c r="E1" t="s">
        <v>17</v>
      </c>
      <c r="F1" t="s">
        <v>9</v>
      </c>
      <c r="G1" t="s">
        <v>10</v>
      </c>
      <c r="H1" t="s">
        <v>18</v>
      </c>
    </row>
    <row r="2" spans="1:8" x14ac:dyDescent="0.75">
      <c r="A2">
        <v>60</v>
      </c>
      <c r="B2">
        <f>5200</f>
        <v>5200</v>
      </c>
      <c r="C2">
        <f>100000</f>
        <v>100000</v>
      </c>
      <c r="D2">
        <f>200</f>
        <v>200</v>
      </c>
      <c r="E2">
        <f>0.05*B2</f>
        <v>260</v>
      </c>
      <c r="F2">
        <f>0.05</f>
        <v>0.05</v>
      </c>
      <c r="G2">
        <f>1/(1+F2)</f>
        <v>0.95238095238095233</v>
      </c>
      <c r="H2">
        <f>0.1*B2</f>
        <v>520</v>
      </c>
    </row>
    <row r="4" spans="1:8" x14ac:dyDescent="0.75">
      <c r="A4" t="s">
        <v>12</v>
      </c>
      <c r="B4" t="s">
        <v>5</v>
      </c>
      <c r="C4" t="s">
        <v>14</v>
      </c>
      <c r="D4" t="s">
        <v>15</v>
      </c>
      <c r="E4" t="s">
        <v>6</v>
      </c>
    </row>
    <row r="5" spans="1:8" x14ac:dyDescent="0.75">
      <c r="A5">
        <f>$A$2 +B5</f>
        <v>60</v>
      </c>
      <c r="B5">
        <f>0</f>
        <v>0</v>
      </c>
      <c r="C5">
        <f>EXP(0.9^(2-1) * ((1-0.9)/LN(0.9) * 0.00022 + (1.124 - 0.9)/LN(0.9/1.124) * 0.0000027 * 1.124^A5))</f>
        <v>0.99709371142695469</v>
      </c>
      <c r="D5">
        <f>1-C5</f>
        <v>2.9062885730453125E-3</v>
      </c>
      <c r="E5">
        <f>($G$2 *D5*($C$2+$D$2)+$G$2*C5*E6) + $H$2 -$B$2</f>
        <v>2022.5926660606274</v>
      </c>
    </row>
    <row r="6" spans="1:8" x14ac:dyDescent="0.75">
      <c r="A6">
        <f t="shared" ref="A6:A25" si="0">$A$2 +B6</f>
        <v>61</v>
      </c>
      <c r="B6">
        <f>B5+1</f>
        <v>1</v>
      </c>
      <c r="C6">
        <f>EXP(0.9^(2-2) * ((1-0.9^2)/LN(0.9) * 0.00022 + (1.124^2 - 0.9^2)/LN(0.9/1.124) * 0.0000027 * 1.124^A5)) /C5</f>
        <v>0.99639748062566025</v>
      </c>
      <c r="D6">
        <f t="shared" ref="D6:D25" si="1">1-C6</f>
        <v>3.6025193743397521E-3</v>
      </c>
      <c r="E6">
        <f t="shared" ref="E6:E13" si="2">($G$2 *D6*($C$2+$D$2) + $G$2*C6*E7) +$E$2 - $B$2</f>
        <v>6766.1766462146188</v>
      </c>
    </row>
    <row r="7" spans="1:8" x14ac:dyDescent="0.75">
      <c r="A7">
        <f t="shared" si="0"/>
        <v>62</v>
      </c>
      <c r="B7">
        <f t="shared" ref="B7:B25" si="3">B6+1</f>
        <v>2</v>
      </c>
      <c r="C7">
        <f>EXP(-0.00022-(0.0000027/LN(1.124))*(1.124^A7)*(1.124-1))</f>
        <v>0.99576640002728212</v>
      </c>
      <c r="D7">
        <f t="shared" si="1"/>
        <v>4.233599972717883E-3</v>
      </c>
      <c r="E7">
        <f t="shared" si="2"/>
        <v>11973.648337333281</v>
      </c>
    </row>
    <row r="8" spans="1:8" x14ac:dyDescent="0.75">
      <c r="A8">
        <f t="shared" si="0"/>
        <v>63</v>
      </c>
      <c r="B8">
        <f t="shared" si="3"/>
        <v>3</v>
      </c>
      <c r="C8">
        <f>EXP(-0.00022-(0.0000027/LN(1.124))*(1.124^A8)*(1.124-1))</f>
        <v>0.99526983481229825</v>
      </c>
      <c r="D8">
        <f t="shared" si="1"/>
        <v>4.7301651877017514E-3</v>
      </c>
      <c r="E8">
        <f t="shared" si="2"/>
        <v>17408.826042391735</v>
      </c>
    </row>
    <row r="9" spans="1:8" x14ac:dyDescent="0.75">
      <c r="A9">
        <f t="shared" si="0"/>
        <v>64</v>
      </c>
      <c r="B9">
        <f t="shared" si="3"/>
        <v>4</v>
      </c>
      <c r="C9">
        <f t="shared" ref="C8:C25" si="4">EXP(-0.00022-(0.0000027/LN(1.124))*(1.124^A9)*(1.124-1))</f>
        <v>0.99471199109198305</v>
      </c>
      <c r="D9">
        <f t="shared" si="1"/>
        <v>5.2880089080169501E-3</v>
      </c>
      <c r="E9">
        <f t="shared" si="2"/>
        <v>23101.579077838538</v>
      </c>
    </row>
    <row r="10" spans="1:8" x14ac:dyDescent="0.75">
      <c r="A10">
        <f t="shared" si="0"/>
        <v>65</v>
      </c>
      <c r="B10">
        <f t="shared" si="3"/>
        <v>5</v>
      </c>
      <c r="C10">
        <f t="shared" si="4"/>
        <v>0.99408534797044545</v>
      </c>
      <c r="D10">
        <f t="shared" si="1"/>
        <v>5.9146520295545457E-3</v>
      </c>
      <c r="E10">
        <f t="shared" si="2"/>
        <v>29067.508784533646</v>
      </c>
    </row>
    <row r="11" spans="1:8" x14ac:dyDescent="0.75">
      <c r="A11">
        <f t="shared" si="0"/>
        <v>66</v>
      </c>
      <c r="B11">
        <f t="shared" si="3"/>
        <v>6</v>
      </c>
      <c r="C11">
        <f t="shared" si="4"/>
        <v>0.99338147232075569</v>
      </c>
      <c r="D11">
        <f t="shared" si="1"/>
        <v>6.6185276792443126E-3</v>
      </c>
      <c r="E11">
        <f t="shared" si="2"/>
        <v>35324.166241954255</v>
      </c>
    </row>
    <row r="12" spans="1:8" x14ac:dyDescent="0.75">
      <c r="A12">
        <f t="shared" si="0"/>
        <v>67</v>
      </c>
      <c r="B12">
        <f t="shared" si="3"/>
        <v>7</v>
      </c>
      <c r="C12">
        <f t="shared" si="4"/>
        <v>0.99259091099373209</v>
      </c>
      <c r="D12">
        <f t="shared" si="1"/>
        <v>7.4090890062679104E-3</v>
      </c>
      <c r="E12">
        <f t="shared" si="2"/>
        <v>41891.457853921762</v>
      </c>
    </row>
    <row r="13" spans="1:8" x14ac:dyDescent="0.75">
      <c r="A13">
        <f t="shared" si="0"/>
        <v>68</v>
      </c>
      <c r="B13">
        <f t="shared" si="3"/>
        <v>8</v>
      </c>
      <c r="C13">
        <f t="shared" si="4"/>
        <v>0.99170307104776678</v>
      </c>
      <c r="D13">
        <f t="shared" si="1"/>
        <v>8.2969289522332179E-3</v>
      </c>
      <c r="E13">
        <f t="shared" si="2"/>
        <v>48792.14537608801</v>
      </c>
    </row>
    <row r="14" spans="1:8" x14ac:dyDescent="0.75">
      <c r="A14">
        <f t="shared" si="0"/>
        <v>69</v>
      </c>
      <c r="B14">
        <f t="shared" si="3"/>
        <v>9</v>
      </c>
      <c r="C14">
        <f t="shared" si="4"/>
        <v>0.99070608687319361</v>
      </c>
      <c r="D14">
        <f t="shared" si="1"/>
        <v>9.2939131268063857E-3</v>
      </c>
      <c r="E14">
        <f>($G$2 *D14*($C$2+$D$2) + $G$2*C14*E15) +$E$2 - $B$2</f>
        <v>56052.463672567574</v>
      </c>
    </row>
    <row r="15" spans="1:8" x14ac:dyDescent="0.75">
      <c r="A15">
        <f t="shared" si="0"/>
        <v>70</v>
      </c>
      <c r="B15">
        <f t="shared" si="3"/>
        <v>10</v>
      </c>
      <c r="C15">
        <f t="shared" si="4"/>
        <v>0.98958667303685266</v>
      </c>
      <c r="D15">
        <f t="shared" si="1"/>
        <v>1.041332696314734E-2</v>
      </c>
      <c r="E15">
        <f>$G$2 *D15*($C$2+$D$2) + $G$2*C15*E16</f>
        <v>63702.885847887082</v>
      </c>
    </row>
    <row r="16" spans="1:8" x14ac:dyDescent="0.75">
      <c r="A16">
        <f t="shared" si="0"/>
        <v>71</v>
      </c>
      <c r="B16">
        <f t="shared" si="3"/>
        <v>11</v>
      </c>
      <c r="C16">
        <f t="shared" si="4"/>
        <v>0.98832996164179732</v>
      </c>
      <c r="D16">
        <f t="shared" si="1"/>
        <v>1.1670038358202683E-2</v>
      </c>
      <c r="E16">
        <f t="shared" ref="E16:E23" si="5">$G$2 *D16*($C$2+$D$2) + $G$2*C16*E17</f>
        <v>66537.491432164825</v>
      </c>
    </row>
    <row r="17" spans="1:5" x14ac:dyDescent="0.75">
      <c r="A17">
        <f t="shared" si="0"/>
        <v>72</v>
      </c>
      <c r="B17">
        <f t="shared" si="3"/>
        <v>12</v>
      </c>
      <c r="C17">
        <f t="shared" si="4"/>
        <v>0.98691932299126284</v>
      </c>
      <c r="D17">
        <f t="shared" si="1"/>
        <v>1.3080677008737163E-2</v>
      </c>
      <c r="E17">
        <f t="shared" si="5"/>
        <v>69506.167804693614</v>
      </c>
    </row>
    <row r="18" spans="1:5" x14ac:dyDescent="0.75">
      <c r="A18">
        <f t="shared" si="0"/>
        <v>73</v>
      </c>
      <c r="B18">
        <f t="shared" si="3"/>
        <v>13</v>
      </c>
      <c r="C18">
        <f t="shared" si="4"/>
        <v>0.98533616837506299</v>
      </c>
      <c r="D18">
        <f t="shared" si="1"/>
        <v>1.4663831624937007E-2</v>
      </c>
      <c r="E18">
        <f t="shared" si="5"/>
        <v>72620.720548286728</v>
      </c>
    </row>
    <row r="19" spans="1:5" x14ac:dyDescent="0.75">
      <c r="A19">
        <f t="shared" si="0"/>
        <v>74</v>
      </c>
      <c r="B19">
        <f t="shared" si="3"/>
        <v>14</v>
      </c>
      <c r="C19">
        <f t="shared" si="4"/>
        <v>0.98355973387328199</v>
      </c>
      <c r="D19">
        <f t="shared" si="1"/>
        <v>1.6440266126718006E-2</v>
      </c>
      <c r="E19">
        <f t="shared" si="5"/>
        <v>75895.357388745353</v>
      </c>
    </row>
    <row r="20" spans="1:5" x14ac:dyDescent="0.75">
      <c r="A20">
        <f t="shared" si="0"/>
        <v>75</v>
      </c>
      <c r="B20">
        <f t="shared" si="3"/>
        <v>15</v>
      </c>
      <c r="C20">
        <f t="shared" si="4"/>
        <v>0.98156684421272111</v>
      </c>
      <c r="D20">
        <f t="shared" si="1"/>
        <v>1.8433155787278888E-2</v>
      </c>
      <c r="E20">
        <f t="shared" si="5"/>
        <v>79347.301342797975</v>
      </c>
    </row>
    <row r="21" spans="1:5" x14ac:dyDescent="0.75">
      <c r="A21">
        <f t="shared" si="0"/>
        <v>76</v>
      </c>
      <c r="B21">
        <f t="shared" si="3"/>
        <v>16</v>
      </c>
      <c r="C21">
        <f t="shared" si="4"/>
        <v>0.97933165593645743</v>
      </c>
      <c r="D21">
        <f t="shared" si="1"/>
        <v>2.0668344063542565E-2</v>
      </c>
      <c r="E21">
        <f t="shared" si="5"/>
        <v>82997.571362951625</v>
      </c>
    </row>
    <row r="22" spans="1:5" x14ac:dyDescent="0.75">
      <c r="A22">
        <f t="shared" si="0"/>
        <v>77</v>
      </c>
      <c r="B22">
        <f t="shared" si="3"/>
        <v>17</v>
      </c>
      <c r="C22">
        <f t="shared" si="4"/>
        <v>0.97682537948162906</v>
      </c>
      <c r="D22">
        <f t="shared" si="1"/>
        <v>2.3174620518370936E-2</v>
      </c>
      <c r="E22">
        <f t="shared" si="5"/>
        <v>86871.981866633665</v>
      </c>
    </row>
    <row r="23" spans="1:5" x14ac:dyDescent="0.75">
      <c r="A23">
        <f t="shared" si="0"/>
        <v>78</v>
      </c>
      <c r="B23">
        <f>B22+1</f>
        <v>18</v>
      </c>
      <c r="C23">
        <f t="shared" si="4"/>
        <v>0.97401598023679736</v>
      </c>
      <c r="D23">
        <f t="shared" si="1"/>
        <v>2.5984019763202637E-2</v>
      </c>
      <c r="E23">
        <f t="shared" si="5"/>
        <v>91002.430783685821</v>
      </c>
    </row>
    <row r="24" spans="1:5" x14ac:dyDescent="0.75">
      <c r="A24">
        <f t="shared" si="0"/>
        <v>79</v>
      </c>
      <c r="B24">
        <f t="shared" si="3"/>
        <v>19</v>
      </c>
      <c r="C24">
        <f t="shared" si="4"/>
        <v>0.97086785930687258</v>
      </c>
      <c r="D24">
        <f t="shared" si="1"/>
        <v>2.9132140693127417E-2</v>
      </c>
      <c r="E24">
        <f>$G$2 *D24*($C$2+$D$2) + $G$2*C24*E25</f>
        <v>95428.57142857142</v>
      </c>
    </row>
    <row r="25" spans="1:5" x14ac:dyDescent="0.75">
      <c r="A25">
        <f t="shared" si="0"/>
        <v>80</v>
      </c>
      <c r="B25">
        <f t="shared" si="3"/>
        <v>20</v>
      </c>
      <c r="C25">
        <f t="shared" si="4"/>
        <v>0.96734151559797676</v>
      </c>
      <c r="D25">
        <f t="shared" si="1"/>
        <v>3.2658484402023236E-2</v>
      </c>
      <c r="E25">
        <f>$C$2+$D$2</f>
        <v>100200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0467-2F09-4B53-85D0-B8D9690D0E9B}">
  <dimension ref="A1:G25"/>
  <sheetViews>
    <sheetView tabSelected="1" zoomScale="86" workbookViewId="0">
      <selection activeCell="L8" sqref="L8"/>
    </sheetView>
  </sheetViews>
  <sheetFormatPr defaultRowHeight="14.75" x14ac:dyDescent="0.75"/>
  <cols>
    <col min="2" max="2" width="9.08984375" customWidth="1"/>
    <col min="3" max="3" width="14.453125" customWidth="1"/>
    <col min="5" max="5" width="11.58984375" customWidth="1"/>
  </cols>
  <sheetData>
    <row r="1" spans="1:7" x14ac:dyDescent="0.75">
      <c r="A1" t="s">
        <v>13</v>
      </c>
      <c r="B1" t="s">
        <v>0</v>
      </c>
      <c r="C1" t="s">
        <v>1</v>
      </c>
      <c r="D1" t="s">
        <v>7</v>
      </c>
      <c r="E1" t="s">
        <v>8</v>
      </c>
      <c r="F1" t="s">
        <v>9</v>
      </c>
      <c r="G1" t="s">
        <v>10</v>
      </c>
    </row>
    <row r="2" spans="1:7" x14ac:dyDescent="0.75">
      <c r="A2">
        <v>60</v>
      </c>
      <c r="B2">
        <v>5922.8228040572576</v>
      </c>
      <c r="C2">
        <f>100000</f>
        <v>100000</v>
      </c>
      <c r="D2">
        <f>0</f>
        <v>0</v>
      </c>
      <c r="E2">
        <f>0</f>
        <v>0</v>
      </c>
    </row>
    <row r="4" spans="1:7" x14ac:dyDescent="0.75">
      <c r="A4" t="s">
        <v>12</v>
      </c>
      <c r="B4" t="s">
        <v>5</v>
      </c>
      <c r="C4" t="s">
        <v>14</v>
      </c>
      <c r="D4" t="s">
        <v>15</v>
      </c>
      <c r="E4" t="s">
        <v>6</v>
      </c>
      <c r="F4" t="s">
        <v>9</v>
      </c>
      <c r="G4" t="s">
        <v>10</v>
      </c>
    </row>
    <row r="5" spans="1:7" x14ac:dyDescent="0.75">
      <c r="A5">
        <f>$A$2 +B5</f>
        <v>60</v>
      </c>
      <c r="B5">
        <f>0</f>
        <v>0</v>
      </c>
      <c r="C5">
        <f>EXP(0.9^(2-1) * ((1-0.9)/LN(0.9) * 0.00022 + (1.124 - 0.9)/LN(0.9/1.124) * 0.0000027 * 1.124^A5))</f>
        <v>0.99709371142695469</v>
      </c>
      <c r="D5">
        <f>1-C5</f>
        <v>2.9062885730453125E-3</v>
      </c>
      <c r="E5">
        <f>(G5 *D5*($C$2+$D$2)+G5*C5*E6)-$B$2</f>
        <v>7.2759576141834259E-12</v>
      </c>
      <c r="F5">
        <f>0.04 + 0.001*B6</f>
        <v>4.1000000000000002E-2</v>
      </c>
      <c r="G5">
        <f>1/(1+F5)</f>
        <v>0.96061479346781953</v>
      </c>
    </row>
    <row r="6" spans="1:7" x14ac:dyDescent="0.75">
      <c r="A6">
        <f t="shared" ref="A6:A25" si="0">$A$2 +B6</f>
        <v>61</v>
      </c>
      <c r="B6">
        <f>B5+1</f>
        <v>1</v>
      </c>
      <c r="C6">
        <f>EXP(0.9^(2-2) * ((1-0.9^2)/LN(0.9) * 0.00022 + (1.124^2 - 0.9^2)/LN(0.9/1.124) * 0.0000027 * 1.124^A5)) /C5</f>
        <v>0.99639748062566025</v>
      </c>
      <c r="D6">
        <f t="shared" ref="D6:D25" si="1">1-C6</f>
        <v>3.6025193743397521E-3</v>
      </c>
      <c r="E6">
        <f t="shared" ref="E6:E13" si="2">(G6 *D6*($C$2+$D$2) + G6*C6*E7) +$E$2 - $B$2</f>
        <v>5892.1539815061551</v>
      </c>
      <c r="F6">
        <f t="shared" ref="F6:F14" si="3">0.04 + 0.001*B7</f>
        <v>4.2000000000000003E-2</v>
      </c>
      <c r="G6">
        <f t="shared" ref="G6:G24" si="4">1/(1+F6)</f>
        <v>0.95969289827255277</v>
      </c>
    </row>
    <row r="7" spans="1:7" x14ac:dyDescent="0.75">
      <c r="A7">
        <f t="shared" si="0"/>
        <v>62</v>
      </c>
      <c r="B7">
        <f t="shared" ref="B7:B25" si="5">B6+1</f>
        <v>2</v>
      </c>
      <c r="C7">
        <f>EXP(-0.00022-(0.0000027/LN(1.124))*(1.124^A7)*(1.124-1))</f>
        <v>0.99576640002728212</v>
      </c>
      <c r="D7">
        <f t="shared" si="1"/>
        <v>4.233599972717883E-3</v>
      </c>
      <c r="E7">
        <f t="shared" si="2"/>
        <v>11994.163077990554</v>
      </c>
      <c r="F7">
        <f t="shared" si="3"/>
        <v>4.3000000000000003E-2</v>
      </c>
      <c r="G7">
        <f t="shared" si="4"/>
        <v>0.95877277085330781</v>
      </c>
    </row>
    <row r="8" spans="1:7" x14ac:dyDescent="0.75">
      <c r="A8">
        <f t="shared" si="0"/>
        <v>63</v>
      </c>
      <c r="B8">
        <f t="shared" si="5"/>
        <v>3</v>
      </c>
      <c r="C8">
        <f t="shared" ref="C8:C25" si="6">EXP(-0.00022-(0.0000027/LN(1.124))*(1.124^A8)*(1.124-1))</f>
        <v>0.99526983481229825</v>
      </c>
      <c r="D8">
        <f t="shared" si="1"/>
        <v>4.7301651877017514E-3</v>
      </c>
      <c r="E8">
        <f t="shared" si="2"/>
        <v>18341.70773105387</v>
      </c>
      <c r="F8">
        <f t="shared" si="3"/>
        <v>4.3999999999999997E-2</v>
      </c>
      <c r="G8">
        <f t="shared" si="4"/>
        <v>0.95785440613026818</v>
      </c>
    </row>
    <row r="9" spans="1:7" x14ac:dyDescent="0.75">
      <c r="A9">
        <f t="shared" si="0"/>
        <v>64</v>
      </c>
      <c r="B9">
        <f t="shared" si="5"/>
        <v>4</v>
      </c>
      <c r="C9">
        <f t="shared" si="6"/>
        <v>0.99471199109198305</v>
      </c>
      <c r="D9">
        <f t="shared" si="1"/>
        <v>5.2880089080169501E-3</v>
      </c>
      <c r="E9">
        <f t="shared" si="2"/>
        <v>24977.300115374364</v>
      </c>
      <c r="F9">
        <f t="shared" si="3"/>
        <v>4.4999999999999998E-2</v>
      </c>
      <c r="G9">
        <f t="shared" si="4"/>
        <v>0.95693779904306231</v>
      </c>
    </row>
    <row r="10" spans="1:7" x14ac:dyDescent="0.75">
      <c r="A10">
        <f t="shared" si="0"/>
        <v>65</v>
      </c>
      <c r="B10">
        <f t="shared" si="5"/>
        <v>5</v>
      </c>
      <c r="C10">
        <f t="shared" si="6"/>
        <v>0.99408534797044545</v>
      </c>
      <c r="D10">
        <f t="shared" si="1"/>
        <v>5.9146520295545457E-3</v>
      </c>
      <c r="E10">
        <f t="shared" si="2"/>
        <v>31930.677265825041</v>
      </c>
      <c r="F10">
        <f t="shared" si="3"/>
        <v>4.5999999999999999E-2</v>
      </c>
      <c r="G10">
        <f t="shared" si="4"/>
        <v>0.95602294455066916</v>
      </c>
    </row>
    <row r="11" spans="1:7" x14ac:dyDescent="0.75">
      <c r="A11">
        <f t="shared" si="0"/>
        <v>66</v>
      </c>
      <c r="B11">
        <f t="shared" si="5"/>
        <v>6</v>
      </c>
      <c r="C11">
        <f t="shared" si="6"/>
        <v>0.99338147232075569</v>
      </c>
      <c r="D11">
        <f t="shared" si="1"/>
        <v>6.6185276792443126E-3</v>
      </c>
      <c r="E11">
        <f t="shared" si="2"/>
        <v>39235.359368058023</v>
      </c>
      <c r="F11">
        <f t="shared" si="3"/>
        <v>4.7E-2</v>
      </c>
      <c r="G11">
        <f t="shared" si="4"/>
        <v>0.95510983763132762</v>
      </c>
    </row>
    <row r="12" spans="1:7" x14ac:dyDescent="0.75">
      <c r="A12">
        <f t="shared" si="0"/>
        <v>67</v>
      </c>
      <c r="B12">
        <f t="shared" si="5"/>
        <v>7</v>
      </c>
      <c r="C12">
        <f t="shared" si="6"/>
        <v>0.99259091099373209</v>
      </c>
      <c r="D12">
        <f t="shared" si="1"/>
        <v>7.4090890062679104E-3</v>
      </c>
      <c r="E12">
        <f t="shared" si="2"/>
        <v>46929.367282609637</v>
      </c>
      <c r="F12">
        <f t="shared" si="3"/>
        <v>4.8000000000000001E-2</v>
      </c>
      <c r="G12">
        <f t="shared" si="4"/>
        <v>0.95419847328244267</v>
      </c>
    </row>
    <row r="13" spans="1:7" x14ac:dyDescent="0.75">
      <c r="A13">
        <f t="shared" si="0"/>
        <v>68</v>
      </c>
      <c r="B13">
        <f t="shared" si="5"/>
        <v>8</v>
      </c>
      <c r="C13">
        <f t="shared" si="6"/>
        <v>0.99170307104776678</v>
      </c>
      <c r="D13">
        <f t="shared" si="1"/>
        <v>8.2969289522332179E-3</v>
      </c>
      <c r="E13">
        <f t="shared" si="2"/>
        <v>55056.101869287828</v>
      </c>
      <c r="F13">
        <f t="shared" si="3"/>
        <v>4.9000000000000002E-2</v>
      </c>
      <c r="G13">
        <f t="shared" si="4"/>
        <v>0.95328884652049573</v>
      </c>
    </row>
    <row r="14" spans="1:7" x14ac:dyDescent="0.75">
      <c r="A14">
        <f t="shared" si="0"/>
        <v>69</v>
      </c>
      <c r="B14">
        <f t="shared" si="5"/>
        <v>9</v>
      </c>
      <c r="C14">
        <f t="shared" si="6"/>
        <v>0.99070608687319361</v>
      </c>
      <c r="D14">
        <f t="shared" si="1"/>
        <v>9.2939131268063857E-3</v>
      </c>
      <c r="E14">
        <f>(G14 *D14*($C$2+$D$2) + G14*C14*E15) +$E$2 - $B$2</f>
        <v>63665.426608399182</v>
      </c>
      <c r="F14">
        <f t="shared" si="3"/>
        <v>0.05</v>
      </c>
      <c r="G14">
        <f t="shared" si="4"/>
        <v>0.95238095238095233</v>
      </c>
    </row>
    <row r="15" spans="1:7" x14ac:dyDescent="0.75">
      <c r="A15">
        <f t="shared" si="0"/>
        <v>70</v>
      </c>
      <c r="B15">
        <f t="shared" si="5"/>
        <v>10</v>
      </c>
      <c r="C15">
        <f t="shared" si="6"/>
        <v>0.98958667303685266</v>
      </c>
      <c r="D15">
        <f t="shared" si="1"/>
        <v>1.041332696314734E-2</v>
      </c>
      <c r="E15">
        <f t="shared" ref="E15:E23" si="7">G15 *D15*($C$2+$D$2) + G15*C15*E16</f>
        <v>72815.006919031919</v>
      </c>
      <c r="F15">
        <f>0.05 - 0.001*B16</f>
        <v>3.9000000000000007E-2</v>
      </c>
      <c r="G15">
        <f t="shared" si="4"/>
        <v>0.9624639076034649</v>
      </c>
    </row>
    <row r="16" spans="1:7" x14ac:dyDescent="0.75">
      <c r="A16">
        <f t="shared" si="0"/>
        <v>71</v>
      </c>
      <c r="B16">
        <f t="shared" si="5"/>
        <v>11</v>
      </c>
      <c r="C16">
        <f t="shared" si="6"/>
        <v>0.98832996164179732</v>
      </c>
      <c r="D16">
        <f t="shared" si="1"/>
        <v>1.1670038358202683E-2</v>
      </c>
      <c r="E16">
        <f t="shared" si="7"/>
        <v>75398.609869699401</v>
      </c>
      <c r="F16">
        <f t="shared" ref="F16:F24" si="8">0.05 - 0.001*B17</f>
        <v>3.8000000000000006E-2</v>
      </c>
      <c r="G16">
        <f t="shared" si="4"/>
        <v>0.96339113680154143</v>
      </c>
    </row>
    <row r="17" spans="1:7" x14ac:dyDescent="0.75">
      <c r="A17">
        <f t="shared" si="0"/>
        <v>72</v>
      </c>
      <c r="B17">
        <f t="shared" si="5"/>
        <v>12</v>
      </c>
      <c r="C17">
        <f t="shared" si="6"/>
        <v>0.98691932299126284</v>
      </c>
      <c r="D17">
        <f t="shared" si="1"/>
        <v>1.3080677008737163E-2</v>
      </c>
      <c r="E17">
        <f t="shared" si="7"/>
        <v>78007.099047018535</v>
      </c>
      <c r="F17">
        <f t="shared" si="8"/>
        <v>3.7000000000000005E-2</v>
      </c>
      <c r="G17">
        <f t="shared" si="4"/>
        <v>0.96432015429122475</v>
      </c>
    </row>
    <row r="18" spans="1:7" x14ac:dyDescent="0.75">
      <c r="A18">
        <f t="shared" si="0"/>
        <v>73</v>
      </c>
      <c r="B18">
        <f t="shared" si="5"/>
        <v>13</v>
      </c>
      <c r="C18">
        <f t="shared" si="6"/>
        <v>0.98533616837506299</v>
      </c>
      <c r="D18">
        <f t="shared" si="1"/>
        <v>1.4663831624937007E-2</v>
      </c>
      <c r="E18">
        <f t="shared" si="7"/>
        <v>80640.121392768662</v>
      </c>
      <c r="F18">
        <f t="shared" si="8"/>
        <v>3.6000000000000004E-2</v>
      </c>
      <c r="G18">
        <f t="shared" si="4"/>
        <v>0.96525096525096521</v>
      </c>
    </row>
    <row r="19" spans="1:7" x14ac:dyDescent="0.75">
      <c r="A19">
        <f t="shared" si="0"/>
        <v>74</v>
      </c>
      <c r="B19">
        <f t="shared" si="5"/>
        <v>14</v>
      </c>
      <c r="C19">
        <f t="shared" si="6"/>
        <v>0.98355973387328199</v>
      </c>
      <c r="D19">
        <f t="shared" si="1"/>
        <v>1.6440266126718006E-2</v>
      </c>
      <c r="E19">
        <f t="shared" si="7"/>
        <v>83298.254174277448</v>
      </c>
      <c r="F19">
        <f t="shared" si="8"/>
        <v>3.5000000000000003E-2</v>
      </c>
      <c r="G19">
        <f t="shared" si="4"/>
        <v>0.96618357487922713</v>
      </c>
    </row>
    <row r="20" spans="1:7" x14ac:dyDescent="0.75">
      <c r="A20">
        <f t="shared" si="0"/>
        <v>75</v>
      </c>
      <c r="B20">
        <f t="shared" si="5"/>
        <v>15</v>
      </c>
      <c r="C20">
        <f t="shared" si="6"/>
        <v>0.98156684421272111</v>
      </c>
      <c r="D20">
        <f t="shared" si="1"/>
        <v>1.8433155787278888E-2</v>
      </c>
      <c r="E20">
        <f t="shared" si="7"/>
        <v>85983.254036506711</v>
      </c>
      <c r="F20">
        <f t="shared" si="8"/>
        <v>3.4000000000000002E-2</v>
      </c>
      <c r="G20">
        <f t="shared" si="4"/>
        <v>0.96711798839458407</v>
      </c>
    </row>
    <row r="21" spans="1:7" x14ac:dyDescent="0.75">
      <c r="A21">
        <f t="shared" si="0"/>
        <v>76</v>
      </c>
      <c r="B21">
        <f t="shared" si="5"/>
        <v>16</v>
      </c>
      <c r="C21">
        <f t="shared" si="6"/>
        <v>0.97933165593645743</v>
      </c>
      <c r="D21">
        <f t="shared" si="1"/>
        <v>2.0668344063542565E-2</v>
      </c>
      <c r="E21">
        <f t="shared" si="7"/>
        <v>88698.359778900645</v>
      </c>
      <c r="F21">
        <f t="shared" si="8"/>
        <v>3.3000000000000002E-2</v>
      </c>
      <c r="G21">
        <f t="shared" si="4"/>
        <v>0.96805421103581812</v>
      </c>
    </row>
    <row r="22" spans="1:7" x14ac:dyDescent="0.75">
      <c r="A22">
        <f t="shared" si="0"/>
        <v>77</v>
      </c>
      <c r="B22">
        <f t="shared" si="5"/>
        <v>17</v>
      </c>
      <c r="C22">
        <f t="shared" si="6"/>
        <v>0.97682537948162906</v>
      </c>
      <c r="D22">
        <f t="shared" si="1"/>
        <v>2.3174620518370936E-2</v>
      </c>
      <c r="E22">
        <f t="shared" si="7"/>
        <v>91448.663690557747</v>
      </c>
      <c r="F22">
        <f t="shared" si="8"/>
        <v>3.2000000000000001E-2</v>
      </c>
      <c r="G22">
        <f t="shared" si="4"/>
        <v>0.96899224806201545</v>
      </c>
    </row>
    <row r="23" spans="1:7" x14ac:dyDescent="0.75">
      <c r="A23">
        <f t="shared" si="0"/>
        <v>78</v>
      </c>
      <c r="B23">
        <f>B22+1</f>
        <v>18</v>
      </c>
      <c r="C23">
        <f t="shared" si="6"/>
        <v>0.97401598023679736</v>
      </c>
      <c r="D23">
        <f t="shared" si="1"/>
        <v>2.5984019763202637E-2</v>
      </c>
      <c r="E23">
        <f t="shared" si="7"/>
        <v>94241.571534177987</v>
      </c>
      <c r="F23">
        <f t="shared" si="8"/>
        <v>3.1000000000000003E-2</v>
      </c>
      <c r="G23">
        <f t="shared" si="4"/>
        <v>0.96993210475266745</v>
      </c>
    </row>
    <row r="24" spans="1:7" x14ac:dyDescent="0.75">
      <c r="A24">
        <f t="shared" si="0"/>
        <v>79</v>
      </c>
      <c r="B24">
        <f t="shared" si="5"/>
        <v>19</v>
      </c>
      <c r="C24">
        <f t="shared" si="6"/>
        <v>0.97086785930687258</v>
      </c>
      <c r="D24">
        <f t="shared" si="1"/>
        <v>2.9132140693127417E-2</v>
      </c>
      <c r="E24">
        <f>G24 *D24*($C$2+$D$2) + G24*C24*E25</f>
        <v>97087.378640776704</v>
      </c>
      <c r="F24">
        <f t="shared" si="8"/>
        <v>3.0000000000000002E-2</v>
      </c>
      <c r="G24">
        <f t="shared" si="4"/>
        <v>0.970873786407767</v>
      </c>
    </row>
    <row r="25" spans="1:7" x14ac:dyDescent="0.75">
      <c r="A25">
        <f t="shared" si="0"/>
        <v>80</v>
      </c>
      <c r="B25">
        <f t="shared" si="5"/>
        <v>20</v>
      </c>
      <c r="C25">
        <f t="shared" si="6"/>
        <v>0.96734151559797676</v>
      </c>
      <c r="D25">
        <f t="shared" si="1"/>
        <v>3.2658484402023236E-2</v>
      </c>
      <c r="E25">
        <f>$C$2+$D$2</f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1.a</vt:lpstr>
      <vt:lpstr>1.b</vt:lpstr>
      <vt:lpstr>2.a</vt:lpstr>
      <vt:lpstr>2.b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Joseph</dc:creator>
  <cp:lastModifiedBy>Joe Joseph</cp:lastModifiedBy>
  <dcterms:created xsi:type="dcterms:W3CDTF">2025-11-10T21:39:48Z</dcterms:created>
  <dcterms:modified xsi:type="dcterms:W3CDTF">2025-11-13T01:26:02Z</dcterms:modified>
</cp:coreProperties>
</file>