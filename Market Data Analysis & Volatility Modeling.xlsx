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bd9e86679a8ca7/Desktop/"/>
    </mc:Choice>
  </mc:AlternateContent>
  <xr:revisionPtr revIDLastSave="314" documentId="8_{63F4E44E-7B80-40DE-B5EF-DAB0FAA0D68E}" xr6:coauthVersionLast="47" xr6:coauthVersionMax="47" xr10:uidLastSave="{F26ED1B2-5ABF-447F-B0B4-34DADD429DE0}"/>
  <bookViews>
    <workbookView xWindow="-90" yWindow="-90" windowWidth="19380" windowHeight="11460" xr2:uid="{56F2DA10-37CC-40CA-8195-24EBB9964FB4}"/>
  </bookViews>
  <sheets>
    <sheet name="Crude Oil WTI Data" sheetId="1" r:id="rId1"/>
    <sheet name="Crude Oil Price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I12" i="1"/>
  <c r="J2" i="1"/>
  <c r="L2" i="1" l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" i="1"/>
  <c r="H3" i="1"/>
  <c r="H4" i="1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" i="1"/>
  <c r="N2" i="1" l="1"/>
  <c r="P2" i="1"/>
</calcChain>
</file>

<file path=xl/sharedStrings.xml><?xml version="1.0" encoding="utf-8"?>
<sst xmlns="http://schemas.openxmlformats.org/spreadsheetml/2006/main" count="2537" uniqueCount="2474">
  <si>
    <t>Date</t>
  </si>
  <si>
    <t>Price</t>
  </si>
  <si>
    <t>Open</t>
  </si>
  <si>
    <t>High</t>
  </si>
  <si>
    <t>Low</t>
  </si>
  <si>
    <t>Vol.</t>
  </si>
  <si>
    <t>Change %</t>
  </si>
  <si>
    <t>146.07K</t>
  </si>
  <si>
    <t>493.44K</t>
  </si>
  <si>
    <t>448.29K</t>
  </si>
  <si>
    <t>162.00K</t>
  </si>
  <si>
    <t>261.48K</t>
  </si>
  <si>
    <t>188.74K</t>
  </si>
  <si>
    <t>221.84K</t>
  </si>
  <si>
    <t>220.66K</t>
  </si>
  <si>
    <t>182.49K</t>
  </si>
  <si>
    <t>63.63K</t>
  </si>
  <si>
    <t>93.10K</t>
  </si>
  <si>
    <t>79.13K</t>
  </si>
  <si>
    <t>69.64K</t>
  </si>
  <si>
    <t>40.39K</t>
  </si>
  <si>
    <t>90.95K</t>
  </si>
  <si>
    <t>114.62K</t>
  </si>
  <si>
    <t>291.66K</t>
  </si>
  <si>
    <t>326.61K</t>
  </si>
  <si>
    <t>280.90K</t>
  </si>
  <si>
    <t>210.75K</t>
  </si>
  <si>
    <t>201.26K</t>
  </si>
  <si>
    <t>231.02K</t>
  </si>
  <si>
    <t>231.68K</t>
  </si>
  <si>
    <t>157.46K</t>
  </si>
  <si>
    <t>176.71K</t>
  </si>
  <si>
    <t>207.12K</t>
  </si>
  <si>
    <t>129.14K</t>
  </si>
  <si>
    <t>141.67K</t>
  </si>
  <si>
    <t>134.42K</t>
  </si>
  <si>
    <t>95.00K</t>
  </si>
  <si>
    <t>106.39K</t>
  </si>
  <si>
    <t>87.85K</t>
  </si>
  <si>
    <t>98.59K</t>
  </si>
  <si>
    <t>146.70K</t>
  </si>
  <si>
    <t>209.42K</t>
  </si>
  <si>
    <t>131.44K</t>
  </si>
  <si>
    <t>235.64K</t>
  </si>
  <si>
    <t>349.70K</t>
  </si>
  <si>
    <t>300.55K</t>
  </si>
  <si>
    <t>200.77K</t>
  </si>
  <si>
    <t>176.09K</t>
  </si>
  <si>
    <t>254.21K</t>
  </si>
  <si>
    <t>181.18K</t>
  </si>
  <si>
    <t>215.31K</t>
  </si>
  <si>
    <t>211.74K</t>
  </si>
  <si>
    <t>187.30K</t>
  </si>
  <si>
    <t>158.53K</t>
  </si>
  <si>
    <t>108.65K</t>
  </si>
  <si>
    <t>108.26K</t>
  </si>
  <si>
    <t>110.38K</t>
  </si>
  <si>
    <t>109.20K</t>
  </si>
  <si>
    <t>92.73K</t>
  </si>
  <si>
    <t>93.13K</t>
  </si>
  <si>
    <t>141.39K</t>
  </si>
  <si>
    <t>99.41K</t>
  </si>
  <si>
    <t>83.73K</t>
  </si>
  <si>
    <t>119.31K</t>
  </si>
  <si>
    <t>330.46K</t>
  </si>
  <si>
    <t>302.75K</t>
  </si>
  <si>
    <t>335.56K</t>
  </si>
  <si>
    <t>228.84K</t>
  </si>
  <si>
    <t>181.55K</t>
  </si>
  <si>
    <t>244.86K</t>
  </si>
  <si>
    <t>174.47K</t>
  </si>
  <si>
    <t>217.34K</t>
  </si>
  <si>
    <t>206.39K</t>
  </si>
  <si>
    <t>228.02K</t>
  </si>
  <si>
    <t>329.53K</t>
  </si>
  <si>
    <t>257.21K</t>
  </si>
  <si>
    <t>262.04K</t>
  </si>
  <si>
    <t>275.08K</t>
  </si>
  <si>
    <t>241.14K</t>
  </si>
  <si>
    <t>353.03K</t>
  </si>
  <si>
    <t>189.29K</t>
  </si>
  <si>
    <t>169.90K</t>
  </si>
  <si>
    <t>274.69K</t>
  </si>
  <si>
    <t>272.17K</t>
  </si>
  <si>
    <t>167.02K</t>
  </si>
  <si>
    <t>185.35K</t>
  </si>
  <si>
    <t>307.00K</t>
  </si>
  <si>
    <t>354.93K</t>
  </si>
  <si>
    <t>367.19K</t>
  </si>
  <si>
    <t>289.93K</t>
  </si>
  <si>
    <t>235.88K</t>
  </si>
  <si>
    <t>230.30K</t>
  </si>
  <si>
    <t>221.59K</t>
  </si>
  <si>
    <t>237.20K</t>
  </si>
  <si>
    <t>257.97K</t>
  </si>
  <si>
    <t>163.36K</t>
  </si>
  <si>
    <t>165.62K</t>
  </si>
  <si>
    <t>210.22K</t>
  </si>
  <si>
    <t>235.03K</t>
  </si>
  <si>
    <t>231.78K</t>
  </si>
  <si>
    <t>210.33K</t>
  </si>
  <si>
    <t>224.37K</t>
  </si>
  <si>
    <t>131.59K</t>
  </si>
  <si>
    <t>154.88K</t>
  </si>
  <si>
    <t>209.30K</t>
  </si>
  <si>
    <t>131.32K</t>
  </si>
  <si>
    <t>143.77K</t>
  </si>
  <si>
    <t>178.98K</t>
  </si>
  <si>
    <t>329.28K</t>
  </si>
  <si>
    <t>422.10K</t>
  </si>
  <si>
    <t>317.68K</t>
  </si>
  <si>
    <t>237.54K</t>
  </si>
  <si>
    <t>344.94K</t>
  </si>
  <si>
    <t>283.20K</t>
  </si>
  <si>
    <t>244.98K</t>
  </si>
  <si>
    <t>143.83K</t>
  </si>
  <si>
    <t>205.55K</t>
  </si>
  <si>
    <t>215.90K</t>
  </si>
  <si>
    <t>175.21K</t>
  </si>
  <si>
    <t>228.05K</t>
  </si>
  <si>
    <t>216.86K</t>
  </si>
  <si>
    <t>182.47K</t>
  </si>
  <si>
    <t>239.72K</t>
  </si>
  <si>
    <t>229.37K</t>
  </si>
  <si>
    <t>178.81K</t>
  </si>
  <si>
    <t>161.41K</t>
  </si>
  <si>
    <t>224.03K</t>
  </si>
  <si>
    <t>184.20K</t>
  </si>
  <si>
    <t>191.99K</t>
  </si>
  <si>
    <t>345.24K</t>
  </si>
  <si>
    <t>427.06K</t>
  </si>
  <si>
    <t>398.37K</t>
  </si>
  <si>
    <t>419.58K</t>
  </si>
  <si>
    <t>272.20K</t>
  </si>
  <si>
    <t>216.42K</t>
  </si>
  <si>
    <t>276.67K</t>
  </si>
  <si>
    <t>205.10K</t>
  </si>
  <si>
    <t>193.21K</t>
  </si>
  <si>
    <t>166.79K</t>
  </si>
  <si>
    <t>143.02K</t>
  </si>
  <si>
    <t>168.80K</t>
  </si>
  <si>
    <t>156.73K</t>
  </si>
  <si>
    <t>225.17K</t>
  </si>
  <si>
    <t>214.49K</t>
  </si>
  <si>
    <t>110.62K</t>
  </si>
  <si>
    <t>158.90K</t>
  </si>
  <si>
    <t>147.98K</t>
  </si>
  <si>
    <t>173.57K</t>
  </si>
  <si>
    <t>158.61K</t>
  </si>
  <si>
    <t>163.22K</t>
  </si>
  <si>
    <t>420.50K</t>
  </si>
  <si>
    <t>485.71K</t>
  </si>
  <si>
    <t>402.74K</t>
  </si>
  <si>
    <t>316.38K</t>
  </si>
  <si>
    <t>301.73K</t>
  </si>
  <si>
    <t>209.18K</t>
  </si>
  <si>
    <t>202.57K</t>
  </si>
  <si>
    <t>181.84K</t>
  </si>
  <si>
    <t>139.59K</t>
  </si>
  <si>
    <t>145.06K</t>
  </si>
  <si>
    <t>159.60K</t>
  </si>
  <si>
    <t>209.68K</t>
  </si>
  <si>
    <t>219.93K</t>
  </si>
  <si>
    <t>157.56K</t>
  </si>
  <si>
    <t>176.67K</t>
  </si>
  <si>
    <t>123.48K</t>
  </si>
  <si>
    <t>121.48K</t>
  </si>
  <si>
    <t>139.52K</t>
  </si>
  <si>
    <t>125.72K</t>
  </si>
  <si>
    <t>139.45K</t>
  </si>
  <si>
    <t>371.67K</t>
  </si>
  <si>
    <t>342.09K</t>
  </si>
  <si>
    <t>321.03K</t>
  </si>
  <si>
    <t>277.25K</t>
  </si>
  <si>
    <t>299.56K</t>
  </si>
  <si>
    <t>259.53K</t>
  </si>
  <si>
    <t>200.28K</t>
  </si>
  <si>
    <t>164.35K</t>
  </si>
  <si>
    <t>184.46K</t>
  </si>
  <si>
    <t>228.44K</t>
  </si>
  <si>
    <t>192.57K</t>
  </si>
  <si>
    <t>152.59K</t>
  </si>
  <si>
    <t>217.26K</t>
  </si>
  <si>
    <t>174.67K</t>
  </si>
  <si>
    <t>235.28K</t>
  </si>
  <si>
    <t>233.66K</t>
  </si>
  <si>
    <t>170.81K</t>
  </si>
  <si>
    <t>98.78K</t>
  </si>
  <si>
    <t>132.56K</t>
  </si>
  <si>
    <t>142.45K</t>
  </si>
  <si>
    <t>172.23K</t>
  </si>
  <si>
    <t>313.91K</t>
  </si>
  <si>
    <t>556.46K</t>
  </si>
  <si>
    <t>366.75K</t>
  </si>
  <si>
    <t>387.63K</t>
  </si>
  <si>
    <t>217.44K</t>
  </si>
  <si>
    <t>253.34K</t>
  </si>
  <si>
    <t>245.33K</t>
  </si>
  <si>
    <t>249.97K</t>
  </si>
  <si>
    <t>233.96K</t>
  </si>
  <si>
    <t>198.56K</t>
  </si>
  <si>
    <t>207.99K</t>
  </si>
  <si>
    <t>211.84K</t>
  </si>
  <si>
    <t>218.70K</t>
  </si>
  <si>
    <t>190.90K</t>
  </si>
  <si>
    <t>197.83K</t>
  </si>
  <si>
    <t>199.89K</t>
  </si>
  <si>
    <t>148.49K</t>
  </si>
  <si>
    <t>109.07K</t>
  </si>
  <si>
    <t>118.75K</t>
  </si>
  <si>
    <t>153.14K</t>
  </si>
  <si>
    <t>103.44K</t>
  </si>
  <si>
    <t>115.75K</t>
  </si>
  <si>
    <t>351.16K</t>
  </si>
  <si>
    <t>341.70K</t>
  </si>
  <si>
    <t>323.92K</t>
  </si>
  <si>
    <t>215.80K</t>
  </si>
  <si>
    <t>248.80K</t>
  </si>
  <si>
    <t>209.24K</t>
  </si>
  <si>
    <t>178.80K</t>
  </si>
  <si>
    <t>175.74K</t>
  </si>
  <si>
    <t>175.73K</t>
  </si>
  <si>
    <t>215.58K</t>
  </si>
  <si>
    <t>200.04K</t>
  </si>
  <si>
    <t>220.43K</t>
  </si>
  <si>
    <t>154.86K</t>
  </si>
  <si>
    <t>175.93K</t>
  </si>
  <si>
    <t>154.80K</t>
  </si>
  <si>
    <t>142.99K</t>
  </si>
  <si>
    <t>98.88K</t>
  </si>
  <si>
    <t>117.05K</t>
  </si>
  <si>
    <t>134.05K</t>
  </si>
  <si>
    <t>145.39K</t>
  </si>
  <si>
    <t>133.71K</t>
  </si>
  <si>
    <t>435.24K</t>
  </si>
  <si>
    <t>451.36K</t>
  </si>
  <si>
    <t>342.33K</t>
  </si>
  <si>
    <t>276.33K</t>
  </si>
  <si>
    <t>253.50K</t>
  </si>
  <si>
    <t>169.64K</t>
  </si>
  <si>
    <t>172.00K</t>
  </si>
  <si>
    <t>229.89K</t>
  </si>
  <si>
    <t>133.42K</t>
  </si>
  <si>
    <t>123.62K</t>
  </si>
  <si>
    <t>151.30K</t>
  </si>
  <si>
    <t>216.06K</t>
  </si>
  <si>
    <t>238.84K</t>
  </si>
  <si>
    <t>104.94K</t>
  </si>
  <si>
    <t>118.71K</t>
  </si>
  <si>
    <t>103.54K</t>
  </si>
  <si>
    <t>135.88K</t>
  </si>
  <si>
    <t>89.28K</t>
  </si>
  <si>
    <t>100.36K</t>
  </si>
  <si>
    <t>107.72K</t>
  </si>
  <si>
    <t>372.28K</t>
  </si>
  <si>
    <t>360.03K</t>
  </si>
  <si>
    <t>396.28K</t>
  </si>
  <si>
    <t>348.48K</t>
  </si>
  <si>
    <t>312.94K</t>
  </si>
  <si>
    <t>244.20K</t>
  </si>
  <si>
    <t>240.34K</t>
  </si>
  <si>
    <t>198.04K</t>
  </si>
  <si>
    <t>204.37K</t>
  </si>
  <si>
    <t>193.27K</t>
  </si>
  <si>
    <t>164.95K</t>
  </si>
  <si>
    <t>144.60K</t>
  </si>
  <si>
    <t>129.06K</t>
  </si>
  <si>
    <t>108.52K</t>
  </si>
  <si>
    <t>63.48K</t>
  </si>
  <si>
    <t>94.29K</t>
  </si>
  <si>
    <t>80.38K</t>
  </si>
  <si>
    <t>56.76K</t>
  </si>
  <si>
    <t>76.79K</t>
  </si>
  <si>
    <t>81.11K</t>
  </si>
  <si>
    <t>98.97K</t>
  </si>
  <si>
    <t>230.04K</t>
  </si>
  <si>
    <t>354.89K</t>
  </si>
  <si>
    <t>262.87K</t>
  </si>
  <si>
    <t>224.16K</t>
  </si>
  <si>
    <t>185.24K</t>
  </si>
  <si>
    <t>189.45K</t>
  </si>
  <si>
    <t>119.85K</t>
  </si>
  <si>
    <t>124.73K</t>
  </si>
  <si>
    <t>144.37K</t>
  </si>
  <si>
    <t>183.91K</t>
  </si>
  <si>
    <t>142.71K</t>
  </si>
  <si>
    <t>158.42K</t>
  </si>
  <si>
    <t>127.63K</t>
  </si>
  <si>
    <t>209.44K</t>
  </si>
  <si>
    <t>112.41K</t>
  </si>
  <si>
    <t>121.44K</t>
  </si>
  <si>
    <t>84.35K</t>
  </si>
  <si>
    <t>74.98K</t>
  </si>
  <si>
    <t>99.86K</t>
  </si>
  <si>
    <t>69.05K</t>
  </si>
  <si>
    <t>270.64K</t>
  </si>
  <si>
    <t>368.48K</t>
  </si>
  <si>
    <t>428.82K</t>
  </si>
  <si>
    <t>253.17K</t>
  </si>
  <si>
    <t>166.18K</t>
  </si>
  <si>
    <t>157.42K</t>
  </si>
  <si>
    <t>159.39K</t>
  </si>
  <si>
    <t>172.86K</t>
  </si>
  <si>
    <t>219.20K</t>
  </si>
  <si>
    <t>198.96K</t>
  </si>
  <si>
    <t>131.58K</t>
  </si>
  <si>
    <t>213.05K</t>
  </si>
  <si>
    <t>158.21K</t>
  </si>
  <si>
    <t>160.14K</t>
  </si>
  <si>
    <t>135.89K</t>
  </si>
  <si>
    <t>119.75K</t>
  </si>
  <si>
    <t>101.15K</t>
  </si>
  <si>
    <t>107.55K</t>
  </si>
  <si>
    <t>141.32K</t>
  </si>
  <si>
    <t>136.15K</t>
  </si>
  <si>
    <t>101.18K</t>
  </si>
  <si>
    <t>311.92K</t>
  </si>
  <si>
    <t>384.03K</t>
  </si>
  <si>
    <t>384.53K</t>
  </si>
  <si>
    <t>229.52K</t>
  </si>
  <si>
    <t>205.58K</t>
  </si>
  <si>
    <t>290.38K</t>
  </si>
  <si>
    <t>296.21K</t>
  </si>
  <si>
    <t>286.84K</t>
  </si>
  <si>
    <t>246.75K</t>
  </si>
  <si>
    <t>246.68K</t>
  </si>
  <si>
    <t>277.71K</t>
  </si>
  <si>
    <t>234.18K</t>
  </si>
  <si>
    <t>217.23K</t>
  </si>
  <si>
    <t>204.06K</t>
  </si>
  <si>
    <t>161.57K</t>
  </si>
  <si>
    <t>156.93K</t>
  </si>
  <si>
    <t>226.83K</t>
  </si>
  <si>
    <t>293.27K</t>
  </si>
  <si>
    <t>137.24K</t>
  </si>
  <si>
    <t>161.52K</t>
  </si>
  <si>
    <t>253.89K</t>
  </si>
  <si>
    <t>162.03K</t>
  </si>
  <si>
    <t>457.85K</t>
  </si>
  <si>
    <t>537.52K</t>
  </si>
  <si>
    <t>414.19K</t>
  </si>
  <si>
    <t>321.84K</t>
  </si>
  <si>
    <t>257.68K</t>
  </si>
  <si>
    <t>250.86K</t>
  </si>
  <si>
    <t>217.68K</t>
  </si>
  <si>
    <t>179.00K</t>
  </si>
  <si>
    <t>125.62K</t>
  </si>
  <si>
    <t>111.07K</t>
  </si>
  <si>
    <t>135.35K</t>
  </si>
  <si>
    <t>154.05K</t>
  </si>
  <si>
    <t>169.83K</t>
  </si>
  <si>
    <t>150.23K</t>
  </si>
  <si>
    <t>80.26K</t>
  </si>
  <si>
    <t>88.15K</t>
  </si>
  <si>
    <t>71.33K</t>
  </si>
  <si>
    <t>165.22K</t>
  </si>
  <si>
    <t>149.90K</t>
  </si>
  <si>
    <t>127.19K</t>
  </si>
  <si>
    <t>287.49K</t>
  </si>
  <si>
    <t>361.84K</t>
  </si>
  <si>
    <t>377.45K</t>
  </si>
  <si>
    <t>239.17K</t>
  </si>
  <si>
    <t>237.71K</t>
  </si>
  <si>
    <t>198.94K</t>
  </si>
  <si>
    <t>126.69K</t>
  </si>
  <si>
    <t>174.30K</t>
  </si>
  <si>
    <t>166.86K</t>
  </si>
  <si>
    <t>279.75K</t>
  </si>
  <si>
    <t>187.84K</t>
  </si>
  <si>
    <t>123.01K</t>
  </si>
  <si>
    <t>108.12K</t>
  </si>
  <si>
    <t>150.29K</t>
  </si>
  <si>
    <t>135.80K</t>
  </si>
  <si>
    <t>105.36K</t>
  </si>
  <si>
    <t>92.51K</t>
  </si>
  <si>
    <t>101.33K</t>
  </si>
  <si>
    <t>138.78K</t>
  </si>
  <si>
    <t>112.97K</t>
  </si>
  <si>
    <t>122.79K</t>
  </si>
  <si>
    <t>109.57K</t>
  </si>
  <si>
    <t>106.73K</t>
  </si>
  <si>
    <t>340.96K</t>
  </si>
  <si>
    <t>385.60K</t>
  </si>
  <si>
    <t>388.37K</t>
  </si>
  <si>
    <t>248.26K</t>
  </si>
  <si>
    <t>204.78K</t>
  </si>
  <si>
    <t>297.92K</t>
  </si>
  <si>
    <t>251.40K</t>
  </si>
  <si>
    <t>193.29K</t>
  </si>
  <si>
    <t>143.74K</t>
  </si>
  <si>
    <t>178.32K</t>
  </si>
  <si>
    <t>217.75K</t>
  </si>
  <si>
    <t>214.79K</t>
  </si>
  <si>
    <t>107.16K</t>
  </si>
  <si>
    <t>136.64K</t>
  </si>
  <si>
    <t>106.17K</t>
  </si>
  <si>
    <t>159.54K</t>
  </si>
  <si>
    <t>170.46K</t>
  </si>
  <si>
    <t>94.21K</t>
  </si>
  <si>
    <t>113.92K</t>
  </si>
  <si>
    <t>234.79K</t>
  </si>
  <si>
    <t>97.51K</t>
  </si>
  <si>
    <t>430.49K</t>
  </si>
  <si>
    <t>297.84K</t>
  </si>
  <si>
    <t>262.83K</t>
  </si>
  <si>
    <t>212.22K</t>
  </si>
  <si>
    <t>253.16K</t>
  </si>
  <si>
    <t>223.62K</t>
  </si>
  <si>
    <t>160.29K</t>
  </si>
  <si>
    <t>236.21K</t>
  </si>
  <si>
    <t>109.56K</t>
  </si>
  <si>
    <t>118.29K</t>
  </si>
  <si>
    <t>148.98K</t>
  </si>
  <si>
    <t>110.94K</t>
  </si>
  <si>
    <t>135.27K</t>
  </si>
  <si>
    <t>157.34K</t>
  </si>
  <si>
    <t>117.50K</t>
  </si>
  <si>
    <t>77.58K</t>
  </si>
  <si>
    <t>154.73K</t>
  </si>
  <si>
    <t>121.83K</t>
  </si>
  <si>
    <t>92.34K</t>
  </si>
  <si>
    <t>263.98K</t>
  </si>
  <si>
    <t>312.43K</t>
  </si>
  <si>
    <t>239.92K</t>
  </si>
  <si>
    <t>219.09K</t>
  </si>
  <si>
    <t>153.07K</t>
  </si>
  <si>
    <t>159.52K</t>
  </si>
  <si>
    <t>115.90K</t>
  </si>
  <si>
    <t>172.29K</t>
  </si>
  <si>
    <t>172.14K</t>
  </si>
  <si>
    <t>135.29K</t>
  </si>
  <si>
    <t>125.43K</t>
  </si>
  <si>
    <t>115.12K</t>
  </si>
  <si>
    <t>160.32K</t>
  </si>
  <si>
    <t>188.01K</t>
  </si>
  <si>
    <t>152.45K</t>
  </si>
  <si>
    <t>64.06K</t>
  </si>
  <si>
    <t>111.02K</t>
  </si>
  <si>
    <t>125.42K</t>
  </si>
  <si>
    <t>180.08K</t>
  </si>
  <si>
    <t>134.66K</t>
  </si>
  <si>
    <t>103.04K</t>
  </si>
  <si>
    <t>109.19K</t>
  </si>
  <si>
    <t>361.41K</t>
  </si>
  <si>
    <t>350.78K</t>
  </si>
  <si>
    <t>311.78K</t>
  </si>
  <si>
    <t>229.97K</t>
  </si>
  <si>
    <t>205.48K</t>
  </si>
  <si>
    <t>155.56K</t>
  </si>
  <si>
    <t>220.62K</t>
  </si>
  <si>
    <t>158.75K</t>
  </si>
  <si>
    <t>120.66K</t>
  </si>
  <si>
    <t>103.59K</t>
  </si>
  <si>
    <t>109.75K</t>
  </si>
  <si>
    <t>148.22K</t>
  </si>
  <si>
    <t>287.98K</t>
  </si>
  <si>
    <t>125.24K</t>
  </si>
  <si>
    <t>99.83K</t>
  </si>
  <si>
    <t>133.99K</t>
  </si>
  <si>
    <t>138.51K</t>
  </si>
  <si>
    <t>125.01K</t>
  </si>
  <si>
    <t>153.65K</t>
  </si>
  <si>
    <t>166.52K</t>
  </si>
  <si>
    <t>148.11K</t>
  </si>
  <si>
    <t>409.50K</t>
  </si>
  <si>
    <t>418.54K</t>
  </si>
  <si>
    <t>482.49K</t>
  </si>
  <si>
    <t>251.50K</t>
  </si>
  <si>
    <t>356.42K</t>
  </si>
  <si>
    <t>216.69K</t>
  </si>
  <si>
    <t>167.40K</t>
  </si>
  <si>
    <t>143.19K</t>
  </si>
  <si>
    <t>147.72K</t>
  </si>
  <si>
    <t>136.03K</t>
  </si>
  <si>
    <t>163.00K</t>
  </si>
  <si>
    <t>80.13K</t>
  </si>
  <si>
    <t>99.09K</t>
  </si>
  <si>
    <t>61.37K</t>
  </si>
  <si>
    <t>104.50K</t>
  </si>
  <si>
    <t>88.93K</t>
  </si>
  <si>
    <t>79.74K</t>
  </si>
  <si>
    <t>99.17K</t>
  </si>
  <si>
    <t>98.82K</t>
  </si>
  <si>
    <t>402.35K</t>
  </si>
  <si>
    <t>343.63K</t>
  </si>
  <si>
    <t>204.09K</t>
  </si>
  <si>
    <t>150.59K</t>
  </si>
  <si>
    <t>192.27K</t>
  </si>
  <si>
    <t>155.59K</t>
  </si>
  <si>
    <t>151.98K</t>
  </si>
  <si>
    <t>132.72K</t>
  </si>
  <si>
    <t>155.18K</t>
  </si>
  <si>
    <t>186.67K</t>
  </si>
  <si>
    <t>120.92K</t>
  </si>
  <si>
    <t>126.22K</t>
  </si>
  <si>
    <t>94.84K</t>
  </si>
  <si>
    <t>113.87K</t>
  </si>
  <si>
    <t>88.38K</t>
  </si>
  <si>
    <t>101.70K</t>
  </si>
  <si>
    <t>123.92K</t>
  </si>
  <si>
    <t>98.18K</t>
  </si>
  <si>
    <t>101.06K</t>
  </si>
  <si>
    <t>93.04K</t>
  </si>
  <si>
    <t>104.29K</t>
  </si>
  <si>
    <t>300.15K</t>
  </si>
  <si>
    <t>321.13K</t>
  </si>
  <si>
    <t>326.23K</t>
  </si>
  <si>
    <t>267.91K</t>
  </si>
  <si>
    <t>189.32K</t>
  </si>
  <si>
    <t>188.06K</t>
  </si>
  <si>
    <t>179.83K</t>
  </si>
  <si>
    <t>164.98K</t>
  </si>
  <si>
    <t>154.20K</t>
  </si>
  <si>
    <t>95.22K</t>
  </si>
  <si>
    <t>112.45K</t>
  </si>
  <si>
    <t>149.77K</t>
  </si>
  <si>
    <t>139.84K</t>
  </si>
  <si>
    <t>72.81K</t>
  </si>
  <si>
    <t>53.32K</t>
  </si>
  <si>
    <t>62.68K</t>
  </si>
  <si>
    <t>67.69K</t>
  </si>
  <si>
    <t>79.46K</t>
  </si>
  <si>
    <t>62.70K</t>
  </si>
  <si>
    <t>65.19K</t>
  </si>
  <si>
    <t>254.79K</t>
  </si>
  <si>
    <t>257.46K</t>
  </si>
  <si>
    <t>271.86K</t>
  </si>
  <si>
    <t>188.50K</t>
  </si>
  <si>
    <t>185.52K</t>
  </si>
  <si>
    <t>190.74K</t>
  </si>
  <si>
    <t>148.97K</t>
  </si>
  <si>
    <t>146.59K</t>
  </si>
  <si>
    <t>245.39K</t>
  </si>
  <si>
    <t>148.54K</t>
  </si>
  <si>
    <t>120.67K</t>
  </si>
  <si>
    <t>105.02K</t>
  </si>
  <si>
    <t>96.43K</t>
  </si>
  <si>
    <t>116.20K</t>
  </si>
  <si>
    <t>90.29K</t>
  </si>
  <si>
    <t>109.11K</t>
  </si>
  <si>
    <t>132.62K</t>
  </si>
  <si>
    <t>59.52K</t>
  </si>
  <si>
    <t>120.39K</t>
  </si>
  <si>
    <t>85.20K</t>
  </si>
  <si>
    <t>475.10K</t>
  </si>
  <si>
    <t>480.54K</t>
  </si>
  <si>
    <t>390.06K</t>
  </si>
  <si>
    <t>191.29K</t>
  </si>
  <si>
    <t>239.60K</t>
  </si>
  <si>
    <t>183.53K</t>
  </si>
  <si>
    <t>154.79K</t>
  </si>
  <si>
    <t>160.49K</t>
  </si>
  <si>
    <t>162.91K</t>
  </si>
  <si>
    <t>143.34K</t>
  </si>
  <si>
    <t>104.87K</t>
  </si>
  <si>
    <t>80.43K</t>
  </si>
  <si>
    <t>86.74K</t>
  </si>
  <si>
    <t>81.92K</t>
  </si>
  <si>
    <t>81.40K</t>
  </si>
  <si>
    <t>78.71K</t>
  </si>
  <si>
    <t>110.53K</t>
  </si>
  <si>
    <t>80.03K</t>
  </si>
  <si>
    <t>77.80K</t>
  </si>
  <si>
    <t>58.38K</t>
  </si>
  <si>
    <t>83.09K</t>
  </si>
  <si>
    <t>338.34K</t>
  </si>
  <si>
    <t>357.72K</t>
  </si>
  <si>
    <t>367.50K</t>
  </si>
  <si>
    <t>174.19K</t>
  </si>
  <si>
    <t>161.13K</t>
  </si>
  <si>
    <t>185.66K</t>
  </si>
  <si>
    <t>211.34K</t>
  </si>
  <si>
    <t>187.52K</t>
  </si>
  <si>
    <t>156.09K</t>
  </si>
  <si>
    <t>242.27K</t>
  </si>
  <si>
    <t>108.49K</t>
  </si>
  <si>
    <t>160.03K</t>
  </si>
  <si>
    <t>156.00K</t>
  </si>
  <si>
    <t>135.99K</t>
  </si>
  <si>
    <t>95.34K</t>
  </si>
  <si>
    <t>127.46K</t>
  </si>
  <si>
    <t>156.31K</t>
  </si>
  <si>
    <t>123.82K</t>
  </si>
  <si>
    <t>106.23K</t>
  </si>
  <si>
    <t>143.23K</t>
  </si>
  <si>
    <t>121.08K</t>
  </si>
  <si>
    <t>144.13K</t>
  </si>
  <si>
    <t>279.81K</t>
  </si>
  <si>
    <t>262.90K</t>
  </si>
  <si>
    <t>231.14K</t>
  </si>
  <si>
    <t>182.29K</t>
  </si>
  <si>
    <t>208.02K</t>
  </si>
  <si>
    <t>183.48K</t>
  </si>
  <si>
    <t>133.78K</t>
  </si>
  <si>
    <t>139.12K</t>
  </si>
  <si>
    <t>131.42K</t>
  </si>
  <si>
    <t>123.25K</t>
  </si>
  <si>
    <t>104.66K</t>
  </si>
  <si>
    <t>81.80K</t>
  </si>
  <si>
    <t>85.18K</t>
  </si>
  <si>
    <t>99.45K</t>
  </si>
  <si>
    <t>120.37K</t>
  </si>
  <si>
    <t>85.04K</t>
  </si>
  <si>
    <t>100.62K</t>
  </si>
  <si>
    <t>81.50K</t>
  </si>
  <si>
    <t>92.60K</t>
  </si>
  <si>
    <t>92.18K</t>
  </si>
  <si>
    <t>352.67K</t>
  </si>
  <si>
    <t>255.42K</t>
  </si>
  <si>
    <t>247.56K</t>
  </si>
  <si>
    <t>187.60K</t>
  </si>
  <si>
    <t>191.53K</t>
  </si>
  <si>
    <t>134.21K</t>
  </si>
  <si>
    <t>132.28K</t>
  </si>
  <si>
    <t>162.98K</t>
  </si>
  <si>
    <t>157.22K</t>
  </si>
  <si>
    <t>130.89K</t>
  </si>
  <si>
    <t>130.08K</t>
  </si>
  <si>
    <t>134.18K</t>
  </si>
  <si>
    <t>107.06K</t>
  </si>
  <si>
    <t>141.60K</t>
  </si>
  <si>
    <t>133.90K</t>
  </si>
  <si>
    <t>144.82K</t>
  </si>
  <si>
    <t>116.64K</t>
  </si>
  <si>
    <t>96.14K</t>
  </si>
  <si>
    <t>105.40K</t>
  </si>
  <si>
    <t>89.07K</t>
  </si>
  <si>
    <t>92.70K</t>
  </si>
  <si>
    <t>106.60K</t>
  </si>
  <si>
    <t>106.70K</t>
  </si>
  <si>
    <t>315.62K</t>
  </si>
  <si>
    <t>327.21K</t>
  </si>
  <si>
    <t>291.70K</t>
  </si>
  <si>
    <t>189.25K</t>
  </si>
  <si>
    <t>255.52K</t>
  </si>
  <si>
    <t>187.17K</t>
  </si>
  <si>
    <t>191.25K</t>
  </si>
  <si>
    <t>142.49K</t>
  </si>
  <si>
    <t>124.09K</t>
  </si>
  <si>
    <t>144.92K</t>
  </si>
  <si>
    <t>166.60K</t>
  </si>
  <si>
    <t>199.37K</t>
  </si>
  <si>
    <t>99.69K</t>
  </si>
  <si>
    <t>156.01K</t>
  </si>
  <si>
    <t>101.28K</t>
  </si>
  <si>
    <t>107.61K</t>
  </si>
  <si>
    <t>90.13K</t>
  </si>
  <si>
    <t>116.65K</t>
  </si>
  <si>
    <t>120.06K</t>
  </si>
  <si>
    <t>141.20K</t>
  </si>
  <si>
    <t>427.26K</t>
  </si>
  <si>
    <t>426.00K</t>
  </si>
  <si>
    <t>291.85K</t>
  </si>
  <si>
    <t>198.93K</t>
  </si>
  <si>
    <t>203.95K</t>
  </si>
  <si>
    <t>150.05K</t>
  </si>
  <si>
    <t>133.85K</t>
  </si>
  <si>
    <t>122.09K</t>
  </si>
  <si>
    <t>131.93K</t>
  </si>
  <si>
    <t>140.80K</t>
  </si>
  <si>
    <t>77.61K</t>
  </si>
  <si>
    <t>74.48K</t>
  </si>
  <si>
    <t>114.86K</t>
  </si>
  <si>
    <t>91.07K</t>
  </si>
  <si>
    <t>113.51K</t>
  </si>
  <si>
    <t>57.72K</t>
  </si>
  <si>
    <t>78.22K</t>
  </si>
  <si>
    <t>56.92K</t>
  </si>
  <si>
    <t>65.22K</t>
  </si>
  <si>
    <t>70.51K</t>
  </si>
  <si>
    <t>229.93K</t>
  </si>
  <si>
    <t>340.08K</t>
  </si>
  <si>
    <t>311.84K</t>
  </si>
  <si>
    <t>204.75K</t>
  </si>
  <si>
    <t>166.04K</t>
  </si>
  <si>
    <t>134.31K</t>
  </si>
  <si>
    <t>179.61K</t>
  </si>
  <si>
    <t>179.72K</t>
  </si>
  <si>
    <t>156.44K</t>
  </si>
  <si>
    <t>148.44K</t>
  </si>
  <si>
    <t>119.33K</t>
  </si>
  <si>
    <t>97.44K</t>
  </si>
  <si>
    <t>92.05K</t>
  </si>
  <si>
    <t>89.43K</t>
  </si>
  <si>
    <t>98.35K</t>
  </si>
  <si>
    <t>104.93K</t>
  </si>
  <si>
    <t>76.99K</t>
  </si>
  <si>
    <t>100.12K</t>
  </si>
  <si>
    <t>87.65K</t>
  </si>
  <si>
    <t>60.24K</t>
  </si>
  <si>
    <t>74.66K</t>
  </si>
  <si>
    <t>299.03K</t>
  </si>
  <si>
    <t>339.81K</t>
  </si>
  <si>
    <t>202.72K</t>
  </si>
  <si>
    <t>159.77K</t>
  </si>
  <si>
    <t>186.11K</t>
  </si>
  <si>
    <t>168.89K</t>
  </si>
  <si>
    <t>156.57K</t>
  </si>
  <si>
    <t>168.76K</t>
  </si>
  <si>
    <t>159.99K</t>
  </si>
  <si>
    <t>107.31K</t>
  </si>
  <si>
    <t>123.55K</t>
  </si>
  <si>
    <t>132.55K</t>
  </si>
  <si>
    <t>185.64K</t>
  </si>
  <si>
    <t>83.36K</t>
  </si>
  <si>
    <t>119.63K</t>
  </si>
  <si>
    <t>125.75K</t>
  </si>
  <si>
    <t>103.66K</t>
  </si>
  <si>
    <t>106.02K</t>
  </si>
  <si>
    <t>120.34K</t>
  </si>
  <si>
    <t>318.63K</t>
  </si>
  <si>
    <t>279.31K</t>
  </si>
  <si>
    <t>207.44K</t>
  </si>
  <si>
    <t>221.54K</t>
  </si>
  <si>
    <t>163.42K</t>
  </si>
  <si>
    <t>205.70K</t>
  </si>
  <si>
    <t>162.18K</t>
  </si>
  <si>
    <t>166.35K</t>
  </si>
  <si>
    <t>203.84K</t>
  </si>
  <si>
    <t>249.98K</t>
  </si>
  <si>
    <t>200.16K</t>
  </si>
  <si>
    <t>202.56K</t>
  </si>
  <si>
    <t>167.99K</t>
  </si>
  <si>
    <t>190.66K</t>
  </si>
  <si>
    <t>219.17K</t>
  </si>
  <si>
    <t>285.55K</t>
  </si>
  <si>
    <t>176.43K</t>
  </si>
  <si>
    <t>160.46K</t>
  </si>
  <si>
    <t>289.12K</t>
  </si>
  <si>
    <t>150.13K</t>
  </si>
  <si>
    <t>789.04K</t>
  </si>
  <si>
    <t>566.36K</t>
  </si>
  <si>
    <t>442.04K</t>
  </si>
  <si>
    <t>351.33K</t>
  </si>
  <si>
    <t>258.03K</t>
  </si>
  <si>
    <t>213.15K</t>
  </si>
  <si>
    <t>310.81K</t>
  </si>
  <si>
    <t>255.08K</t>
  </si>
  <si>
    <t>255.17K</t>
  </si>
  <si>
    <t>188.54K</t>
  </si>
  <si>
    <t>247.67K</t>
  </si>
  <si>
    <t>175.47K</t>
  </si>
  <si>
    <t>220.87K</t>
  </si>
  <si>
    <t>189.90K</t>
  </si>
  <si>
    <t>151.60K</t>
  </si>
  <si>
    <t>144.70K</t>
  </si>
  <si>
    <t>144.85K</t>
  </si>
  <si>
    <t>153.94K</t>
  </si>
  <si>
    <t>223.59K</t>
  </si>
  <si>
    <t>153.83K</t>
  </si>
  <si>
    <t>159.57K</t>
  </si>
  <si>
    <t>532.20K</t>
  </si>
  <si>
    <t>511.05K</t>
  </si>
  <si>
    <t>494.00K</t>
  </si>
  <si>
    <t>323.11K</t>
  </si>
  <si>
    <t>289.31K</t>
  </si>
  <si>
    <t>303.16K</t>
  </si>
  <si>
    <t>270.56K</t>
  </si>
  <si>
    <t>210.84K</t>
  </si>
  <si>
    <t>229.28K</t>
  </si>
  <si>
    <t>244.00K</t>
  </si>
  <si>
    <t>197.97K</t>
  </si>
  <si>
    <t>156.45K</t>
  </si>
  <si>
    <t>112.23K</t>
  </si>
  <si>
    <t>63.14K</t>
  </si>
  <si>
    <t>61.02K</t>
  </si>
  <si>
    <t>78.61K</t>
  </si>
  <si>
    <t>66.33K</t>
  </si>
  <si>
    <t>76.67K</t>
  </si>
  <si>
    <t>95.32K</t>
  </si>
  <si>
    <t>94.30K</t>
  </si>
  <si>
    <t>99.77K</t>
  </si>
  <si>
    <t>492.22K</t>
  </si>
  <si>
    <t>351.30K</t>
  </si>
  <si>
    <t>329.08K</t>
  </si>
  <si>
    <t>191.20K</t>
  </si>
  <si>
    <t>177.57K</t>
  </si>
  <si>
    <t>209.97K</t>
  </si>
  <si>
    <t>185.50K</t>
  </si>
  <si>
    <t>144.30K</t>
  </si>
  <si>
    <t>162.64K</t>
  </si>
  <si>
    <t>176.32K</t>
  </si>
  <si>
    <t>109.15K</t>
  </si>
  <si>
    <t>136.24K</t>
  </si>
  <si>
    <t>188.62K</t>
  </si>
  <si>
    <t>164.81K</t>
  </si>
  <si>
    <t>169.53K</t>
  </si>
  <si>
    <t>239.79K</t>
  </si>
  <si>
    <t>83.84K</t>
  </si>
  <si>
    <t>171.03K</t>
  </si>
  <si>
    <t>112.64K</t>
  </si>
  <si>
    <t>623.45K</t>
  </si>
  <si>
    <t>426.77K</t>
  </si>
  <si>
    <t>504.94K</t>
  </si>
  <si>
    <t>208.60K</t>
  </si>
  <si>
    <t>185.74K</t>
  </si>
  <si>
    <t>185.20K</t>
  </si>
  <si>
    <t>209.70K</t>
  </si>
  <si>
    <t>242.72K</t>
  </si>
  <si>
    <t>249.60K</t>
  </si>
  <si>
    <t>165.37K</t>
  </si>
  <si>
    <t>184.24K</t>
  </si>
  <si>
    <t>249.20K</t>
  </si>
  <si>
    <t>189.15K</t>
  </si>
  <si>
    <t>147.57K</t>
  </si>
  <si>
    <t>150.56K</t>
  </si>
  <si>
    <t>173.71K</t>
  </si>
  <si>
    <t>155.20K</t>
  </si>
  <si>
    <t>142.73K</t>
  </si>
  <si>
    <t>171.17K</t>
  </si>
  <si>
    <t>255.20K</t>
  </si>
  <si>
    <t>173.25K</t>
  </si>
  <si>
    <t>169.88K</t>
  </si>
  <si>
    <t>530.69K</t>
  </si>
  <si>
    <t>531.47K</t>
  </si>
  <si>
    <t>501.07K</t>
  </si>
  <si>
    <t>284.73K</t>
  </si>
  <si>
    <t>300.57K</t>
  </si>
  <si>
    <t>304.96K</t>
  </si>
  <si>
    <t>358.20K</t>
  </si>
  <si>
    <t>452.23K</t>
  </si>
  <si>
    <t>446.50K</t>
  </si>
  <si>
    <t>265.13K</t>
  </si>
  <si>
    <t>200.17K</t>
  </si>
  <si>
    <t>238.92K</t>
  </si>
  <si>
    <t>216.82K</t>
  </si>
  <si>
    <t>169.25K</t>
  </si>
  <si>
    <t>239.15K</t>
  </si>
  <si>
    <t>169.91K</t>
  </si>
  <si>
    <t>177.68K</t>
  </si>
  <si>
    <t>207.11K</t>
  </si>
  <si>
    <t>152.84K</t>
  </si>
  <si>
    <t>185.63K</t>
  </si>
  <si>
    <t>146.90K</t>
  </si>
  <si>
    <t>393.40K</t>
  </si>
  <si>
    <t>377.95K</t>
  </si>
  <si>
    <t>288.46K</t>
  </si>
  <si>
    <t>232.72K</t>
  </si>
  <si>
    <t>268.43K</t>
  </si>
  <si>
    <t>242.42K</t>
  </si>
  <si>
    <t>194.03K</t>
  </si>
  <si>
    <t>199.52K</t>
  </si>
  <si>
    <t>238.50K</t>
  </si>
  <si>
    <t>186.53K</t>
  </si>
  <si>
    <t>139.43K</t>
  </si>
  <si>
    <t>101.34K</t>
  </si>
  <si>
    <t>137.71K</t>
  </si>
  <si>
    <t>124.27K</t>
  </si>
  <si>
    <t>90.70K</t>
  </si>
  <si>
    <t>129.09K</t>
  </si>
  <si>
    <t>107.41K</t>
  </si>
  <si>
    <t>102.00K</t>
  </si>
  <si>
    <t>107.20K</t>
  </si>
  <si>
    <t>91.59K</t>
  </si>
  <si>
    <t>365.01K</t>
  </si>
  <si>
    <t>494.97K</t>
  </si>
  <si>
    <t>386.36K</t>
  </si>
  <si>
    <t>232.41K</t>
  </si>
  <si>
    <t>145.27K</t>
  </si>
  <si>
    <t>182.54K</t>
  </si>
  <si>
    <t>223.82K</t>
  </si>
  <si>
    <t>188.99K</t>
  </si>
  <si>
    <t>247.22K</t>
  </si>
  <si>
    <t>273.91K</t>
  </si>
  <si>
    <t>146.62K</t>
  </si>
  <si>
    <t>243.60K</t>
  </si>
  <si>
    <t>174.91K</t>
  </si>
  <si>
    <t>138.72K</t>
  </si>
  <si>
    <t>97.78K</t>
  </si>
  <si>
    <t>110.60K</t>
  </si>
  <si>
    <t>96.97K</t>
  </si>
  <si>
    <t>114.13K</t>
  </si>
  <si>
    <t>105.91K</t>
  </si>
  <si>
    <t>73.54K</t>
  </si>
  <si>
    <t>134.22K</t>
  </si>
  <si>
    <t>151.83K</t>
  </si>
  <si>
    <t>561.63K</t>
  </si>
  <si>
    <t>731.96K</t>
  </si>
  <si>
    <t>359.21K</t>
  </si>
  <si>
    <t>329.01K</t>
  </si>
  <si>
    <t>375.43K</t>
  </si>
  <si>
    <t>286.33K</t>
  </si>
  <si>
    <t>221.74K</t>
  </si>
  <si>
    <t>185.31K</t>
  </si>
  <si>
    <t>247.36K</t>
  </si>
  <si>
    <t>223.71K</t>
  </si>
  <si>
    <t>254.31K</t>
  </si>
  <si>
    <t>163.67K</t>
  </si>
  <si>
    <t>289.38K</t>
  </si>
  <si>
    <t>146.95K</t>
  </si>
  <si>
    <t>113.12K</t>
  </si>
  <si>
    <t>144.56K</t>
  </si>
  <si>
    <t>131.48K</t>
  </si>
  <si>
    <t>170.19K</t>
  </si>
  <si>
    <t>498.56K</t>
  </si>
  <si>
    <t>591.31K</t>
  </si>
  <si>
    <t>420.11K</t>
  </si>
  <si>
    <t>343.67K</t>
  </si>
  <si>
    <t>281.18K</t>
  </si>
  <si>
    <t>195.70K</t>
  </si>
  <si>
    <t>163.55K</t>
  </si>
  <si>
    <t>396.29K</t>
  </si>
  <si>
    <t>205.08K</t>
  </si>
  <si>
    <t>168.12K</t>
  </si>
  <si>
    <t>166.36K</t>
  </si>
  <si>
    <t>156.70K</t>
  </si>
  <si>
    <t>138.05K</t>
  </si>
  <si>
    <t>108.64K</t>
  </si>
  <si>
    <t>110.81K</t>
  </si>
  <si>
    <t>148.83K</t>
  </si>
  <si>
    <t>186.24K</t>
  </si>
  <si>
    <t>113.06K</t>
  </si>
  <si>
    <t>122.47K</t>
  </si>
  <si>
    <t>229.42K</t>
  </si>
  <si>
    <t>155.50K</t>
  </si>
  <si>
    <t>187.39K</t>
  </si>
  <si>
    <t>524.17K</t>
  </si>
  <si>
    <t>615.26K</t>
  </si>
  <si>
    <t>484.42K</t>
  </si>
  <si>
    <t>229.56K</t>
  </si>
  <si>
    <t>246.22K</t>
  </si>
  <si>
    <t>247.68K</t>
  </si>
  <si>
    <t>256.70K</t>
  </si>
  <si>
    <t>195.32K</t>
  </si>
  <si>
    <t>193.20K</t>
  </si>
  <si>
    <t>168.37K</t>
  </si>
  <si>
    <t>117.49K</t>
  </si>
  <si>
    <t>187.51K</t>
  </si>
  <si>
    <t>148.65K</t>
  </si>
  <si>
    <t>86.70K</t>
  </si>
  <si>
    <t>159.45K</t>
  </si>
  <si>
    <t>119.35K</t>
  </si>
  <si>
    <t>127.27K</t>
  </si>
  <si>
    <t>111.62K</t>
  </si>
  <si>
    <t>103.53K</t>
  </si>
  <si>
    <t>104.73K</t>
  </si>
  <si>
    <t>99.27K</t>
  </si>
  <si>
    <t>476.05K</t>
  </si>
  <si>
    <t>279.37K</t>
  </si>
  <si>
    <t>265.80K</t>
  </si>
  <si>
    <t>243.64K</t>
  </si>
  <si>
    <t>318.18K</t>
  </si>
  <si>
    <t>198.23K</t>
  </si>
  <si>
    <t>200.51K</t>
  </si>
  <si>
    <t>207.85K</t>
  </si>
  <si>
    <t>232.13K</t>
  </si>
  <si>
    <t>193.63K</t>
  </si>
  <si>
    <t>211.41K</t>
  </si>
  <si>
    <t>162.51K</t>
  </si>
  <si>
    <t>224.08K</t>
  </si>
  <si>
    <t>145.02K</t>
  </si>
  <si>
    <t>134.61K</t>
  </si>
  <si>
    <t>142.06K</t>
  </si>
  <si>
    <t>183.90K</t>
  </si>
  <si>
    <t>198.97K</t>
  </si>
  <si>
    <t>190.27K</t>
  </si>
  <si>
    <t>310.15K</t>
  </si>
  <si>
    <t>404.37K</t>
  </si>
  <si>
    <t>723.88K</t>
  </si>
  <si>
    <t>728.88K</t>
  </si>
  <si>
    <t>213.77K</t>
  </si>
  <si>
    <t>193.97K</t>
  </si>
  <si>
    <t>166.57K</t>
  </si>
  <si>
    <t>217.43K</t>
  </si>
  <si>
    <t>217.20K</t>
  </si>
  <si>
    <t>275.96K</t>
  </si>
  <si>
    <t>203.12K</t>
  </si>
  <si>
    <t>231.06K</t>
  </si>
  <si>
    <t>241.24K</t>
  </si>
  <si>
    <t>170.70K</t>
  </si>
  <si>
    <t>149.34K</t>
  </si>
  <si>
    <t>153.33K</t>
  </si>
  <si>
    <t>124.26K</t>
  </si>
  <si>
    <t>180.38K</t>
  </si>
  <si>
    <t>149.43K</t>
  </si>
  <si>
    <t>150.92K</t>
  </si>
  <si>
    <t>505.77K</t>
  </si>
  <si>
    <t>608.59K</t>
  </si>
  <si>
    <t>538.43K</t>
  </si>
  <si>
    <t>383.87K</t>
  </si>
  <si>
    <t>485.73K</t>
  </si>
  <si>
    <t>272.11K</t>
  </si>
  <si>
    <t>187.76K</t>
  </si>
  <si>
    <t>186.03K</t>
  </si>
  <si>
    <t>246.49K</t>
  </si>
  <si>
    <t>152.37K</t>
  </si>
  <si>
    <t>170.65K</t>
  </si>
  <si>
    <t>147.93K</t>
  </si>
  <si>
    <t>173.15K</t>
  </si>
  <si>
    <t>182.83K</t>
  </si>
  <si>
    <t>126.46K</t>
  </si>
  <si>
    <t>99.60K</t>
  </si>
  <si>
    <t>114.94K</t>
  </si>
  <si>
    <t>131.52K</t>
  </si>
  <si>
    <t>90.35K</t>
  </si>
  <si>
    <t>94.90K</t>
  </si>
  <si>
    <t>110.82K</t>
  </si>
  <si>
    <t>131.54K</t>
  </si>
  <si>
    <t>400.30K</t>
  </si>
  <si>
    <t>533.78K</t>
  </si>
  <si>
    <t>391.29K</t>
  </si>
  <si>
    <t>320.72K</t>
  </si>
  <si>
    <t>269.31K</t>
  </si>
  <si>
    <t>231.07K</t>
  </si>
  <si>
    <t>216.27K</t>
  </si>
  <si>
    <t>256.96K</t>
  </si>
  <si>
    <t>177.01K</t>
  </si>
  <si>
    <t>255.40K</t>
  </si>
  <si>
    <t>277.27K</t>
  </si>
  <si>
    <t>172.92K</t>
  </si>
  <si>
    <t>53.38K</t>
  </si>
  <si>
    <t>71.10K</t>
  </si>
  <si>
    <t>61.07K</t>
  </si>
  <si>
    <t>67.47K</t>
  </si>
  <si>
    <t>31.48K</t>
  </si>
  <si>
    <t>78.58K</t>
  </si>
  <si>
    <t>63.09K</t>
  </si>
  <si>
    <t>478.10K</t>
  </si>
  <si>
    <t>300.14K</t>
  </si>
  <si>
    <t>243.86K</t>
  </si>
  <si>
    <t>226.21K</t>
  </si>
  <si>
    <t>219.99K</t>
  </si>
  <si>
    <t>203.13K</t>
  </si>
  <si>
    <t>181.85K</t>
  </si>
  <si>
    <t>172.15K</t>
  </si>
  <si>
    <t>149.40K</t>
  </si>
  <si>
    <t>141.09K</t>
  </si>
  <si>
    <t>138.58K</t>
  </si>
  <si>
    <t>118.56K</t>
  </si>
  <si>
    <t>104.00K</t>
  </si>
  <si>
    <t>119.96K</t>
  </si>
  <si>
    <t>105.31K</t>
  </si>
  <si>
    <t>77.04K</t>
  </si>
  <si>
    <t>120.32K</t>
  </si>
  <si>
    <t>150.46K</t>
  </si>
  <si>
    <t>98.45K</t>
  </si>
  <si>
    <t>276.34K</t>
  </si>
  <si>
    <t>313.38K</t>
  </si>
  <si>
    <t>322.65K</t>
  </si>
  <si>
    <t>236.67K</t>
  </si>
  <si>
    <t>238.44K</t>
  </si>
  <si>
    <t>201.43K</t>
  </si>
  <si>
    <t>180.09K</t>
  </si>
  <si>
    <t>216.25K</t>
  </si>
  <si>
    <t>214.04K</t>
  </si>
  <si>
    <t>281.67K</t>
  </si>
  <si>
    <t>182.65K</t>
  </si>
  <si>
    <t>97.35K</t>
  </si>
  <si>
    <t>156.10K</t>
  </si>
  <si>
    <t>171.28K</t>
  </si>
  <si>
    <t>156.51K</t>
  </si>
  <si>
    <t>125.09K</t>
  </si>
  <si>
    <t>185.12K</t>
  </si>
  <si>
    <t>163.97K</t>
  </si>
  <si>
    <t>93.88K</t>
  </si>
  <si>
    <t>102.22K</t>
  </si>
  <si>
    <t>68.68K</t>
  </si>
  <si>
    <t>86.93K</t>
  </si>
  <si>
    <t>101.48K</t>
  </si>
  <si>
    <t>360.57K</t>
  </si>
  <si>
    <t>314.65K</t>
  </si>
  <si>
    <t>256.54K</t>
  </si>
  <si>
    <t>281.94K</t>
  </si>
  <si>
    <t>264.49K</t>
  </si>
  <si>
    <t>248.71K</t>
  </si>
  <si>
    <t>186.65K</t>
  </si>
  <si>
    <t>173.38K</t>
  </si>
  <si>
    <t>263.97K</t>
  </si>
  <si>
    <t>229.63K</t>
  </si>
  <si>
    <t>198.24K</t>
  </si>
  <si>
    <t>163.79K</t>
  </si>
  <si>
    <t>162.58K</t>
  </si>
  <si>
    <t>171.20K</t>
  </si>
  <si>
    <t>155.54K</t>
  </si>
  <si>
    <t>152.53K</t>
  </si>
  <si>
    <t>61.39K</t>
  </si>
  <si>
    <t>79.14K</t>
  </si>
  <si>
    <t>78.41K</t>
  </si>
  <si>
    <t>87.56K</t>
  </si>
  <si>
    <t>287.81K</t>
  </si>
  <si>
    <t>405.21K</t>
  </si>
  <si>
    <t>269.71K</t>
  </si>
  <si>
    <t>270.18K</t>
  </si>
  <si>
    <t>283.42K</t>
  </si>
  <si>
    <t>217.08K</t>
  </si>
  <si>
    <t>185.19K</t>
  </si>
  <si>
    <t>152.70K</t>
  </si>
  <si>
    <t>171.07K</t>
  </si>
  <si>
    <t>197.32K</t>
  </si>
  <si>
    <t>269.13K</t>
  </si>
  <si>
    <t>115.67K</t>
  </si>
  <si>
    <t>114.48K</t>
  </si>
  <si>
    <t>120.08K</t>
  </si>
  <si>
    <t>110.25K</t>
  </si>
  <si>
    <t>77.85K</t>
  </si>
  <si>
    <t>102.45K</t>
  </si>
  <si>
    <t>93.85K</t>
  </si>
  <si>
    <t>80.80K</t>
  </si>
  <si>
    <t>108.41K</t>
  </si>
  <si>
    <t>84.97K</t>
  </si>
  <si>
    <t>84.77K</t>
  </si>
  <si>
    <t>377.07K</t>
  </si>
  <si>
    <t>304.94K</t>
  </si>
  <si>
    <t>285.14K</t>
  </si>
  <si>
    <t>193.11K</t>
  </si>
  <si>
    <t>180.37K</t>
  </si>
  <si>
    <t>179.53K</t>
  </si>
  <si>
    <t>198.19K</t>
  </si>
  <si>
    <t>160.19K</t>
  </si>
  <si>
    <t>142.80K</t>
  </si>
  <si>
    <t>143.40K</t>
  </si>
  <si>
    <t>115.16K</t>
  </si>
  <si>
    <t>224.29K</t>
  </si>
  <si>
    <t>191.80K</t>
  </si>
  <si>
    <t>120.59K</t>
  </si>
  <si>
    <t>102.57K</t>
  </si>
  <si>
    <t>162.72K</t>
  </si>
  <si>
    <t>109.96K</t>
  </si>
  <si>
    <t>74.00K</t>
  </si>
  <si>
    <t>119.48K</t>
  </si>
  <si>
    <t>83.04K</t>
  </si>
  <si>
    <t>104.70K</t>
  </si>
  <si>
    <t>93.95K</t>
  </si>
  <si>
    <t>389.12K</t>
  </si>
  <si>
    <t>329.77K</t>
  </si>
  <si>
    <t>272.44K</t>
  </si>
  <si>
    <t>203.85K</t>
  </si>
  <si>
    <t>248.30K</t>
  </si>
  <si>
    <t>238.30K</t>
  </si>
  <si>
    <t>207.20K</t>
  </si>
  <si>
    <t>185.49K</t>
  </si>
  <si>
    <t>170.99K</t>
  </si>
  <si>
    <t>130.35K</t>
  </si>
  <si>
    <t>96.87K</t>
  </si>
  <si>
    <t>166.94K</t>
  </si>
  <si>
    <t>151.37K</t>
  </si>
  <si>
    <t>207.27K</t>
  </si>
  <si>
    <t>228.32K</t>
  </si>
  <si>
    <t>145.18K</t>
  </si>
  <si>
    <t>130.78K</t>
  </si>
  <si>
    <t>136.44K</t>
  </si>
  <si>
    <t>163.08K</t>
  </si>
  <si>
    <t>102.60K</t>
  </si>
  <si>
    <t>315.26K</t>
  </si>
  <si>
    <t>497.18K</t>
  </si>
  <si>
    <t>341.48K</t>
  </si>
  <si>
    <t>289.58K</t>
  </si>
  <si>
    <t>299.66K</t>
  </si>
  <si>
    <t>262.24K</t>
  </si>
  <si>
    <t>136.50K</t>
  </si>
  <si>
    <t>140.18K</t>
  </si>
  <si>
    <t>151.63K</t>
  </si>
  <si>
    <t>139.94K</t>
  </si>
  <si>
    <t>109.72K</t>
  </si>
  <si>
    <t>160.90K</t>
  </si>
  <si>
    <t>123.23K</t>
  </si>
  <si>
    <t>140.98K</t>
  </si>
  <si>
    <t>162.34K</t>
  </si>
  <si>
    <t>141.69K</t>
  </si>
  <si>
    <t>127.38K</t>
  </si>
  <si>
    <t>137.75K</t>
  </si>
  <si>
    <t>137.02K</t>
  </si>
  <si>
    <t>127.18K</t>
  </si>
  <si>
    <t>128.95K</t>
  </si>
  <si>
    <t>430.82K</t>
  </si>
  <si>
    <t>561.53K</t>
  </si>
  <si>
    <t>425.17K</t>
  </si>
  <si>
    <t>413.44K</t>
  </si>
  <si>
    <t>460.74K</t>
  </si>
  <si>
    <t>459.49K</t>
  </si>
  <si>
    <t>436.58K</t>
  </si>
  <si>
    <t>392.79K</t>
  </si>
  <si>
    <t>497.36K</t>
  </si>
  <si>
    <t>414.93K</t>
  </si>
  <si>
    <t>405.07K</t>
  </si>
  <si>
    <t>274.82K</t>
  </si>
  <si>
    <t>330.61K</t>
  </si>
  <si>
    <t>434.79K</t>
  </si>
  <si>
    <t>380.71K</t>
  </si>
  <si>
    <t>613.95K</t>
  </si>
  <si>
    <t>367.14K</t>
  </si>
  <si>
    <t>362.38K</t>
  </si>
  <si>
    <t>344.88K</t>
  </si>
  <si>
    <t>530.40K</t>
  </si>
  <si>
    <t>2.29M</t>
  </si>
  <si>
    <t>1.32M</t>
  </si>
  <si>
    <t>712.98K</t>
  </si>
  <si>
    <t>439.67K</t>
  </si>
  <si>
    <t>367.57K</t>
  </si>
  <si>
    <t>436.46K</t>
  </si>
  <si>
    <t>399.07K</t>
  </si>
  <si>
    <t>438.04K</t>
  </si>
  <si>
    <t>393.26K</t>
  </si>
  <si>
    <t>317.26K</t>
  </si>
  <si>
    <t>209.52K</t>
  </si>
  <si>
    <t>317.83K</t>
  </si>
  <si>
    <t>447.84K</t>
  </si>
  <si>
    <t>209.61K</t>
  </si>
  <si>
    <t>276.61K</t>
  </si>
  <si>
    <t>199.03K</t>
  </si>
  <si>
    <t>183.31K</t>
  </si>
  <si>
    <t>191.67K</t>
  </si>
  <si>
    <t>198.60K</t>
  </si>
  <si>
    <t>1.13M</t>
  </si>
  <si>
    <t>1.19M</t>
  </si>
  <si>
    <t>1.00M</t>
  </si>
  <si>
    <t>520.08K</t>
  </si>
  <si>
    <t>443.05K</t>
  </si>
  <si>
    <t>355.35K</t>
  </si>
  <si>
    <t>506.87K</t>
  </si>
  <si>
    <t>321.92K</t>
  </si>
  <si>
    <t>415.57K</t>
  </si>
  <si>
    <t>673.03K</t>
  </si>
  <si>
    <t>398.33K</t>
  </si>
  <si>
    <t>164.22K</t>
  </si>
  <si>
    <t>155.22K</t>
  </si>
  <si>
    <t>199.81K</t>
  </si>
  <si>
    <t>190.39K</t>
  </si>
  <si>
    <t>230.76K</t>
  </si>
  <si>
    <t>195.82K</t>
  </si>
  <si>
    <t>179.52K</t>
  </si>
  <si>
    <t>144.47K</t>
  </si>
  <si>
    <t>137.67K</t>
  </si>
  <si>
    <t>142.13K</t>
  </si>
  <si>
    <t>676.18K</t>
  </si>
  <si>
    <t>655.50K</t>
  </si>
  <si>
    <t>723.14K</t>
  </si>
  <si>
    <t>281.39K</t>
  </si>
  <si>
    <t>311.01K</t>
  </si>
  <si>
    <t>292.20K</t>
  </si>
  <si>
    <t>252.29K</t>
  </si>
  <si>
    <t>206.92K</t>
  </si>
  <si>
    <t>230.88K</t>
  </si>
  <si>
    <t>172.74K</t>
  </si>
  <si>
    <t>161.51K</t>
  </si>
  <si>
    <t>195.73K</t>
  </si>
  <si>
    <t>140.67K</t>
  </si>
  <si>
    <t>110.23K</t>
  </si>
  <si>
    <t>107.71K</t>
  </si>
  <si>
    <t>101.53K</t>
  </si>
  <si>
    <t>82.34K</t>
  </si>
  <si>
    <t>149.95K</t>
  </si>
  <si>
    <t>124.61K</t>
  </si>
  <si>
    <t>648.34K</t>
  </si>
  <si>
    <t>415.85K</t>
  </si>
  <si>
    <t>426.33K</t>
  </si>
  <si>
    <t>271.20K</t>
  </si>
  <si>
    <t>262.79K</t>
  </si>
  <si>
    <t>295.82K</t>
  </si>
  <si>
    <t>256.06K</t>
  </si>
  <si>
    <t>268.85K</t>
  </si>
  <si>
    <t>436.61K</t>
  </si>
  <si>
    <t>173.85K</t>
  </si>
  <si>
    <t>176.99K</t>
  </si>
  <si>
    <t>236.06K</t>
  </si>
  <si>
    <t>101.52K</t>
  </si>
  <si>
    <t>91.86K</t>
  </si>
  <si>
    <t>88.44K</t>
  </si>
  <si>
    <t>71.75K</t>
  </si>
  <si>
    <t>47.13K</t>
  </si>
  <si>
    <t>34.21K</t>
  </si>
  <si>
    <t>74.62K</t>
  </si>
  <si>
    <t>201.74K</t>
  </si>
  <si>
    <t>426.34K</t>
  </si>
  <si>
    <t>553.57K</t>
  </si>
  <si>
    <t>416.42K</t>
  </si>
  <si>
    <t>234.08K</t>
  </si>
  <si>
    <t>243.57K</t>
  </si>
  <si>
    <t>200.56K</t>
  </si>
  <si>
    <t>194.37K</t>
  </si>
  <si>
    <t>199.40K</t>
  </si>
  <si>
    <t>176.14K</t>
  </si>
  <si>
    <t>190.65K</t>
  </si>
  <si>
    <t>149.07K</t>
  </si>
  <si>
    <t>175.81K</t>
  </si>
  <si>
    <t>125.74K</t>
  </si>
  <si>
    <t>146.30K</t>
  </si>
  <si>
    <t>123.68K</t>
  </si>
  <si>
    <t>86.58K</t>
  </si>
  <si>
    <t>76.46K</t>
  </si>
  <si>
    <t>68.81K</t>
  </si>
  <si>
    <t>78.27K</t>
  </si>
  <si>
    <t>122.17K</t>
  </si>
  <si>
    <t>674.89K</t>
  </si>
  <si>
    <t>566.26K</t>
  </si>
  <si>
    <t>420.05K</t>
  </si>
  <si>
    <t>269.45K</t>
  </si>
  <si>
    <t>212.62K</t>
  </si>
  <si>
    <t>214.64K</t>
  </si>
  <si>
    <t>179.07K</t>
  </si>
  <si>
    <t>195.40K</t>
  </si>
  <si>
    <t>254.73K</t>
  </si>
  <si>
    <t>136.88K</t>
  </si>
  <si>
    <t>95.62K</t>
  </si>
  <si>
    <t>140.31K</t>
  </si>
  <si>
    <t>110.91K</t>
  </si>
  <si>
    <t>183.13K</t>
  </si>
  <si>
    <t>235.05K</t>
  </si>
  <si>
    <t>107.44K</t>
  </si>
  <si>
    <t>88.18K</t>
  </si>
  <si>
    <t>60.70K</t>
  </si>
  <si>
    <t>99.43K</t>
  </si>
  <si>
    <t>123.07K</t>
  </si>
  <si>
    <t>506.57K</t>
  </si>
  <si>
    <t>509.43K</t>
  </si>
  <si>
    <t>472.56K</t>
  </si>
  <si>
    <t>316.37K</t>
  </si>
  <si>
    <t>233.70K</t>
  </si>
  <si>
    <t>239.81K</t>
  </si>
  <si>
    <t>186.99K</t>
  </si>
  <si>
    <t>328.28K</t>
  </si>
  <si>
    <t>219.64K</t>
  </si>
  <si>
    <t>215.92K</t>
  </si>
  <si>
    <t>232.32K</t>
  </si>
  <si>
    <t>191.66K</t>
  </si>
  <si>
    <t>132.86K</t>
  </si>
  <si>
    <t>183.88K</t>
  </si>
  <si>
    <t>162.10K</t>
  </si>
  <si>
    <t>158.30K</t>
  </si>
  <si>
    <t>135.51K</t>
  </si>
  <si>
    <t>162.93K</t>
  </si>
  <si>
    <t>140.39K</t>
  </si>
  <si>
    <t>119.73K</t>
  </si>
  <si>
    <t>135.65K</t>
  </si>
  <si>
    <t>111.66K</t>
  </si>
  <si>
    <t>576.02K</t>
  </si>
  <si>
    <t>722.34K</t>
  </si>
  <si>
    <t>654.34K</t>
  </si>
  <si>
    <t>722.00K</t>
  </si>
  <si>
    <t>733.51K</t>
  </si>
  <si>
    <t>207.13K</t>
  </si>
  <si>
    <t>236.13K</t>
  </si>
  <si>
    <t>226.63K</t>
  </si>
  <si>
    <t>164.54K</t>
  </si>
  <si>
    <t>141.72K</t>
  </si>
  <si>
    <t>108.84K</t>
  </si>
  <si>
    <t>120.85K</t>
  </si>
  <si>
    <t>126.35K</t>
  </si>
  <si>
    <t>137.59K</t>
  </si>
  <si>
    <t>140.05K</t>
  </si>
  <si>
    <t>93.59K</t>
  </si>
  <si>
    <t>119.11K</t>
  </si>
  <si>
    <t>99.66K</t>
  </si>
  <si>
    <t>163.40K</t>
  </si>
  <si>
    <t>659.26K</t>
  </si>
  <si>
    <t>584.01K</t>
  </si>
  <si>
    <t>395.16K</t>
  </si>
  <si>
    <t>373.77K</t>
  </si>
  <si>
    <t>307.93K</t>
  </si>
  <si>
    <t>322.70K</t>
  </si>
  <si>
    <t>270.69K</t>
  </si>
  <si>
    <t>293.44K</t>
  </si>
  <si>
    <t>288.28K</t>
  </si>
  <si>
    <t>289.72K</t>
  </si>
  <si>
    <t>190.87K</t>
  </si>
  <si>
    <t>227.25K</t>
  </si>
  <si>
    <t>156.65K</t>
  </si>
  <si>
    <t>172.78K</t>
  </si>
  <si>
    <t>130.34K</t>
  </si>
  <si>
    <t>106.38K</t>
  </si>
  <si>
    <t>72.79K</t>
  </si>
  <si>
    <t>68.93K</t>
  </si>
  <si>
    <t>127.54K</t>
  </si>
  <si>
    <t>64.91K</t>
  </si>
  <si>
    <t>619.48K</t>
  </si>
  <si>
    <t>734.39K</t>
  </si>
  <si>
    <t>764.49K</t>
  </si>
  <si>
    <t>375.22K</t>
  </si>
  <si>
    <t>303.56K</t>
  </si>
  <si>
    <t>201.71K</t>
  </si>
  <si>
    <t>169.14K</t>
  </si>
  <si>
    <t>195.35K</t>
  </si>
  <si>
    <t>220.59K</t>
  </si>
  <si>
    <t>136.81K</t>
  </si>
  <si>
    <t>127.04K</t>
  </si>
  <si>
    <t>94.39K</t>
  </si>
  <si>
    <t>126.68K</t>
  </si>
  <si>
    <t>150.55K</t>
  </si>
  <si>
    <t>116.36K</t>
  </si>
  <si>
    <t>78.96K</t>
  </si>
  <si>
    <t>89.55K</t>
  </si>
  <si>
    <t>143.20K</t>
  </si>
  <si>
    <t>100.69K</t>
  </si>
  <si>
    <t>90.44K</t>
  </si>
  <si>
    <t>105.86K</t>
  </si>
  <si>
    <t>854.51K</t>
  </si>
  <si>
    <t>667.51K</t>
  </si>
  <si>
    <t>618.30K</t>
  </si>
  <si>
    <t>166.40K</t>
  </si>
  <si>
    <t>277.80K</t>
  </si>
  <si>
    <t>209.21K</t>
  </si>
  <si>
    <t>162.28K</t>
  </si>
  <si>
    <t>151.79K</t>
  </si>
  <si>
    <t>162.42K</t>
  </si>
  <si>
    <t>132.88K</t>
  </si>
  <si>
    <t>139.00K</t>
  </si>
  <si>
    <t>122.91K</t>
  </si>
  <si>
    <t>138.15K</t>
  </si>
  <si>
    <t>151.76K</t>
  </si>
  <si>
    <t>130.18K</t>
  </si>
  <si>
    <t>355.56K</t>
  </si>
  <si>
    <t>243.44K</t>
  </si>
  <si>
    <t>99.29K</t>
  </si>
  <si>
    <t>142.98K</t>
  </si>
  <si>
    <t>110.30K</t>
  </si>
  <si>
    <t>641.68K</t>
  </si>
  <si>
    <t>678.77K</t>
  </si>
  <si>
    <t>537.03K</t>
  </si>
  <si>
    <t>312.35K</t>
  </si>
  <si>
    <t>235.84K</t>
  </si>
  <si>
    <t>192.36K</t>
  </si>
  <si>
    <t>212.38K</t>
  </si>
  <si>
    <t>167.01K</t>
  </si>
  <si>
    <t>166.73K</t>
  </si>
  <si>
    <t>164.32K</t>
  </si>
  <si>
    <t>101.99K</t>
  </si>
  <si>
    <t>92.36K</t>
  </si>
  <si>
    <t>151.23K</t>
  </si>
  <si>
    <t>86.96K</t>
  </si>
  <si>
    <t>117.93K</t>
  </si>
  <si>
    <t>113.37K</t>
  </si>
  <si>
    <t>132.10K</t>
  </si>
  <si>
    <t>116.59K</t>
  </si>
  <si>
    <t>133.18K</t>
  </si>
  <si>
    <t>138.84K</t>
  </si>
  <si>
    <t>763.53K</t>
  </si>
  <si>
    <t>508.98K</t>
  </si>
  <si>
    <t>466.68K</t>
  </si>
  <si>
    <t>255.95K</t>
  </si>
  <si>
    <t>230.46K</t>
  </si>
  <si>
    <t>210.95K</t>
  </si>
  <si>
    <t>279.41K</t>
  </si>
  <si>
    <t>265.38K</t>
  </si>
  <si>
    <t>249.48K</t>
  </si>
  <si>
    <t>407.31K</t>
  </si>
  <si>
    <t>187.72K</t>
  </si>
  <si>
    <t>198.61K</t>
  </si>
  <si>
    <t>205.84K</t>
  </si>
  <si>
    <t>314.02K</t>
  </si>
  <si>
    <t>172.80K</t>
  </si>
  <si>
    <t>153.54K</t>
  </si>
  <si>
    <t>210.85K</t>
  </si>
  <si>
    <t>129.81K</t>
  </si>
  <si>
    <t>125.19K</t>
  </si>
  <si>
    <t>786.34K</t>
  </si>
  <si>
    <t>602.72K</t>
  </si>
  <si>
    <t>512.12K</t>
  </si>
  <si>
    <t>261.23K</t>
  </si>
  <si>
    <t>248.50K</t>
  </si>
  <si>
    <t>257.20K</t>
  </si>
  <si>
    <t>184.75K</t>
  </si>
  <si>
    <t>181.51K</t>
  </si>
  <si>
    <t>212.99K</t>
  </si>
  <si>
    <t>176.81K</t>
  </si>
  <si>
    <t>164.86K</t>
  </si>
  <si>
    <t>101.46K</t>
  </si>
  <si>
    <t>107.42K</t>
  </si>
  <si>
    <t>113.83K</t>
  </si>
  <si>
    <t>89.12K</t>
  </si>
  <si>
    <t>111.78K</t>
  </si>
  <si>
    <t>110.19K</t>
  </si>
  <si>
    <t>92.64K</t>
  </si>
  <si>
    <t>685.11K</t>
  </si>
  <si>
    <t>838.30K</t>
  </si>
  <si>
    <t>503.86K</t>
  </si>
  <si>
    <t>306.67K</t>
  </si>
  <si>
    <t>307.07K</t>
  </si>
  <si>
    <t>245.52K</t>
  </si>
  <si>
    <t>287.88K</t>
  </si>
  <si>
    <t>196.42K</t>
  </si>
  <si>
    <t>249.43K</t>
  </si>
  <si>
    <t>154.06K</t>
  </si>
  <si>
    <t>117.78K</t>
  </si>
  <si>
    <t>132.90K</t>
  </si>
  <si>
    <t>110.68K</t>
  </si>
  <si>
    <t>161.05K</t>
  </si>
  <si>
    <t>147.36K</t>
  </si>
  <si>
    <t>87.48K</t>
  </si>
  <si>
    <t>90.02K</t>
  </si>
  <si>
    <t>78.93K</t>
  </si>
  <si>
    <t>81.27K</t>
  </si>
  <si>
    <t>951.16K</t>
  </si>
  <si>
    <t>669.50K</t>
  </si>
  <si>
    <t>530.18K</t>
  </si>
  <si>
    <t>280.99K</t>
  </si>
  <si>
    <t>220.63K</t>
  </si>
  <si>
    <t>243.31K</t>
  </si>
  <si>
    <t>205.03K</t>
  </si>
  <si>
    <t>219.26K</t>
  </si>
  <si>
    <t>249.46K</t>
  </si>
  <si>
    <t>213.14K</t>
  </si>
  <si>
    <t>155.86K</t>
  </si>
  <si>
    <t>146.54K</t>
  </si>
  <si>
    <t>149.76K</t>
  </si>
  <si>
    <t>78.64K</t>
  </si>
  <si>
    <t>86.78K</t>
  </si>
  <si>
    <t>79.70K</t>
  </si>
  <si>
    <t>95.75K</t>
  </si>
  <si>
    <t>55.88K</t>
  </si>
  <si>
    <t>97.13K</t>
  </si>
  <si>
    <t>817.72K</t>
  </si>
  <si>
    <t>949.32K</t>
  </si>
  <si>
    <t>563.28K</t>
  </si>
  <si>
    <t>271.68K</t>
  </si>
  <si>
    <t>261.44K</t>
  </si>
  <si>
    <t>230.13K</t>
  </si>
  <si>
    <t>215.76K</t>
  </si>
  <si>
    <t>184.11K</t>
  </si>
  <si>
    <t>213.57K</t>
  </si>
  <si>
    <t>101.47K</t>
  </si>
  <si>
    <t>133.28K</t>
  </si>
  <si>
    <t>116.87K</t>
  </si>
  <si>
    <t>95.04K</t>
  </si>
  <si>
    <t>76.23K</t>
  </si>
  <si>
    <t>86.18K</t>
  </si>
  <si>
    <t>65.37K</t>
  </si>
  <si>
    <t>73.81K</t>
  </si>
  <si>
    <t>80.97K</t>
  </si>
  <si>
    <t>91.61K</t>
  </si>
  <si>
    <t>123.43K</t>
  </si>
  <si>
    <t>699.68K</t>
  </si>
  <si>
    <t>715.91K</t>
  </si>
  <si>
    <t>589.35K</t>
  </si>
  <si>
    <t>417.86K</t>
  </si>
  <si>
    <t>422.82K</t>
  </si>
  <si>
    <t>252.37K</t>
  </si>
  <si>
    <t>235.67K</t>
  </si>
  <si>
    <t>220.85K</t>
  </si>
  <si>
    <t>225.40K</t>
  </si>
  <si>
    <t>127.24K</t>
  </si>
  <si>
    <t>142.20K</t>
  </si>
  <si>
    <t>141.56K</t>
  </si>
  <si>
    <t>124.59K</t>
  </si>
  <si>
    <t>98.15K</t>
  </si>
  <si>
    <t>67.94K</t>
  </si>
  <si>
    <t>86.33K</t>
  </si>
  <si>
    <t>97.09K</t>
  </si>
  <si>
    <t>113.22K</t>
  </si>
  <si>
    <t>116.40K</t>
  </si>
  <si>
    <t>513.77K</t>
  </si>
  <si>
    <t>547.54K</t>
  </si>
  <si>
    <t>531.31K</t>
  </si>
  <si>
    <t>431.86K</t>
  </si>
  <si>
    <t>249.39K</t>
  </si>
  <si>
    <t>211.95K</t>
  </si>
  <si>
    <t>218.95K</t>
  </si>
  <si>
    <t>263.44K</t>
  </si>
  <si>
    <t>220.78K</t>
  </si>
  <si>
    <t>192.73K</t>
  </si>
  <si>
    <t>174.36K</t>
  </si>
  <si>
    <t>175.28K</t>
  </si>
  <si>
    <t>228.83K</t>
  </si>
  <si>
    <t>173.87K</t>
  </si>
  <si>
    <t>115.24K</t>
  </si>
  <si>
    <t>140.27K</t>
  </si>
  <si>
    <t>99.47K</t>
  </si>
  <si>
    <t>101.11K</t>
  </si>
  <si>
    <t>157.77K</t>
  </si>
  <si>
    <t>168.96K</t>
  </si>
  <si>
    <t>307.24K</t>
  </si>
  <si>
    <t>607.52K</t>
  </si>
  <si>
    <t>606.34K</t>
  </si>
  <si>
    <t>513.86K</t>
  </si>
  <si>
    <t>235.31K</t>
  </si>
  <si>
    <t>225.31K</t>
  </si>
  <si>
    <t>247.84K</t>
  </si>
  <si>
    <t>311.69K</t>
  </si>
  <si>
    <t>249.45K</t>
  </si>
  <si>
    <t>180.45K</t>
  </si>
  <si>
    <t>121.68K</t>
  </si>
  <si>
    <t>135.40K</t>
  </si>
  <si>
    <t>97.37K</t>
  </si>
  <si>
    <t>140.85K</t>
  </si>
  <si>
    <t>68.32K</t>
  </si>
  <si>
    <t>85.73K</t>
  </si>
  <si>
    <t>65.27K</t>
  </si>
  <si>
    <t>64.79K</t>
  </si>
  <si>
    <t>46.53K</t>
  </si>
  <si>
    <t>90.81K</t>
  </si>
  <si>
    <t>82.89K</t>
  </si>
  <si>
    <t>76.33K</t>
  </si>
  <si>
    <t>437.16K</t>
  </si>
  <si>
    <t>496.52K</t>
  </si>
  <si>
    <t>309.21K</t>
  </si>
  <si>
    <t>233.78K</t>
  </si>
  <si>
    <t>291.03K</t>
  </si>
  <si>
    <t>170.90K</t>
  </si>
  <si>
    <t>204.72K</t>
  </si>
  <si>
    <t>174.04K</t>
  </si>
  <si>
    <t>164.00K</t>
  </si>
  <si>
    <t>226.33K</t>
  </si>
  <si>
    <t>145.59K</t>
  </si>
  <si>
    <t>119.01K</t>
  </si>
  <si>
    <t>80.14K</t>
  </si>
  <si>
    <t>106.91K</t>
  </si>
  <si>
    <t>123.66K</t>
  </si>
  <si>
    <t>106.27K</t>
  </si>
  <si>
    <t>95.96K</t>
  </si>
  <si>
    <t>96.06K</t>
  </si>
  <si>
    <t>78.39K</t>
  </si>
  <si>
    <t>80.64K</t>
  </si>
  <si>
    <t>104.68K</t>
  </si>
  <si>
    <t>500.97K</t>
  </si>
  <si>
    <t>719.52K</t>
  </si>
  <si>
    <t>472.61K</t>
  </si>
  <si>
    <t>362.13K</t>
  </si>
  <si>
    <t>298.48K</t>
  </si>
  <si>
    <t>234.00K</t>
  </si>
  <si>
    <t>292.14K</t>
  </si>
  <si>
    <t>311.20K</t>
  </si>
  <si>
    <t>211.60K</t>
  </si>
  <si>
    <t>197.88K</t>
  </si>
  <si>
    <t>179.03K</t>
  </si>
  <si>
    <t>213.33K</t>
  </si>
  <si>
    <t>200.26K</t>
  </si>
  <si>
    <t>207.69K</t>
  </si>
  <si>
    <t>143.60K</t>
  </si>
  <si>
    <t>188.22K</t>
  </si>
  <si>
    <t>199.73K</t>
  </si>
  <si>
    <t>214.87K</t>
  </si>
  <si>
    <t>278.84K</t>
  </si>
  <si>
    <t>456.82K</t>
  </si>
  <si>
    <t>801.63K</t>
  </si>
  <si>
    <t>629.99K</t>
  </si>
  <si>
    <t>543.02K</t>
  </si>
  <si>
    <t>387.35K</t>
  </si>
  <si>
    <t>294.35K</t>
  </si>
  <si>
    <t>258.19K</t>
  </si>
  <si>
    <t>159.49K</t>
  </si>
  <si>
    <t>156.89K</t>
  </si>
  <si>
    <t>228.72K</t>
  </si>
  <si>
    <t>167.64K</t>
  </si>
  <si>
    <t>168.07K</t>
  </si>
  <si>
    <t>179.15K</t>
  </si>
  <si>
    <t>231.16K</t>
  </si>
  <si>
    <t>235.53K</t>
  </si>
  <si>
    <t>149.26K</t>
  </si>
  <si>
    <t>179.22K</t>
  </si>
  <si>
    <t>180.12K</t>
  </si>
  <si>
    <t>119.99K</t>
  </si>
  <si>
    <t>143.17K</t>
  </si>
  <si>
    <t>723.46K</t>
  </si>
  <si>
    <t>579.27K</t>
  </si>
  <si>
    <t>462.17K</t>
  </si>
  <si>
    <t>460.64K</t>
  </si>
  <si>
    <t>320.92K</t>
  </si>
  <si>
    <t>349.96K</t>
  </si>
  <si>
    <t>243.62K</t>
  </si>
  <si>
    <t>222.41K</t>
  </si>
  <si>
    <t>231.76K</t>
  </si>
  <si>
    <t>268.13K</t>
  </si>
  <si>
    <t>312.74K</t>
  </si>
  <si>
    <t>229.75K</t>
  </si>
  <si>
    <t>160.91K</t>
  </si>
  <si>
    <t>165.85K</t>
  </si>
  <si>
    <t>230.12K</t>
  </si>
  <si>
    <t>190.00K</t>
  </si>
  <si>
    <t>112.37K</t>
  </si>
  <si>
    <t>155.32K</t>
  </si>
  <si>
    <t>164.74K</t>
  </si>
  <si>
    <t>214.76K</t>
  </si>
  <si>
    <t>724.91K</t>
  </si>
  <si>
    <t>860.39K</t>
  </si>
  <si>
    <t>674.70K</t>
  </si>
  <si>
    <t>471.09K</t>
  </si>
  <si>
    <t>370.37K</t>
  </si>
  <si>
    <t>290.83K</t>
  </si>
  <si>
    <t>267.76K</t>
  </si>
  <si>
    <t>411.99K</t>
  </si>
  <si>
    <t>347.17K</t>
  </si>
  <si>
    <t>268.23K</t>
  </si>
  <si>
    <t>313.82K</t>
  </si>
  <si>
    <t>167.18K</t>
  </si>
  <si>
    <t>215.05K</t>
  </si>
  <si>
    <t>136.62K</t>
  </si>
  <si>
    <t>134.94K</t>
  </si>
  <si>
    <t>155.61K</t>
  </si>
  <si>
    <t>169.97K</t>
  </si>
  <si>
    <t>172.41K</t>
  </si>
  <si>
    <t>205.32K</t>
  </si>
  <si>
    <t>192.77K</t>
  </si>
  <si>
    <t>717.71K</t>
  </si>
  <si>
    <t>557.26K</t>
  </si>
  <si>
    <t>437.18K</t>
  </si>
  <si>
    <t>316.24K</t>
  </si>
  <si>
    <t>325.78K</t>
  </si>
  <si>
    <t>191.75K</t>
  </si>
  <si>
    <t>286.79K</t>
  </si>
  <si>
    <t>359.79K</t>
  </si>
  <si>
    <t>269.07K</t>
  </si>
  <si>
    <t>197.58K</t>
  </si>
  <si>
    <t>120.24K</t>
  </si>
  <si>
    <t>153.17K</t>
  </si>
  <si>
    <t>200.03K</t>
  </si>
  <si>
    <t>197.82K</t>
  </si>
  <si>
    <t>128.97K</t>
  </si>
  <si>
    <t>84.48K</t>
  </si>
  <si>
    <t>102.52K</t>
  </si>
  <si>
    <t>153.23K</t>
  </si>
  <si>
    <t>104.67K</t>
  </si>
  <si>
    <t>794.48K</t>
  </si>
  <si>
    <t>524.97K</t>
  </si>
  <si>
    <t>576.51K</t>
  </si>
  <si>
    <t>451.59K</t>
  </si>
  <si>
    <t>320.33K</t>
  </si>
  <si>
    <t>298.90K</t>
  </si>
  <si>
    <t>309.83K</t>
  </si>
  <si>
    <t>375.40K</t>
  </si>
  <si>
    <t>368.47K</t>
  </si>
  <si>
    <t>257.00K</t>
  </si>
  <si>
    <t>330.34K</t>
  </si>
  <si>
    <t>312.49K</t>
  </si>
  <si>
    <t>226.70K</t>
  </si>
  <si>
    <t>155.55K</t>
  </si>
  <si>
    <t>175.05K</t>
  </si>
  <si>
    <t>162.52K</t>
  </si>
  <si>
    <t>178.24K</t>
  </si>
  <si>
    <t>212.87K</t>
  </si>
  <si>
    <t>231.91K</t>
  </si>
  <si>
    <t>131.41K</t>
  </si>
  <si>
    <t>625.66K</t>
  </si>
  <si>
    <t>674.50K</t>
  </si>
  <si>
    <t>511.53K</t>
  </si>
  <si>
    <t>369.42K</t>
  </si>
  <si>
    <t>458.60K</t>
  </si>
  <si>
    <t>323.62K</t>
  </si>
  <si>
    <t>466.04K</t>
  </si>
  <si>
    <t>316.42K</t>
  </si>
  <si>
    <t>365.11K</t>
  </si>
  <si>
    <t>296.58K</t>
  </si>
  <si>
    <t>190.82K</t>
  </si>
  <si>
    <t>255.67K</t>
  </si>
  <si>
    <t>283.96K</t>
  </si>
  <si>
    <t>132.94K</t>
  </si>
  <si>
    <t>108.83K</t>
  </si>
  <si>
    <t>70.99K</t>
  </si>
  <si>
    <t>62.18K</t>
  </si>
  <si>
    <t>85.05K</t>
  </si>
  <si>
    <t>75.74K</t>
  </si>
  <si>
    <t>99.55K</t>
  </si>
  <si>
    <t>88.74K</t>
  </si>
  <si>
    <t>420.78K</t>
  </si>
  <si>
    <t>539.95K</t>
  </si>
  <si>
    <t>357.15K</t>
  </si>
  <si>
    <t>367.23K</t>
  </si>
  <si>
    <t>348.66K</t>
  </si>
  <si>
    <t>363.79K</t>
  </si>
  <si>
    <t>244.82K</t>
  </si>
  <si>
    <t>241.57K</t>
  </si>
  <si>
    <t>186.34K</t>
  </si>
  <si>
    <t>215.25K</t>
  </si>
  <si>
    <t>138.59K</t>
  </si>
  <si>
    <t>116.25K</t>
  </si>
  <si>
    <t>160.63K</t>
  </si>
  <si>
    <t>160.84K</t>
  </si>
  <si>
    <t>152.13K</t>
  </si>
  <si>
    <t>108.00K</t>
  </si>
  <si>
    <t>118.90K</t>
  </si>
  <si>
    <t>279.28K</t>
  </si>
  <si>
    <t>149.28K</t>
  </si>
  <si>
    <t>593.24K</t>
  </si>
  <si>
    <t>734.88K</t>
  </si>
  <si>
    <t>438.93K</t>
  </si>
  <si>
    <t>319.26K</t>
  </si>
  <si>
    <t>350.79K</t>
  </si>
  <si>
    <t>288.05K</t>
  </si>
  <si>
    <t>199.49K</t>
  </si>
  <si>
    <t>243.10K</t>
  </si>
  <si>
    <t>325.03K</t>
  </si>
  <si>
    <t>248.34K</t>
  </si>
  <si>
    <t>228.30K</t>
  </si>
  <si>
    <t>129.58K</t>
  </si>
  <si>
    <t>154.43K</t>
  </si>
  <si>
    <t>128.57K</t>
  </si>
  <si>
    <t>156.29K</t>
  </si>
  <si>
    <t>173.33K</t>
  </si>
  <si>
    <t>168.00K</t>
  </si>
  <si>
    <t>207.83K</t>
  </si>
  <si>
    <t>172.52K</t>
  </si>
  <si>
    <t>129.82K</t>
  </si>
  <si>
    <t>674.14K</t>
  </si>
  <si>
    <t>690.48K</t>
  </si>
  <si>
    <t>555.51K</t>
  </si>
  <si>
    <t>503.67K</t>
  </si>
  <si>
    <t>331.18K</t>
  </si>
  <si>
    <t>274.21K</t>
  </si>
  <si>
    <t>260.48K</t>
  </si>
  <si>
    <t>268.31K</t>
  </si>
  <si>
    <t>276.77K</t>
  </si>
  <si>
    <t>192.69K</t>
  </si>
  <si>
    <t>294.24K</t>
  </si>
  <si>
    <t>209.26K</t>
  </si>
  <si>
    <t>197.93K</t>
  </si>
  <si>
    <t>129.95K</t>
  </si>
  <si>
    <t>168.63K</t>
  </si>
  <si>
    <t>173.58K</t>
  </si>
  <si>
    <t>259.41K</t>
  </si>
  <si>
    <t>709.52K</t>
  </si>
  <si>
    <t>701.24K</t>
  </si>
  <si>
    <t>473.80K</t>
  </si>
  <si>
    <t>580.57K</t>
  </si>
  <si>
    <t>35.49K</t>
  </si>
  <si>
    <t>143.38K</t>
  </si>
  <si>
    <t>189.61K</t>
  </si>
  <si>
    <t>433.60K</t>
  </si>
  <si>
    <t>709.04K</t>
  </si>
  <si>
    <t>706.93K</t>
  </si>
  <si>
    <t>676.04K</t>
  </si>
  <si>
    <t>774.47K</t>
  </si>
  <si>
    <t>843.76K</t>
  </si>
  <si>
    <t>702.51K</t>
  </si>
  <si>
    <t>788.96K</t>
  </si>
  <si>
    <t>1.03M</t>
  </si>
  <si>
    <t>742.81K</t>
  </si>
  <si>
    <t>915.71K</t>
  </si>
  <si>
    <t>882.98K</t>
  </si>
  <si>
    <t>895.64K</t>
  </si>
  <si>
    <t>921.29K</t>
  </si>
  <si>
    <t>646.52K</t>
  </si>
  <si>
    <t>831.36K</t>
  </si>
  <si>
    <t>701.69K</t>
  </si>
  <si>
    <t>38.40K</t>
  </si>
  <si>
    <t>129.19K</t>
  </si>
  <si>
    <t>253.07K</t>
  </si>
  <si>
    <t>608.31K</t>
  </si>
  <si>
    <t>815.54K</t>
  </si>
  <si>
    <t>770.36K</t>
  </si>
  <si>
    <t>763.24K</t>
  </si>
  <si>
    <t>804.24K</t>
  </si>
  <si>
    <t>1.14M</t>
  </si>
  <si>
    <t>858.25K</t>
  </si>
  <si>
    <t>924.24K</t>
  </si>
  <si>
    <t>217.07K</t>
  </si>
  <si>
    <t>116.13K</t>
  </si>
  <si>
    <t>156.68K</t>
  </si>
  <si>
    <t>165.46K</t>
  </si>
  <si>
    <t>170.17K</t>
  </si>
  <si>
    <t>154.60K</t>
  </si>
  <si>
    <t>165.41K</t>
  </si>
  <si>
    <t>222.88K</t>
  </si>
  <si>
    <t>92.77K</t>
  </si>
  <si>
    <t>68.28K</t>
  </si>
  <si>
    <t>720.62K</t>
  </si>
  <si>
    <t>846.62K</t>
  </si>
  <si>
    <t>639.64K</t>
  </si>
  <si>
    <t>397.39K</t>
  </si>
  <si>
    <t>367.34K</t>
  </si>
  <si>
    <t>303.17K</t>
  </si>
  <si>
    <t>300.44K</t>
  </si>
  <si>
    <t>312.58K</t>
  </si>
  <si>
    <t>269.33K</t>
  </si>
  <si>
    <t>209.56K</t>
  </si>
  <si>
    <t>198.12K</t>
  </si>
  <si>
    <t>195.83K</t>
  </si>
  <si>
    <t>97.26K</t>
  </si>
  <si>
    <t>154.94K</t>
  </si>
  <si>
    <t>150.42K</t>
  </si>
  <si>
    <t>139.85K</t>
  </si>
  <si>
    <t>139.06K</t>
  </si>
  <si>
    <t>108.67K</t>
  </si>
  <si>
    <t>179.37K</t>
  </si>
  <si>
    <t>84.31K</t>
  </si>
  <si>
    <t>196.53K</t>
  </si>
  <si>
    <t>894.10K</t>
  </si>
  <si>
    <t>620.97K</t>
  </si>
  <si>
    <t>393.72K</t>
  </si>
  <si>
    <t>339.52K</t>
  </si>
  <si>
    <t>460.27K</t>
  </si>
  <si>
    <t>336.77K</t>
  </si>
  <si>
    <t>666.77K</t>
  </si>
  <si>
    <t>735.93K</t>
  </si>
  <si>
    <t>927.70K</t>
  </si>
  <si>
    <t>1.18M</t>
  </si>
  <si>
    <t>825.06K</t>
  </si>
  <si>
    <t>710.20K</t>
  </si>
  <si>
    <t>154.53K</t>
  </si>
  <si>
    <t>149.70K</t>
  </si>
  <si>
    <t>152.46K</t>
  </si>
  <si>
    <t>111.36K</t>
  </si>
  <si>
    <t>128.50K</t>
  </si>
  <si>
    <t>160.74K</t>
  </si>
  <si>
    <t>196.03K</t>
  </si>
  <si>
    <t>113.57K</t>
  </si>
  <si>
    <t>564.31K</t>
  </si>
  <si>
    <t>652.62K</t>
  </si>
  <si>
    <t>601.37K</t>
  </si>
  <si>
    <t>418.36K</t>
  </si>
  <si>
    <t>293.86K</t>
  </si>
  <si>
    <t>295.66K</t>
  </si>
  <si>
    <t>207.15K</t>
  </si>
  <si>
    <t>245.36K</t>
  </si>
  <si>
    <t>309.82K</t>
  </si>
  <si>
    <t>265.04K</t>
  </si>
  <si>
    <t>268.24K</t>
  </si>
  <si>
    <t>296.72K</t>
  </si>
  <si>
    <t>229.99K</t>
  </si>
  <si>
    <t>176.50K</t>
  </si>
  <si>
    <t>145.01K</t>
  </si>
  <si>
    <t>111.91K</t>
  </si>
  <si>
    <t>175.35K</t>
  </si>
  <si>
    <t>250.77K</t>
  </si>
  <si>
    <t>111.61K</t>
  </si>
  <si>
    <t>587.24K</t>
  </si>
  <si>
    <t>517.90K</t>
  </si>
  <si>
    <t>687.47K</t>
  </si>
  <si>
    <t>33.75K</t>
  </si>
  <si>
    <t>133.17K</t>
  </si>
  <si>
    <t>202.04K</t>
  </si>
  <si>
    <t>326.34K</t>
  </si>
  <si>
    <t>480.84K</t>
  </si>
  <si>
    <t>629.81K</t>
  </si>
  <si>
    <t>598.00K</t>
  </si>
  <si>
    <t>565.44K</t>
  </si>
  <si>
    <t>796.44K</t>
  </si>
  <si>
    <t>473.02K</t>
  </si>
  <si>
    <t>651.40K</t>
  </si>
  <si>
    <t>532.05K</t>
  </si>
  <si>
    <t>440.72K</t>
  </si>
  <si>
    <t>527.61K</t>
  </si>
  <si>
    <t>580.67K</t>
  </si>
  <si>
    <t>548.62K</t>
  </si>
  <si>
    <t>502.38K</t>
  </si>
  <si>
    <t>466.18K</t>
  </si>
  <si>
    <t>421.03K</t>
  </si>
  <si>
    <t>499.88K</t>
  </si>
  <si>
    <t>680.85K</t>
  </si>
  <si>
    <t>28.08K</t>
  </si>
  <si>
    <t>142.26K</t>
  </si>
  <si>
    <t>172.34K</t>
  </si>
  <si>
    <t>516.85K</t>
  </si>
  <si>
    <t>655.79K</t>
  </si>
  <si>
    <t>857.71K</t>
  </si>
  <si>
    <t>601.36K</t>
  </si>
  <si>
    <t>796.96K</t>
  </si>
  <si>
    <t>1.07M</t>
  </si>
  <si>
    <t>963.39K</t>
  </si>
  <si>
    <t>494.68K</t>
  </si>
  <si>
    <t>503.69K</t>
  </si>
  <si>
    <t>436.36K</t>
  </si>
  <si>
    <t>638.39K</t>
  </si>
  <si>
    <t>491.29K</t>
  </si>
  <si>
    <t>593.91K</t>
  </si>
  <si>
    <t>394.38K</t>
  </si>
  <si>
    <t>395.26K</t>
  </si>
  <si>
    <t>529.88K</t>
  </si>
  <si>
    <t>499.48K</t>
  </si>
  <si>
    <t>44.05K</t>
  </si>
  <si>
    <t>343.36K</t>
  </si>
  <si>
    <t>463.64K</t>
  </si>
  <si>
    <t>493.02K</t>
  </si>
  <si>
    <t>586.03K</t>
  </si>
  <si>
    <t>596.45K</t>
  </si>
  <si>
    <t>610.20K</t>
  </si>
  <si>
    <t>767.38K</t>
  </si>
  <si>
    <t>624.06K</t>
  </si>
  <si>
    <t>425.09K</t>
  </si>
  <si>
    <t>462.62K</t>
  </si>
  <si>
    <t>492.55K</t>
  </si>
  <si>
    <t>577.24K</t>
  </si>
  <si>
    <t>586.68K</t>
  </si>
  <si>
    <t>486.31K</t>
  </si>
  <si>
    <t>495.56K</t>
  </si>
  <si>
    <t>578.07K</t>
  </si>
  <si>
    <t>589.71K</t>
  </si>
  <si>
    <t>520.29K</t>
  </si>
  <si>
    <t>455.33K</t>
  </si>
  <si>
    <t>567.23K</t>
  </si>
  <si>
    <t>122.59K</t>
  </si>
  <si>
    <t>236.24K</t>
  </si>
  <si>
    <t>606.02K</t>
  </si>
  <si>
    <t>477.99K</t>
  </si>
  <si>
    <t>660.70K</t>
  </si>
  <si>
    <t>815.85K</t>
  </si>
  <si>
    <t>632.57K</t>
  </si>
  <si>
    <t>564.89K</t>
  </si>
  <si>
    <t>528.33K</t>
  </si>
  <si>
    <t>517.36K</t>
  </si>
  <si>
    <t>512.64K</t>
  </si>
  <si>
    <t>727.79K</t>
  </si>
  <si>
    <t>271.09K</t>
  </si>
  <si>
    <t>360.19K</t>
  </si>
  <si>
    <t>322.54K</t>
  </si>
  <si>
    <t>277.31K</t>
  </si>
  <si>
    <t>285.17K</t>
  </si>
  <si>
    <t>393.49K</t>
  </si>
  <si>
    <t>471.99K</t>
  </si>
  <si>
    <t>26.17K</t>
  </si>
  <si>
    <t>129.99K</t>
  </si>
  <si>
    <t>252.57K</t>
  </si>
  <si>
    <t>551.76K</t>
  </si>
  <si>
    <t>677.96K</t>
  </si>
  <si>
    <t>638.40K</t>
  </si>
  <si>
    <t>847.03K</t>
  </si>
  <si>
    <t>652.04K</t>
  </si>
  <si>
    <t>780.06K</t>
  </si>
  <si>
    <t>816.88K</t>
  </si>
  <si>
    <t>642.75K</t>
  </si>
  <si>
    <t>600.78K</t>
  </si>
  <si>
    <t>667.10K</t>
  </si>
  <si>
    <t>974.81K</t>
  </si>
  <si>
    <t>1.31M</t>
  </si>
  <si>
    <t>732.82K</t>
  </si>
  <si>
    <t>734.38K</t>
  </si>
  <si>
    <t>465.98K</t>
  </si>
  <si>
    <t>556.86K</t>
  </si>
  <si>
    <t>826.21K</t>
  </si>
  <si>
    <t>34.92K</t>
  </si>
  <si>
    <t>155.65K</t>
  </si>
  <si>
    <t>284.87K</t>
  </si>
  <si>
    <t>658.17K</t>
  </si>
  <si>
    <t>706.18K</t>
  </si>
  <si>
    <t>704.77K</t>
  </si>
  <si>
    <t>631.14K</t>
  </si>
  <si>
    <t>686.34K</t>
  </si>
  <si>
    <t>946.51K</t>
  </si>
  <si>
    <t>669.64K</t>
  </si>
  <si>
    <t>605.73K</t>
  </si>
  <si>
    <t>736.69K</t>
  </si>
  <si>
    <t>540.44K</t>
  </si>
  <si>
    <t>674.32K</t>
  </si>
  <si>
    <t>834.99K</t>
  </si>
  <si>
    <t>649.24K</t>
  </si>
  <si>
    <t>550.08K</t>
  </si>
  <si>
    <t>543.17K</t>
  </si>
  <si>
    <t>679.32K</t>
  </si>
  <si>
    <t>553.78K</t>
  </si>
  <si>
    <t>623.40K</t>
  </si>
  <si>
    <t>551.30K</t>
  </si>
  <si>
    <t>24.86K</t>
  </si>
  <si>
    <t>132.43K</t>
  </si>
  <si>
    <t>192.80K</t>
  </si>
  <si>
    <t>418.72K</t>
  </si>
  <si>
    <t>519.43K</t>
  </si>
  <si>
    <t>740.68K</t>
  </si>
  <si>
    <t>533.88K</t>
  </si>
  <si>
    <t>765.61K</t>
  </si>
  <si>
    <t>686.07K</t>
  </si>
  <si>
    <t>618.81K</t>
  </si>
  <si>
    <t>547.92K</t>
  </si>
  <si>
    <t>520.07K</t>
  </si>
  <si>
    <t>513.71K</t>
  </si>
  <si>
    <t>458.02K</t>
  </si>
  <si>
    <t>702.65K</t>
  </si>
  <si>
    <t>1.01M</t>
  </si>
  <si>
    <t>630.76K</t>
  </si>
  <si>
    <t>527.12K</t>
  </si>
  <si>
    <t>718.40K</t>
  </si>
  <si>
    <t>521.68K</t>
  </si>
  <si>
    <t>585.99K</t>
  </si>
  <si>
    <t>37.38K</t>
  </si>
  <si>
    <t>129.86K</t>
  </si>
  <si>
    <t>231.19K</t>
  </si>
  <si>
    <t>537.19K</t>
  </si>
  <si>
    <t>705.86K</t>
  </si>
  <si>
    <t>657.78K</t>
  </si>
  <si>
    <t>745.02K</t>
  </si>
  <si>
    <t>688.19K</t>
  </si>
  <si>
    <t>761.94K</t>
  </si>
  <si>
    <t>572.88K</t>
  </si>
  <si>
    <t>932.15K</t>
  </si>
  <si>
    <t>576.92K</t>
  </si>
  <si>
    <t>605.00K</t>
  </si>
  <si>
    <t>549.01K</t>
  </si>
  <si>
    <t>464.45K</t>
  </si>
  <si>
    <t>309.25K</t>
  </si>
  <si>
    <t>558.34K</t>
  </si>
  <si>
    <t>458.82K</t>
  </si>
  <si>
    <t>603.50K</t>
  </si>
  <si>
    <t>623.90K</t>
  </si>
  <si>
    <t>36.53K</t>
  </si>
  <si>
    <t>162.44K</t>
  </si>
  <si>
    <t>563.35K</t>
  </si>
  <si>
    <t>550.44K</t>
  </si>
  <si>
    <t>522.53K</t>
  </si>
  <si>
    <t>536.08K</t>
  </si>
  <si>
    <t>682.24K</t>
  </si>
  <si>
    <t>676.15K</t>
  </si>
  <si>
    <t>624.70K</t>
  </si>
  <si>
    <t>562.53K</t>
  </si>
  <si>
    <t>550.19K</t>
  </si>
  <si>
    <t>598.84K</t>
  </si>
  <si>
    <t>655.19K</t>
  </si>
  <si>
    <t>534.51K</t>
  </si>
  <si>
    <t>533.02K</t>
  </si>
  <si>
    <t>478.76K</t>
  </si>
  <si>
    <t>447.91K</t>
  </si>
  <si>
    <t>537.39K</t>
  </si>
  <si>
    <t>461.32K</t>
  </si>
  <si>
    <t>389.84K</t>
  </si>
  <si>
    <t>428.41K</t>
  </si>
  <si>
    <t>432.97K</t>
  </si>
  <si>
    <t>29.39K</t>
  </si>
  <si>
    <t>128.13K</t>
  </si>
  <si>
    <t>211.39K</t>
  </si>
  <si>
    <t>430.26K</t>
  </si>
  <si>
    <t>573.76K</t>
  </si>
  <si>
    <t>686.25K</t>
  </si>
  <si>
    <t>658.26K</t>
  </si>
  <si>
    <t>533.66K</t>
  </si>
  <si>
    <t>583.08K</t>
  </si>
  <si>
    <t>710.89K</t>
  </si>
  <si>
    <t>607.66K</t>
  </si>
  <si>
    <t>609.19K</t>
  </si>
  <si>
    <t>405.19K</t>
  </si>
  <si>
    <t>508.74K</t>
  </si>
  <si>
    <t>511.48K</t>
  </si>
  <si>
    <t>498.85K</t>
  </si>
  <si>
    <t>504.61K</t>
  </si>
  <si>
    <t>649.45K</t>
  </si>
  <si>
    <t>401.89K</t>
  </si>
  <si>
    <t>569.94K</t>
  </si>
  <si>
    <t>30.11K</t>
  </si>
  <si>
    <t>98.29K</t>
  </si>
  <si>
    <t>226.65K</t>
  </si>
  <si>
    <t>507.91K</t>
  </si>
  <si>
    <t>527.87K</t>
  </si>
  <si>
    <t>456.14K</t>
  </si>
  <si>
    <t>506.04K</t>
  </si>
  <si>
    <t>596.12K</t>
  </si>
  <si>
    <t>560.72K</t>
  </si>
  <si>
    <t>656.42K</t>
  </si>
  <si>
    <t>542.25K</t>
  </si>
  <si>
    <t>450.47K</t>
  </si>
  <si>
    <t>481.03K</t>
  </si>
  <si>
    <t>564.85K</t>
  </si>
  <si>
    <t>568.84K</t>
  </si>
  <si>
    <t>476.99K</t>
  </si>
  <si>
    <t>406.39K</t>
  </si>
  <si>
    <t>488.47K</t>
  </si>
  <si>
    <t>550.50K</t>
  </si>
  <si>
    <t>475.97K</t>
  </si>
  <si>
    <t>475.45K</t>
  </si>
  <si>
    <t>28.52K</t>
  </si>
  <si>
    <t>108.82K</t>
  </si>
  <si>
    <t>343.18K</t>
  </si>
  <si>
    <t>470.44K</t>
  </si>
  <si>
    <t>550.86K</t>
  </si>
  <si>
    <t>519.36K</t>
  </si>
  <si>
    <t>715.10K</t>
  </si>
  <si>
    <t>869.96K</t>
  </si>
  <si>
    <t>709.42K</t>
  </si>
  <si>
    <t>767.57K</t>
  </si>
  <si>
    <t>695.31K</t>
  </si>
  <si>
    <t>746.16K</t>
  </si>
  <si>
    <t>711.13K</t>
  </si>
  <si>
    <t>625.55K</t>
  </si>
  <si>
    <t>464.03K</t>
  </si>
  <si>
    <t>598.44K</t>
  </si>
  <si>
    <t>487.41K</t>
  </si>
  <si>
    <t>648.03K</t>
  </si>
  <si>
    <t>564.39K</t>
  </si>
  <si>
    <t>606.38K</t>
  </si>
  <si>
    <t>575.11K</t>
  </si>
  <si>
    <t>671.10K</t>
  </si>
  <si>
    <t>30.09K</t>
  </si>
  <si>
    <t>101.73K</t>
  </si>
  <si>
    <t>342.46K</t>
  </si>
  <si>
    <t>520.15K</t>
  </si>
  <si>
    <t>488.61K</t>
  </si>
  <si>
    <t>730.44K</t>
  </si>
  <si>
    <t>796.84K</t>
  </si>
  <si>
    <t>679.35K</t>
  </si>
  <si>
    <t>817.23K</t>
  </si>
  <si>
    <t>626.75K</t>
  </si>
  <si>
    <t>751.05K</t>
  </si>
  <si>
    <t>485.54K</t>
  </si>
  <si>
    <t>549.48K</t>
  </si>
  <si>
    <t>547.19K</t>
  </si>
  <si>
    <t>532.15K</t>
  </si>
  <si>
    <t>542.47K</t>
  </si>
  <si>
    <t>488.03K</t>
  </si>
  <si>
    <t>299.78K</t>
  </si>
  <si>
    <t>495.17K</t>
  </si>
  <si>
    <t>492.00K</t>
  </si>
  <si>
    <t>463.69K</t>
  </si>
  <si>
    <t>31.92K</t>
  </si>
  <si>
    <t>130.15K</t>
  </si>
  <si>
    <t>298.01K</t>
  </si>
  <si>
    <t>494.17K</t>
  </si>
  <si>
    <t>446.10K</t>
  </si>
  <si>
    <t>489.94K</t>
  </si>
  <si>
    <t>564.79K</t>
  </si>
  <si>
    <t>701.44K</t>
  </si>
  <si>
    <t>740.63K</t>
  </si>
  <si>
    <t>709.87K</t>
  </si>
  <si>
    <t>578.29K</t>
  </si>
  <si>
    <t>512.96K</t>
  </si>
  <si>
    <t>597.83K</t>
  </si>
  <si>
    <t>566.23K</t>
  </si>
  <si>
    <t>512.47K</t>
  </si>
  <si>
    <t>646.29K</t>
  </si>
  <si>
    <t>611.87K</t>
  </si>
  <si>
    <t>652.25K</t>
  </si>
  <si>
    <t>539.38K</t>
  </si>
  <si>
    <t>26.32K</t>
  </si>
  <si>
    <t>103.20K</t>
  </si>
  <si>
    <t>225.50K</t>
  </si>
  <si>
    <t>578.64K</t>
  </si>
  <si>
    <t>651.96K</t>
  </si>
  <si>
    <t>675.16K</t>
  </si>
  <si>
    <t>795.97K</t>
  </si>
  <si>
    <t>781.28K</t>
  </si>
  <si>
    <t>738.22K</t>
  </si>
  <si>
    <t>603.65K</t>
  </si>
  <si>
    <t>616.53K</t>
  </si>
  <si>
    <t>696.72K</t>
  </si>
  <si>
    <t>811.70K</t>
  </si>
  <si>
    <t>602.56K</t>
  </si>
  <si>
    <t>595.61K</t>
  </si>
  <si>
    <t>618.11K</t>
  </si>
  <si>
    <t>833.38K</t>
  </si>
  <si>
    <t>738.55K</t>
  </si>
  <si>
    <t>642.43K</t>
  </si>
  <si>
    <t>606.89K</t>
  </si>
  <si>
    <t>636.57K</t>
  </si>
  <si>
    <t>694.04K</t>
  </si>
  <si>
    <t>32.11K</t>
  </si>
  <si>
    <t>188.03K</t>
  </si>
  <si>
    <t>329.09K</t>
  </si>
  <si>
    <t>537.91K</t>
  </si>
  <si>
    <t>637.90K</t>
  </si>
  <si>
    <t>627.22K</t>
  </si>
  <si>
    <t>648.64K</t>
  </si>
  <si>
    <t>596.50K</t>
  </si>
  <si>
    <t>617.41K</t>
  </si>
  <si>
    <t>563.81K</t>
  </si>
  <si>
    <t>410.13K</t>
  </si>
  <si>
    <t>431.99K</t>
  </si>
  <si>
    <t>283.62K</t>
  </si>
  <si>
    <t>241.95K</t>
  </si>
  <si>
    <t>220.64K</t>
  </si>
  <si>
    <t>205.87K</t>
  </si>
  <si>
    <t>374.66K</t>
  </si>
  <si>
    <t>302.26K</t>
  </si>
  <si>
    <t>27.29K</t>
  </si>
  <si>
    <t>116.04K</t>
  </si>
  <si>
    <t>196.23K</t>
  </si>
  <si>
    <t>402.97K</t>
  </si>
  <si>
    <t>474.16K</t>
  </si>
  <si>
    <t>550.48K</t>
  </si>
  <si>
    <t>505.41K</t>
  </si>
  <si>
    <t>513.94K</t>
  </si>
  <si>
    <t>646.17K</t>
  </si>
  <si>
    <t>767.18K</t>
  </si>
  <si>
    <t>635.41K</t>
  </si>
  <si>
    <t>510.76K</t>
  </si>
  <si>
    <t>496.88K</t>
  </si>
  <si>
    <t>545.29K</t>
  </si>
  <si>
    <t>415.54K</t>
  </si>
  <si>
    <t>369.51K</t>
  </si>
  <si>
    <t>316.48K</t>
  </si>
  <si>
    <t>383.16K</t>
  </si>
  <si>
    <t>430.30K</t>
  </si>
  <si>
    <t>516.19K</t>
  </si>
  <si>
    <t>33.71K</t>
  </si>
  <si>
    <t>131.36K</t>
  </si>
  <si>
    <t>251.52K</t>
  </si>
  <si>
    <t>363.71K</t>
  </si>
  <si>
    <t>535.18K</t>
  </si>
  <si>
    <t>480.89K</t>
  </si>
  <si>
    <t>545.35K</t>
  </si>
  <si>
    <t>502.37K</t>
  </si>
  <si>
    <t>445.97K</t>
  </si>
  <si>
    <t>487.99K</t>
  </si>
  <si>
    <t>448.13K</t>
  </si>
  <si>
    <t>437.65K</t>
  </si>
  <si>
    <t>459.31K</t>
  </si>
  <si>
    <t>434.57K</t>
  </si>
  <si>
    <t>305.52K</t>
  </si>
  <si>
    <t>363.31K</t>
  </si>
  <si>
    <t>436.51K</t>
  </si>
  <si>
    <t>521.52K</t>
  </si>
  <si>
    <t>370.83K</t>
  </si>
  <si>
    <t>302.08K</t>
  </si>
  <si>
    <t>406.58K</t>
  </si>
  <si>
    <t>322.74K</t>
  </si>
  <si>
    <t>384.29K</t>
  </si>
  <si>
    <t>38.95K</t>
  </si>
  <si>
    <t>125.84K</t>
  </si>
  <si>
    <t>198.13K</t>
  </si>
  <si>
    <t>370.94K</t>
  </si>
  <si>
    <t>348.24K</t>
  </si>
  <si>
    <t>465.39K</t>
  </si>
  <si>
    <t>408.66K</t>
  </si>
  <si>
    <t>508.68K</t>
  </si>
  <si>
    <t>509.76K</t>
  </si>
  <si>
    <t>547.49K</t>
  </si>
  <si>
    <t>453.10K</t>
  </si>
  <si>
    <t>323.06K</t>
  </si>
  <si>
    <t>420.74K</t>
  </si>
  <si>
    <t>478.98K</t>
  </si>
  <si>
    <t>355.85K</t>
  </si>
  <si>
    <t>265.18K</t>
  </si>
  <si>
    <t>338.62K</t>
  </si>
  <si>
    <t>371.98K</t>
  </si>
  <si>
    <t>411.96K</t>
  </si>
  <si>
    <t>29.99K</t>
  </si>
  <si>
    <t>104.53K</t>
  </si>
  <si>
    <t>211.30K</t>
  </si>
  <si>
    <t>366.39K</t>
  </si>
  <si>
    <t>421.98K</t>
  </si>
  <si>
    <t>335.95K</t>
  </si>
  <si>
    <t>326.27K</t>
  </si>
  <si>
    <t>395.84K</t>
  </si>
  <si>
    <t>498.99K</t>
  </si>
  <si>
    <t>422.74K</t>
  </si>
  <si>
    <t>508.82K</t>
  </si>
  <si>
    <t>385.63K</t>
  </si>
  <si>
    <t>539.45K</t>
  </si>
  <si>
    <t>689.30K</t>
  </si>
  <si>
    <t>713.42K</t>
  </si>
  <si>
    <t>757.50K</t>
  </si>
  <si>
    <t>666.33K</t>
  </si>
  <si>
    <t>533.68K</t>
  </si>
  <si>
    <t>368.72K</t>
  </si>
  <si>
    <t>375.65K</t>
  </si>
  <si>
    <t>468.37K</t>
  </si>
  <si>
    <t>377.18K</t>
  </si>
  <si>
    <t>24.78K</t>
  </si>
  <si>
    <t>107.58K</t>
  </si>
  <si>
    <t>200.19K</t>
  </si>
  <si>
    <t>314.28K</t>
  </si>
  <si>
    <t>317.21K</t>
  </si>
  <si>
    <t>420.15K</t>
  </si>
  <si>
    <t>492.27K</t>
  </si>
  <si>
    <t>538.01K</t>
  </si>
  <si>
    <t>491.43K</t>
  </si>
  <si>
    <t>400.07K</t>
  </si>
  <si>
    <t>360.98K</t>
  </si>
  <si>
    <t>367.33K</t>
  </si>
  <si>
    <t>285.79K</t>
  </si>
  <si>
    <t>371.09K</t>
  </si>
  <si>
    <t>334.47K</t>
  </si>
  <si>
    <t>247.66K</t>
  </si>
  <si>
    <t>366.89K</t>
  </si>
  <si>
    <t>338.11K</t>
  </si>
  <si>
    <t>273.61K</t>
  </si>
  <si>
    <t>278.23K</t>
  </si>
  <si>
    <t>316.06K</t>
  </si>
  <si>
    <t>347.99K</t>
  </si>
  <si>
    <t>23.13K</t>
  </si>
  <si>
    <t>203.49K</t>
  </si>
  <si>
    <t>319.17K</t>
  </si>
  <si>
    <t>334.56K</t>
  </si>
  <si>
    <t>422.76K</t>
  </si>
  <si>
    <t>359.48K</t>
  </si>
  <si>
    <t>349.08K</t>
  </si>
  <si>
    <t>382.33K</t>
  </si>
  <si>
    <t>434.75K</t>
  </si>
  <si>
    <t>527.27K</t>
  </si>
  <si>
    <t>540.61K</t>
  </si>
  <si>
    <t>297.05K</t>
  </si>
  <si>
    <t>373.41K</t>
  </si>
  <si>
    <t>282.48K</t>
  </si>
  <si>
    <t>286.04K</t>
  </si>
  <si>
    <t>231.96K</t>
  </si>
  <si>
    <t>222.34K</t>
  </si>
  <si>
    <t>312.99K</t>
  </si>
  <si>
    <t>336.22K</t>
  </si>
  <si>
    <t>26.74K</t>
  </si>
  <si>
    <t>116.66K</t>
  </si>
  <si>
    <t>181.88K</t>
  </si>
  <si>
    <t>396.16K</t>
  </si>
  <si>
    <t>233.94K</t>
  </si>
  <si>
    <t>275.19K</t>
  </si>
  <si>
    <t>246.90K</t>
  </si>
  <si>
    <t>352.42K</t>
  </si>
  <si>
    <t>459.77K</t>
  </si>
  <si>
    <t>405.49K</t>
  </si>
  <si>
    <t>339.85K</t>
  </si>
  <si>
    <t>461.02K</t>
  </si>
  <si>
    <t>363.35K</t>
  </si>
  <si>
    <t>371.30K</t>
  </si>
  <si>
    <t>344.51K</t>
  </si>
  <si>
    <t>292.19K</t>
  </si>
  <si>
    <t>452.22K</t>
  </si>
  <si>
    <t>340.68K</t>
  </si>
  <si>
    <t>314.92K</t>
  </si>
  <si>
    <t>330.13K</t>
  </si>
  <si>
    <t>230.31K</t>
  </si>
  <si>
    <t>287.13K</t>
  </si>
  <si>
    <t>30.30K</t>
  </si>
  <si>
    <t>144.39K</t>
  </si>
  <si>
    <t>222.09K</t>
  </si>
  <si>
    <t>361.43K</t>
  </si>
  <si>
    <t>426.84K</t>
  </si>
  <si>
    <t>397.35K</t>
  </si>
  <si>
    <t>332.69K</t>
  </si>
  <si>
    <t>434.58K</t>
  </si>
  <si>
    <t>437.02K</t>
  </si>
  <si>
    <t>423.58K</t>
  </si>
  <si>
    <t>389.74K</t>
  </si>
  <si>
    <t>244.75K</t>
  </si>
  <si>
    <t>340.32K</t>
  </si>
  <si>
    <t>411.10K</t>
  </si>
  <si>
    <t>281.86K</t>
  </si>
  <si>
    <t>250.56K</t>
  </si>
  <si>
    <t>328.32K</t>
  </si>
  <si>
    <t>329.63K</t>
  </si>
  <si>
    <t>29.60K</t>
  </si>
  <si>
    <t>112.38K</t>
  </si>
  <si>
    <t>230.62K</t>
  </si>
  <si>
    <t>413.13K</t>
  </si>
  <si>
    <t>508.90K</t>
  </si>
  <si>
    <t>431.03K</t>
  </si>
  <si>
    <t>375.53K</t>
  </si>
  <si>
    <t>395.14K</t>
  </si>
  <si>
    <t>449.53K</t>
  </si>
  <si>
    <t>552.63K</t>
  </si>
  <si>
    <t>548.87K</t>
  </si>
  <si>
    <t>325.28K</t>
  </si>
  <si>
    <t>453.39K</t>
  </si>
  <si>
    <t>451.10K</t>
  </si>
  <si>
    <t>365.75K</t>
  </si>
  <si>
    <t>355.87K</t>
  </si>
  <si>
    <t>384.09K</t>
  </si>
  <si>
    <t>515.28K</t>
  </si>
  <si>
    <t>398.80K</t>
  </si>
  <si>
    <t>309.55K</t>
  </si>
  <si>
    <t>292.42K</t>
  </si>
  <si>
    <t>22.46K</t>
  </si>
  <si>
    <t>346.31K</t>
  </si>
  <si>
    <t>367.60K</t>
  </si>
  <si>
    <t>395.72K</t>
  </si>
  <si>
    <t>358.38K</t>
  </si>
  <si>
    <t>404.59K</t>
  </si>
  <si>
    <t>395.76K</t>
  </si>
  <si>
    <t>409.88K</t>
  </si>
  <si>
    <t>406.84K</t>
  </si>
  <si>
    <t>370.95K</t>
  </si>
  <si>
    <t>463.99K</t>
  </si>
  <si>
    <t>370.60K</t>
  </si>
  <si>
    <t>427.18K</t>
  </si>
  <si>
    <t>399.49K</t>
  </si>
  <si>
    <t>459.58K</t>
  </si>
  <si>
    <t>429.52K</t>
  </si>
  <si>
    <t>293.10K</t>
  </si>
  <si>
    <t>475.38K</t>
  </si>
  <si>
    <t>30.66K</t>
  </si>
  <si>
    <t>125.21K</t>
  </si>
  <si>
    <t>257.48K</t>
  </si>
  <si>
    <t>518.80K</t>
  </si>
  <si>
    <t>437.07K</t>
  </si>
  <si>
    <t>563.66K</t>
  </si>
  <si>
    <t>519.27K</t>
  </si>
  <si>
    <t>501.70K</t>
  </si>
  <si>
    <t>536.36K</t>
  </si>
  <si>
    <t>584.98K</t>
  </si>
  <si>
    <t>596.85K</t>
  </si>
  <si>
    <t>577.52K</t>
  </si>
  <si>
    <t>644.92K</t>
  </si>
  <si>
    <t>511.41K</t>
  </si>
  <si>
    <t>454.14K</t>
  </si>
  <si>
    <t>300.73K</t>
  </si>
  <si>
    <t>365.44K</t>
  </si>
  <si>
    <t>313.14K</t>
  </si>
  <si>
    <t>310.64K</t>
  </si>
  <si>
    <t>374.29K</t>
  </si>
  <si>
    <t>426.83K</t>
  </si>
  <si>
    <t>340.25K</t>
  </si>
  <si>
    <t>49.74K</t>
  </si>
  <si>
    <t>175.63K</t>
  </si>
  <si>
    <t>478.34K</t>
  </si>
  <si>
    <t>Returns</t>
  </si>
  <si>
    <t>Log Returns</t>
  </si>
  <si>
    <t>AMRR (Full Period)</t>
  </si>
  <si>
    <t>AMRR (Last Year)</t>
  </si>
  <si>
    <t>Volatility (Full Period)</t>
  </si>
  <si>
    <t>Volatility (Last Year)</t>
  </si>
  <si>
    <t>Bin</t>
  </si>
  <si>
    <t>More</t>
  </si>
  <si>
    <t>Frequency</t>
  </si>
  <si>
    <t xml:space="preserve">The histogram has a bell-shaped distribution that is symmetrical around its central peak (the mean). </t>
  </si>
  <si>
    <t>This shape is characteristic of a normal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</si>
</sst>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Distribution</a:t>
            </a:r>
            <a:r>
              <a:rPr lang="en-CA" baseline="0"/>
              <a:t> of Log Returns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'Crude Oil WTI Data'!$R$2:$R$82</c:f>
              <c:strCache>
                <c:ptCount val="81"/>
                <c:pt idx="0">
                  <c:v>-0.1975</c:v>
                </c:pt>
                <c:pt idx="1">
                  <c:v>-0.1925</c:v>
                </c:pt>
                <c:pt idx="2">
                  <c:v>-0.1875</c:v>
                </c:pt>
                <c:pt idx="3">
                  <c:v>-0.1825</c:v>
                </c:pt>
                <c:pt idx="4">
                  <c:v>-0.1775</c:v>
                </c:pt>
                <c:pt idx="5">
                  <c:v>-0.1725</c:v>
                </c:pt>
                <c:pt idx="6">
                  <c:v>-0.1675</c:v>
                </c:pt>
                <c:pt idx="7">
                  <c:v>-0.1625</c:v>
                </c:pt>
                <c:pt idx="8">
                  <c:v>-0.1575</c:v>
                </c:pt>
                <c:pt idx="9">
                  <c:v>-0.1525</c:v>
                </c:pt>
                <c:pt idx="10">
                  <c:v>-0.1475</c:v>
                </c:pt>
                <c:pt idx="11">
                  <c:v>-0.1425</c:v>
                </c:pt>
                <c:pt idx="12">
                  <c:v>-0.1375</c:v>
                </c:pt>
                <c:pt idx="13">
                  <c:v>-0.1325</c:v>
                </c:pt>
                <c:pt idx="14">
                  <c:v>-0.1275</c:v>
                </c:pt>
                <c:pt idx="15">
                  <c:v>-0.1225</c:v>
                </c:pt>
                <c:pt idx="16">
                  <c:v>-0.1175</c:v>
                </c:pt>
                <c:pt idx="17">
                  <c:v>-0.1125</c:v>
                </c:pt>
                <c:pt idx="18">
                  <c:v>-0.1075</c:v>
                </c:pt>
                <c:pt idx="19">
                  <c:v>-0.1025</c:v>
                </c:pt>
                <c:pt idx="20">
                  <c:v>-0.0975</c:v>
                </c:pt>
                <c:pt idx="21">
                  <c:v>-0.0925</c:v>
                </c:pt>
                <c:pt idx="22">
                  <c:v>-0.0875</c:v>
                </c:pt>
                <c:pt idx="23">
                  <c:v>-0.0825</c:v>
                </c:pt>
                <c:pt idx="24">
                  <c:v>-0.0775</c:v>
                </c:pt>
                <c:pt idx="25">
                  <c:v>-0.0725</c:v>
                </c:pt>
                <c:pt idx="26">
                  <c:v>-0.0675</c:v>
                </c:pt>
                <c:pt idx="27">
                  <c:v>-0.0625</c:v>
                </c:pt>
                <c:pt idx="28">
                  <c:v>-0.0575</c:v>
                </c:pt>
                <c:pt idx="29">
                  <c:v>-0.0525</c:v>
                </c:pt>
                <c:pt idx="30">
                  <c:v>-0.0475</c:v>
                </c:pt>
                <c:pt idx="31">
                  <c:v>-0.0425</c:v>
                </c:pt>
                <c:pt idx="32">
                  <c:v>-0.0375</c:v>
                </c:pt>
                <c:pt idx="33">
                  <c:v>-0.0325</c:v>
                </c:pt>
                <c:pt idx="34">
                  <c:v>-0.0275</c:v>
                </c:pt>
                <c:pt idx="35">
                  <c:v>-0.0225</c:v>
                </c:pt>
                <c:pt idx="36">
                  <c:v>-0.0175</c:v>
                </c:pt>
                <c:pt idx="37">
                  <c:v>-0.0125</c:v>
                </c:pt>
                <c:pt idx="38">
                  <c:v>-0.0075</c:v>
                </c:pt>
                <c:pt idx="39">
                  <c:v>-0.0025</c:v>
                </c:pt>
                <c:pt idx="40">
                  <c:v>0.0025</c:v>
                </c:pt>
                <c:pt idx="41">
                  <c:v>0.0075</c:v>
                </c:pt>
                <c:pt idx="42">
                  <c:v>0.0125</c:v>
                </c:pt>
                <c:pt idx="43">
                  <c:v>0.0175</c:v>
                </c:pt>
                <c:pt idx="44">
                  <c:v>0.0225</c:v>
                </c:pt>
                <c:pt idx="45">
                  <c:v>0.0275</c:v>
                </c:pt>
                <c:pt idx="46">
                  <c:v>0.0325</c:v>
                </c:pt>
                <c:pt idx="47">
                  <c:v>0.0375</c:v>
                </c:pt>
                <c:pt idx="48">
                  <c:v>0.0425</c:v>
                </c:pt>
                <c:pt idx="49">
                  <c:v>0.0475</c:v>
                </c:pt>
                <c:pt idx="50">
                  <c:v>0.0525</c:v>
                </c:pt>
                <c:pt idx="51">
                  <c:v>0.0575</c:v>
                </c:pt>
                <c:pt idx="52">
                  <c:v>0.0625</c:v>
                </c:pt>
                <c:pt idx="53">
                  <c:v>0.0675</c:v>
                </c:pt>
                <c:pt idx="54">
                  <c:v>0.0725</c:v>
                </c:pt>
                <c:pt idx="55">
                  <c:v>0.0775</c:v>
                </c:pt>
                <c:pt idx="56">
                  <c:v>0.0825</c:v>
                </c:pt>
                <c:pt idx="57">
                  <c:v>0.0875</c:v>
                </c:pt>
                <c:pt idx="58">
                  <c:v>0.0925</c:v>
                </c:pt>
                <c:pt idx="59">
                  <c:v>0.0975</c:v>
                </c:pt>
                <c:pt idx="60">
                  <c:v>0.1025</c:v>
                </c:pt>
                <c:pt idx="61">
                  <c:v>0.1075</c:v>
                </c:pt>
                <c:pt idx="62">
                  <c:v>0.1125</c:v>
                </c:pt>
                <c:pt idx="63">
                  <c:v>0.1175</c:v>
                </c:pt>
                <c:pt idx="64">
                  <c:v>0.1225</c:v>
                </c:pt>
                <c:pt idx="65">
                  <c:v>0.1275</c:v>
                </c:pt>
                <c:pt idx="66">
                  <c:v>0.1325</c:v>
                </c:pt>
                <c:pt idx="67">
                  <c:v>0.1375</c:v>
                </c:pt>
                <c:pt idx="68">
                  <c:v>0.1425</c:v>
                </c:pt>
                <c:pt idx="69">
                  <c:v>0.1475</c:v>
                </c:pt>
                <c:pt idx="70">
                  <c:v>0.1525</c:v>
                </c:pt>
                <c:pt idx="71">
                  <c:v>0.1575</c:v>
                </c:pt>
                <c:pt idx="72">
                  <c:v>0.1625</c:v>
                </c:pt>
                <c:pt idx="73">
                  <c:v>0.1675</c:v>
                </c:pt>
                <c:pt idx="74">
                  <c:v>0.1725</c:v>
                </c:pt>
                <c:pt idx="75">
                  <c:v>0.1775</c:v>
                </c:pt>
                <c:pt idx="76">
                  <c:v>0.1825</c:v>
                </c:pt>
                <c:pt idx="77">
                  <c:v>0.1875</c:v>
                </c:pt>
                <c:pt idx="78">
                  <c:v>0.1925</c:v>
                </c:pt>
                <c:pt idx="79">
                  <c:v>0.1975</c:v>
                </c:pt>
                <c:pt idx="80">
                  <c:v>More</c:v>
                </c:pt>
              </c:strCache>
            </c:strRef>
          </c:cat>
          <c:val>
            <c:numRef>
              <c:f>'Crude Oil WTI Data'!$S$2:$S$82</c:f>
              <c:numCache>
                <c:formatCode>General</c:formatCode>
                <c:ptCount val="8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8</c:v>
                </c:pt>
                <c:pt idx="28">
                  <c:v>14</c:v>
                </c:pt>
                <c:pt idx="29">
                  <c:v>21</c:v>
                </c:pt>
                <c:pt idx="30">
                  <c:v>23</c:v>
                </c:pt>
                <c:pt idx="31">
                  <c:v>27</c:v>
                </c:pt>
                <c:pt idx="32">
                  <c:v>38</c:v>
                </c:pt>
                <c:pt idx="33">
                  <c:v>48</c:v>
                </c:pt>
                <c:pt idx="34">
                  <c:v>81</c:v>
                </c:pt>
                <c:pt idx="35">
                  <c:v>99</c:v>
                </c:pt>
                <c:pt idx="36">
                  <c:v>105</c:v>
                </c:pt>
                <c:pt idx="37">
                  <c:v>166</c:v>
                </c:pt>
                <c:pt idx="38">
                  <c:v>197</c:v>
                </c:pt>
                <c:pt idx="39">
                  <c:v>232</c:v>
                </c:pt>
                <c:pt idx="40">
                  <c:v>275</c:v>
                </c:pt>
                <c:pt idx="41">
                  <c:v>308</c:v>
                </c:pt>
                <c:pt idx="42">
                  <c:v>266</c:v>
                </c:pt>
                <c:pt idx="43">
                  <c:v>178</c:v>
                </c:pt>
                <c:pt idx="44">
                  <c:v>164</c:v>
                </c:pt>
                <c:pt idx="45">
                  <c:v>116</c:v>
                </c:pt>
                <c:pt idx="46">
                  <c:v>86</c:v>
                </c:pt>
                <c:pt idx="47">
                  <c:v>38</c:v>
                </c:pt>
                <c:pt idx="48">
                  <c:v>32</c:v>
                </c:pt>
                <c:pt idx="49">
                  <c:v>17</c:v>
                </c:pt>
                <c:pt idx="50">
                  <c:v>19</c:v>
                </c:pt>
                <c:pt idx="51">
                  <c:v>14</c:v>
                </c:pt>
                <c:pt idx="52">
                  <c:v>6</c:v>
                </c:pt>
                <c:pt idx="53">
                  <c:v>4</c:v>
                </c:pt>
                <c:pt idx="54">
                  <c:v>4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C-4E1A-9FD0-1E4BF9BF7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405908047"/>
        <c:axId val="405909007"/>
      </c:barChart>
      <c:catAx>
        <c:axId val="40590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</a:t>
                </a:r>
                <a:r>
                  <a:rPr lang="en-CA" baseline="0"/>
                  <a:t> Returns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09007"/>
        <c:crosses val="autoZero"/>
        <c:auto val="1"/>
        <c:lblAlgn val="ctr"/>
        <c:lblOffset val="100"/>
        <c:noMultiLvlLbl val="0"/>
      </c:catAx>
      <c:valAx>
        <c:axId val="4059090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0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WTI Crude Oil </a:t>
            </a:r>
            <a:r>
              <a:rPr lang="en-US"/>
              <a:t>Price Over</a:t>
            </a:r>
            <a:r>
              <a:rPr lang="en-US" baseline="0"/>
              <a:t> Last 252 Trading Days</a:t>
            </a:r>
            <a:endParaRPr lang="en-US"/>
          </a:p>
        </c:rich>
      </c:tx>
      <c:layout>
        <c:manualLayout>
          <c:xMode val="edge"/>
          <c:yMode val="edge"/>
          <c:x val="0.20702077292397936"/>
          <c:y val="4.1554902278721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'Crude Oil Price Chart'!$B$1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'Crude Oil Price Chart'!$A$2:$A$253</c:f>
              <c:numCache>
                <c:formatCode>m/d/yyyy</c:formatCode>
                <c:ptCount val="252"/>
                <c:pt idx="0">
                  <c:v>45671</c:v>
                </c:pt>
                <c:pt idx="1">
                  <c:v>45670</c:v>
                </c:pt>
                <c:pt idx="2">
                  <c:v>45667</c:v>
                </c:pt>
                <c:pt idx="3">
                  <c:v>45666</c:v>
                </c:pt>
                <c:pt idx="4">
                  <c:v>45665</c:v>
                </c:pt>
                <c:pt idx="5">
                  <c:v>45664</c:v>
                </c:pt>
                <c:pt idx="6">
                  <c:v>45663</c:v>
                </c:pt>
                <c:pt idx="7">
                  <c:v>45660</c:v>
                </c:pt>
                <c:pt idx="8">
                  <c:v>45659</c:v>
                </c:pt>
                <c:pt idx="9">
                  <c:v>45657</c:v>
                </c:pt>
                <c:pt idx="10">
                  <c:v>45656</c:v>
                </c:pt>
                <c:pt idx="11">
                  <c:v>45653</c:v>
                </c:pt>
                <c:pt idx="12">
                  <c:v>45652</c:v>
                </c:pt>
                <c:pt idx="13">
                  <c:v>45650</c:v>
                </c:pt>
                <c:pt idx="14">
                  <c:v>45649</c:v>
                </c:pt>
                <c:pt idx="15">
                  <c:v>45646</c:v>
                </c:pt>
                <c:pt idx="16">
                  <c:v>45645</c:v>
                </c:pt>
                <c:pt idx="17">
                  <c:v>45644</c:v>
                </c:pt>
                <c:pt idx="18">
                  <c:v>45643</c:v>
                </c:pt>
                <c:pt idx="19">
                  <c:v>45642</c:v>
                </c:pt>
                <c:pt idx="20">
                  <c:v>45639</c:v>
                </c:pt>
                <c:pt idx="21">
                  <c:v>45638</c:v>
                </c:pt>
                <c:pt idx="22">
                  <c:v>45637</c:v>
                </c:pt>
                <c:pt idx="23">
                  <c:v>45636</c:v>
                </c:pt>
                <c:pt idx="24">
                  <c:v>45635</c:v>
                </c:pt>
                <c:pt idx="25">
                  <c:v>45632</c:v>
                </c:pt>
                <c:pt idx="26">
                  <c:v>45631</c:v>
                </c:pt>
                <c:pt idx="27">
                  <c:v>45630</c:v>
                </c:pt>
                <c:pt idx="28">
                  <c:v>45629</c:v>
                </c:pt>
                <c:pt idx="29">
                  <c:v>45628</c:v>
                </c:pt>
                <c:pt idx="30">
                  <c:v>45625</c:v>
                </c:pt>
                <c:pt idx="31">
                  <c:v>45623</c:v>
                </c:pt>
                <c:pt idx="32">
                  <c:v>45622</c:v>
                </c:pt>
                <c:pt idx="33">
                  <c:v>45621</c:v>
                </c:pt>
                <c:pt idx="34">
                  <c:v>45618</c:v>
                </c:pt>
                <c:pt idx="35">
                  <c:v>45617</c:v>
                </c:pt>
                <c:pt idx="36">
                  <c:v>45616</c:v>
                </c:pt>
                <c:pt idx="37">
                  <c:v>45615</c:v>
                </c:pt>
                <c:pt idx="38">
                  <c:v>45614</c:v>
                </c:pt>
                <c:pt idx="39">
                  <c:v>45611</c:v>
                </c:pt>
                <c:pt idx="40">
                  <c:v>45610</c:v>
                </c:pt>
                <c:pt idx="41">
                  <c:v>45609</c:v>
                </c:pt>
                <c:pt idx="42">
                  <c:v>45608</c:v>
                </c:pt>
                <c:pt idx="43">
                  <c:v>45607</c:v>
                </c:pt>
                <c:pt idx="44">
                  <c:v>45604</c:v>
                </c:pt>
                <c:pt idx="45">
                  <c:v>45603</c:v>
                </c:pt>
                <c:pt idx="46">
                  <c:v>45602</c:v>
                </c:pt>
                <c:pt idx="47">
                  <c:v>45601</c:v>
                </c:pt>
                <c:pt idx="48">
                  <c:v>45600</c:v>
                </c:pt>
                <c:pt idx="49">
                  <c:v>45597</c:v>
                </c:pt>
                <c:pt idx="50">
                  <c:v>45596</c:v>
                </c:pt>
                <c:pt idx="51">
                  <c:v>45595</c:v>
                </c:pt>
                <c:pt idx="52">
                  <c:v>45594</c:v>
                </c:pt>
                <c:pt idx="53">
                  <c:v>45593</c:v>
                </c:pt>
                <c:pt idx="54">
                  <c:v>45590</c:v>
                </c:pt>
                <c:pt idx="55">
                  <c:v>45589</c:v>
                </c:pt>
                <c:pt idx="56">
                  <c:v>45588</c:v>
                </c:pt>
                <c:pt idx="57">
                  <c:v>45587</c:v>
                </c:pt>
                <c:pt idx="58">
                  <c:v>45586</c:v>
                </c:pt>
                <c:pt idx="59">
                  <c:v>45583</c:v>
                </c:pt>
                <c:pt idx="60">
                  <c:v>45582</c:v>
                </c:pt>
                <c:pt idx="61">
                  <c:v>45581</c:v>
                </c:pt>
                <c:pt idx="62">
                  <c:v>45580</c:v>
                </c:pt>
                <c:pt idx="63">
                  <c:v>45579</c:v>
                </c:pt>
                <c:pt idx="64">
                  <c:v>45576</c:v>
                </c:pt>
                <c:pt idx="65">
                  <c:v>45575</c:v>
                </c:pt>
                <c:pt idx="66">
                  <c:v>45574</c:v>
                </c:pt>
                <c:pt idx="67">
                  <c:v>45573</c:v>
                </c:pt>
                <c:pt idx="68">
                  <c:v>45572</c:v>
                </c:pt>
                <c:pt idx="69">
                  <c:v>45569</c:v>
                </c:pt>
                <c:pt idx="70">
                  <c:v>45568</c:v>
                </c:pt>
                <c:pt idx="71">
                  <c:v>45567</c:v>
                </c:pt>
                <c:pt idx="72">
                  <c:v>45566</c:v>
                </c:pt>
                <c:pt idx="73">
                  <c:v>45565</c:v>
                </c:pt>
                <c:pt idx="74">
                  <c:v>45562</c:v>
                </c:pt>
                <c:pt idx="75">
                  <c:v>45561</c:v>
                </c:pt>
                <c:pt idx="76">
                  <c:v>45560</c:v>
                </c:pt>
                <c:pt idx="77">
                  <c:v>45559</c:v>
                </c:pt>
                <c:pt idx="78">
                  <c:v>45558</c:v>
                </c:pt>
                <c:pt idx="79">
                  <c:v>45555</c:v>
                </c:pt>
                <c:pt idx="80">
                  <c:v>45554</c:v>
                </c:pt>
                <c:pt idx="81">
                  <c:v>45553</c:v>
                </c:pt>
                <c:pt idx="82">
                  <c:v>45552</c:v>
                </c:pt>
                <c:pt idx="83">
                  <c:v>45551</c:v>
                </c:pt>
                <c:pt idx="84">
                  <c:v>45548</c:v>
                </c:pt>
                <c:pt idx="85">
                  <c:v>45547</c:v>
                </c:pt>
                <c:pt idx="86">
                  <c:v>45546</c:v>
                </c:pt>
                <c:pt idx="87">
                  <c:v>45545</c:v>
                </c:pt>
                <c:pt idx="88">
                  <c:v>45544</c:v>
                </c:pt>
                <c:pt idx="89">
                  <c:v>45541</c:v>
                </c:pt>
                <c:pt idx="90">
                  <c:v>45540</c:v>
                </c:pt>
                <c:pt idx="91">
                  <c:v>45539</c:v>
                </c:pt>
                <c:pt idx="92">
                  <c:v>45538</c:v>
                </c:pt>
                <c:pt idx="93">
                  <c:v>45537</c:v>
                </c:pt>
                <c:pt idx="94">
                  <c:v>45536</c:v>
                </c:pt>
                <c:pt idx="95">
                  <c:v>45534</c:v>
                </c:pt>
                <c:pt idx="96">
                  <c:v>45533</c:v>
                </c:pt>
                <c:pt idx="97">
                  <c:v>45532</c:v>
                </c:pt>
                <c:pt idx="98">
                  <c:v>45531</c:v>
                </c:pt>
                <c:pt idx="99">
                  <c:v>45530</c:v>
                </c:pt>
                <c:pt idx="100">
                  <c:v>45527</c:v>
                </c:pt>
                <c:pt idx="101">
                  <c:v>45526</c:v>
                </c:pt>
                <c:pt idx="102">
                  <c:v>45525</c:v>
                </c:pt>
                <c:pt idx="103">
                  <c:v>45524</c:v>
                </c:pt>
                <c:pt idx="104">
                  <c:v>45523</c:v>
                </c:pt>
                <c:pt idx="105">
                  <c:v>45520</c:v>
                </c:pt>
                <c:pt idx="106">
                  <c:v>45519</c:v>
                </c:pt>
                <c:pt idx="107">
                  <c:v>45518</c:v>
                </c:pt>
                <c:pt idx="108">
                  <c:v>45517</c:v>
                </c:pt>
                <c:pt idx="109">
                  <c:v>45516</c:v>
                </c:pt>
                <c:pt idx="110">
                  <c:v>45513</c:v>
                </c:pt>
                <c:pt idx="111">
                  <c:v>45512</c:v>
                </c:pt>
                <c:pt idx="112">
                  <c:v>45511</c:v>
                </c:pt>
                <c:pt idx="113">
                  <c:v>45510</c:v>
                </c:pt>
                <c:pt idx="114">
                  <c:v>45509</c:v>
                </c:pt>
                <c:pt idx="115">
                  <c:v>45506</c:v>
                </c:pt>
                <c:pt idx="116">
                  <c:v>45505</c:v>
                </c:pt>
                <c:pt idx="117">
                  <c:v>45504</c:v>
                </c:pt>
                <c:pt idx="118">
                  <c:v>45503</c:v>
                </c:pt>
                <c:pt idx="119">
                  <c:v>45502</c:v>
                </c:pt>
                <c:pt idx="120">
                  <c:v>45499</c:v>
                </c:pt>
                <c:pt idx="121">
                  <c:v>45498</c:v>
                </c:pt>
                <c:pt idx="122">
                  <c:v>45497</c:v>
                </c:pt>
                <c:pt idx="123">
                  <c:v>45496</c:v>
                </c:pt>
                <c:pt idx="124">
                  <c:v>45495</c:v>
                </c:pt>
                <c:pt idx="125">
                  <c:v>45492</c:v>
                </c:pt>
                <c:pt idx="126">
                  <c:v>45491</c:v>
                </c:pt>
                <c:pt idx="127">
                  <c:v>45490</c:v>
                </c:pt>
                <c:pt idx="128">
                  <c:v>45489</c:v>
                </c:pt>
                <c:pt idx="129">
                  <c:v>45488</c:v>
                </c:pt>
                <c:pt idx="130">
                  <c:v>45485</c:v>
                </c:pt>
                <c:pt idx="131">
                  <c:v>45484</c:v>
                </c:pt>
                <c:pt idx="132">
                  <c:v>45483</c:v>
                </c:pt>
                <c:pt idx="133">
                  <c:v>45482</c:v>
                </c:pt>
                <c:pt idx="134">
                  <c:v>45481</c:v>
                </c:pt>
                <c:pt idx="135">
                  <c:v>45478</c:v>
                </c:pt>
                <c:pt idx="136">
                  <c:v>45477</c:v>
                </c:pt>
                <c:pt idx="137">
                  <c:v>45476</c:v>
                </c:pt>
                <c:pt idx="138">
                  <c:v>45475</c:v>
                </c:pt>
                <c:pt idx="139">
                  <c:v>45474</c:v>
                </c:pt>
                <c:pt idx="140">
                  <c:v>45471</c:v>
                </c:pt>
                <c:pt idx="141">
                  <c:v>45470</c:v>
                </c:pt>
                <c:pt idx="142">
                  <c:v>45469</c:v>
                </c:pt>
                <c:pt idx="143">
                  <c:v>45468</c:v>
                </c:pt>
                <c:pt idx="144">
                  <c:v>45467</c:v>
                </c:pt>
                <c:pt idx="145">
                  <c:v>45464</c:v>
                </c:pt>
                <c:pt idx="146">
                  <c:v>45463</c:v>
                </c:pt>
                <c:pt idx="147">
                  <c:v>45462</c:v>
                </c:pt>
                <c:pt idx="148">
                  <c:v>45461</c:v>
                </c:pt>
                <c:pt idx="149">
                  <c:v>45460</c:v>
                </c:pt>
                <c:pt idx="150">
                  <c:v>45457</c:v>
                </c:pt>
                <c:pt idx="151">
                  <c:v>45456</c:v>
                </c:pt>
                <c:pt idx="152">
                  <c:v>45455</c:v>
                </c:pt>
                <c:pt idx="153">
                  <c:v>45454</c:v>
                </c:pt>
                <c:pt idx="154">
                  <c:v>45453</c:v>
                </c:pt>
                <c:pt idx="155">
                  <c:v>45450</c:v>
                </c:pt>
                <c:pt idx="156">
                  <c:v>45449</c:v>
                </c:pt>
                <c:pt idx="157">
                  <c:v>45448</c:v>
                </c:pt>
                <c:pt idx="158">
                  <c:v>45447</c:v>
                </c:pt>
                <c:pt idx="159">
                  <c:v>45446</c:v>
                </c:pt>
                <c:pt idx="160">
                  <c:v>45443</c:v>
                </c:pt>
                <c:pt idx="161">
                  <c:v>45442</c:v>
                </c:pt>
                <c:pt idx="162">
                  <c:v>45441</c:v>
                </c:pt>
                <c:pt idx="163">
                  <c:v>45440</c:v>
                </c:pt>
                <c:pt idx="164">
                  <c:v>45439</c:v>
                </c:pt>
                <c:pt idx="165">
                  <c:v>45436</c:v>
                </c:pt>
                <c:pt idx="166">
                  <c:v>45435</c:v>
                </c:pt>
                <c:pt idx="167">
                  <c:v>45434</c:v>
                </c:pt>
                <c:pt idx="168">
                  <c:v>45433</c:v>
                </c:pt>
                <c:pt idx="169">
                  <c:v>45432</c:v>
                </c:pt>
                <c:pt idx="170">
                  <c:v>45429</c:v>
                </c:pt>
                <c:pt idx="171">
                  <c:v>45428</c:v>
                </c:pt>
                <c:pt idx="172">
                  <c:v>45427</c:v>
                </c:pt>
                <c:pt idx="173">
                  <c:v>45426</c:v>
                </c:pt>
                <c:pt idx="174">
                  <c:v>45425</c:v>
                </c:pt>
                <c:pt idx="175">
                  <c:v>45422</c:v>
                </c:pt>
                <c:pt idx="176">
                  <c:v>45421</c:v>
                </c:pt>
                <c:pt idx="177">
                  <c:v>45420</c:v>
                </c:pt>
                <c:pt idx="178">
                  <c:v>45419</c:v>
                </c:pt>
                <c:pt idx="179">
                  <c:v>45418</c:v>
                </c:pt>
                <c:pt idx="180">
                  <c:v>45415</c:v>
                </c:pt>
                <c:pt idx="181">
                  <c:v>45414</c:v>
                </c:pt>
                <c:pt idx="182">
                  <c:v>45413</c:v>
                </c:pt>
                <c:pt idx="183">
                  <c:v>45412</c:v>
                </c:pt>
                <c:pt idx="184">
                  <c:v>45411</c:v>
                </c:pt>
                <c:pt idx="185">
                  <c:v>45408</c:v>
                </c:pt>
                <c:pt idx="186">
                  <c:v>45407</c:v>
                </c:pt>
                <c:pt idx="187">
                  <c:v>45406</c:v>
                </c:pt>
                <c:pt idx="188">
                  <c:v>45405</c:v>
                </c:pt>
                <c:pt idx="189">
                  <c:v>45404</c:v>
                </c:pt>
                <c:pt idx="190">
                  <c:v>45401</c:v>
                </c:pt>
                <c:pt idx="191">
                  <c:v>45400</c:v>
                </c:pt>
                <c:pt idx="192">
                  <c:v>45399</c:v>
                </c:pt>
                <c:pt idx="193">
                  <c:v>45398</c:v>
                </c:pt>
                <c:pt idx="194">
                  <c:v>45397</c:v>
                </c:pt>
                <c:pt idx="195">
                  <c:v>45394</c:v>
                </c:pt>
                <c:pt idx="196">
                  <c:v>45393</c:v>
                </c:pt>
                <c:pt idx="197">
                  <c:v>45392</c:v>
                </c:pt>
                <c:pt idx="198">
                  <c:v>45391</c:v>
                </c:pt>
                <c:pt idx="199">
                  <c:v>45390</c:v>
                </c:pt>
                <c:pt idx="200">
                  <c:v>45387</c:v>
                </c:pt>
                <c:pt idx="201">
                  <c:v>45386</c:v>
                </c:pt>
                <c:pt idx="202">
                  <c:v>45385</c:v>
                </c:pt>
                <c:pt idx="203">
                  <c:v>45384</c:v>
                </c:pt>
                <c:pt idx="204">
                  <c:v>45383</c:v>
                </c:pt>
                <c:pt idx="205">
                  <c:v>45379</c:v>
                </c:pt>
                <c:pt idx="206">
                  <c:v>45378</c:v>
                </c:pt>
                <c:pt idx="207">
                  <c:v>45377</c:v>
                </c:pt>
                <c:pt idx="208">
                  <c:v>45376</c:v>
                </c:pt>
                <c:pt idx="209">
                  <c:v>45373</c:v>
                </c:pt>
                <c:pt idx="210">
                  <c:v>45372</c:v>
                </c:pt>
                <c:pt idx="211">
                  <c:v>45371</c:v>
                </c:pt>
                <c:pt idx="212">
                  <c:v>45370</c:v>
                </c:pt>
                <c:pt idx="213">
                  <c:v>45369</c:v>
                </c:pt>
                <c:pt idx="214">
                  <c:v>45366</c:v>
                </c:pt>
                <c:pt idx="215">
                  <c:v>45365</c:v>
                </c:pt>
                <c:pt idx="216">
                  <c:v>45364</c:v>
                </c:pt>
                <c:pt idx="217">
                  <c:v>45363</c:v>
                </c:pt>
                <c:pt idx="218">
                  <c:v>45362</c:v>
                </c:pt>
                <c:pt idx="219">
                  <c:v>45359</c:v>
                </c:pt>
                <c:pt idx="220">
                  <c:v>45358</c:v>
                </c:pt>
                <c:pt idx="221">
                  <c:v>45357</c:v>
                </c:pt>
                <c:pt idx="222">
                  <c:v>45356</c:v>
                </c:pt>
                <c:pt idx="223">
                  <c:v>45355</c:v>
                </c:pt>
                <c:pt idx="224">
                  <c:v>45352</c:v>
                </c:pt>
                <c:pt idx="225">
                  <c:v>45351</c:v>
                </c:pt>
                <c:pt idx="226">
                  <c:v>45350</c:v>
                </c:pt>
                <c:pt idx="227">
                  <c:v>45349</c:v>
                </c:pt>
                <c:pt idx="228">
                  <c:v>45348</c:v>
                </c:pt>
                <c:pt idx="229">
                  <c:v>45345</c:v>
                </c:pt>
                <c:pt idx="230">
                  <c:v>45344</c:v>
                </c:pt>
                <c:pt idx="231">
                  <c:v>45343</c:v>
                </c:pt>
                <c:pt idx="232">
                  <c:v>45342</c:v>
                </c:pt>
                <c:pt idx="233">
                  <c:v>45341</c:v>
                </c:pt>
                <c:pt idx="234">
                  <c:v>45338</c:v>
                </c:pt>
                <c:pt idx="235">
                  <c:v>45337</c:v>
                </c:pt>
                <c:pt idx="236">
                  <c:v>45336</c:v>
                </c:pt>
                <c:pt idx="237">
                  <c:v>45335</c:v>
                </c:pt>
                <c:pt idx="238">
                  <c:v>45334</c:v>
                </c:pt>
                <c:pt idx="239">
                  <c:v>45331</c:v>
                </c:pt>
                <c:pt idx="240">
                  <c:v>45330</c:v>
                </c:pt>
                <c:pt idx="241">
                  <c:v>45329</c:v>
                </c:pt>
                <c:pt idx="242">
                  <c:v>45328</c:v>
                </c:pt>
                <c:pt idx="243">
                  <c:v>45327</c:v>
                </c:pt>
                <c:pt idx="244">
                  <c:v>45324</c:v>
                </c:pt>
                <c:pt idx="245">
                  <c:v>45323</c:v>
                </c:pt>
                <c:pt idx="246">
                  <c:v>45322</c:v>
                </c:pt>
                <c:pt idx="247">
                  <c:v>45321</c:v>
                </c:pt>
                <c:pt idx="248">
                  <c:v>45320</c:v>
                </c:pt>
                <c:pt idx="249">
                  <c:v>45317</c:v>
                </c:pt>
                <c:pt idx="250">
                  <c:v>45316</c:v>
                </c:pt>
                <c:pt idx="251">
                  <c:v>45315</c:v>
                </c:pt>
              </c:numCache>
            </c:numRef>
          </c:cat>
          <c:val>
            <c:numRef>
              <c:f>'Crude Oil Price Chart'!$B$2:$B$253</c:f>
              <c:numCache>
                <c:formatCode>General</c:formatCode>
                <c:ptCount val="252"/>
                <c:pt idx="0">
                  <c:v>76.680000000000007</c:v>
                </c:pt>
                <c:pt idx="1">
                  <c:v>77.3</c:v>
                </c:pt>
                <c:pt idx="2">
                  <c:v>75.75</c:v>
                </c:pt>
                <c:pt idx="3">
                  <c:v>73.239999999999995</c:v>
                </c:pt>
                <c:pt idx="4">
                  <c:v>72.67</c:v>
                </c:pt>
                <c:pt idx="5">
                  <c:v>73.569999999999993</c:v>
                </c:pt>
                <c:pt idx="6">
                  <c:v>72.92</c:v>
                </c:pt>
                <c:pt idx="7">
                  <c:v>73.209999999999994</c:v>
                </c:pt>
                <c:pt idx="8">
                  <c:v>72.5</c:v>
                </c:pt>
                <c:pt idx="9">
                  <c:v>71.25</c:v>
                </c:pt>
                <c:pt idx="10">
                  <c:v>70.53</c:v>
                </c:pt>
                <c:pt idx="11">
                  <c:v>70.180000000000007</c:v>
                </c:pt>
                <c:pt idx="12">
                  <c:v>69.23</c:v>
                </c:pt>
                <c:pt idx="13">
                  <c:v>69.64</c:v>
                </c:pt>
                <c:pt idx="14">
                  <c:v>68.81</c:v>
                </c:pt>
                <c:pt idx="15">
                  <c:v>69.02</c:v>
                </c:pt>
                <c:pt idx="16">
                  <c:v>69.38</c:v>
                </c:pt>
                <c:pt idx="17">
                  <c:v>70.02</c:v>
                </c:pt>
                <c:pt idx="18">
                  <c:v>69.650000000000006</c:v>
                </c:pt>
                <c:pt idx="19">
                  <c:v>70.290000000000006</c:v>
                </c:pt>
                <c:pt idx="20">
                  <c:v>70.819999999999993</c:v>
                </c:pt>
                <c:pt idx="21">
                  <c:v>69.66</c:v>
                </c:pt>
                <c:pt idx="22">
                  <c:v>69.87</c:v>
                </c:pt>
                <c:pt idx="23">
                  <c:v>68.27</c:v>
                </c:pt>
                <c:pt idx="24">
                  <c:v>68.09</c:v>
                </c:pt>
                <c:pt idx="25">
                  <c:v>66.98</c:v>
                </c:pt>
                <c:pt idx="26">
                  <c:v>67.959999999999994</c:v>
                </c:pt>
                <c:pt idx="27">
                  <c:v>68.19</c:v>
                </c:pt>
                <c:pt idx="28">
                  <c:v>69.540000000000006</c:v>
                </c:pt>
                <c:pt idx="29">
                  <c:v>67.84</c:v>
                </c:pt>
                <c:pt idx="30">
                  <c:v>67.72</c:v>
                </c:pt>
                <c:pt idx="31">
                  <c:v>68.349999999999994</c:v>
                </c:pt>
                <c:pt idx="32">
                  <c:v>68.44</c:v>
                </c:pt>
                <c:pt idx="33">
                  <c:v>68.58</c:v>
                </c:pt>
                <c:pt idx="34">
                  <c:v>70.77</c:v>
                </c:pt>
                <c:pt idx="35">
                  <c:v>69.77</c:v>
                </c:pt>
                <c:pt idx="36">
                  <c:v>68.75</c:v>
                </c:pt>
                <c:pt idx="37">
                  <c:v>69.239999999999995</c:v>
                </c:pt>
                <c:pt idx="38">
                  <c:v>69.17</c:v>
                </c:pt>
                <c:pt idx="39">
                  <c:v>66.92</c:v>
                </c:pt>
                <c:pt idx="40">
                  <c:v>68.53</c:v>
                </c:pt>
                <c:pt idx="41">
                  <c:v>68.260000000000005</c:v>
                </c:pt>
                <c:pt idx="42">
                  <c:v>67.97</c:v>
                </c:pt>
                <c:pt idx="43">
                  <c:v>67.92</c:v>
                </c:pt>
                <c:pt idx="44">
                  <c:v>70.11</c:v>
                </c:pt>
                <c:pt idx="45">
                  <c:v>71.959999999999994</c:v>
                </c:pt>
                <c:pt idx="46">
                  <c:v>71.239999999999995</c:v>
                </c:pt>
                <c:pt idx="47">
                  <c:v>71.56</c:v>
                </c:pt>
                <c:pt idx="48">
                  <c:v>71.03</c:v>
                </c:pt>
                <c:pt idx="49">
                  <c:v>69.08</c:v>
                </c:pt>
                <c:pt idx="50">
                  <c:v>68.81</c:v>
                </c:pt>
                <c:pt idx="51">
                  <c:v>68.180000000000007</c:v>
                </c:pt>
                <c:pt idx="52">
                  <c:v>66.81</c:v>
                </c:pt>
                <c:pt idx="53">
                  <c:v>66.98</c:v>
                </c:pt>
                <c:pt idx="54">
                  <c:v>71.349999999999994</c:v>
                </c:pt>
                <c:pt idx="55">
                  <c:v>69.84</c:v>
                </c:pt>
                <c:pt idx="56">
                  <c:v>70.37</c:v>
                </c:pt>
                <c:pt idx="57">
                  <c:v>71.739999999999995</c:v>
                </c:pt>
                <c:pt idx="58">
                  <c:v>70.040000000000006</c:v>
                </c:pt>
                <c:pt idx="59">
                  <c:v>68.69</c:v>
                </c:pt>
                <c:pt idx="60">
                  <c:v>70.09</c:v>
                </c:pt>
                <c:pt idx="61">
                  <c:v>69.819999999999993</c:v>
                </c:pt>
                <c:pt idx="62">
                  <c:v>70.010000000000005</c:v>
                </c:pt>
                <c:pt idx="63">
                  <c:v>73.239999999999995</c:v>
                </c:pt>
                <c:pt idx="64">
                  <c:v>74.849999999999994</c:v>
                </c:pt>
                <c:pt idx="65">
                  <c:v>75.11</c:v>
                </c:pt>
                <c:pt idx="66">
                  <c:v>72.59</c:v>
                </c:pt>
                <c:pt idx="67">
                  <c:v>72.98</c:v>
                </c:pt>
                <c:pt idx="68">
                  <c:v>76.47</c:v>
                </c:pt>
                <c:pt idx="69">
                  <c:v>73.680000000000007</c:v>
                </c:pt>
                <c:pt idx="70">
                  <c:v>73.17</c:v>
                </c:pt>
                <c:pt idx="71">
                  <c:v>69.69</c:v>
                </c:pt>
                <c:pt idx="72">
                  <c:v>69.39</c:v>
                </c:pt>
                <c:pt idx="73">
                  <c:v>67.77</c:v>
                </c:pt>
                <c:pt idx="74">
                  <c:v>67.67</c:v>
                </c:pt>
                <c:pt idx="75">
                  <c:v>67.19</c:v>
                </c:pt>
                <c:pt idx="76">
                  <c:v>69.13</c:v>
                </c:pt>
                <c:pt idx="77">
                  <c:v>70.84</c:v>
                </c:pt>
                <c:pt idx="78">
                  <c:v>69.61</c:v>
                </c:pt>
                <c:pt idx="79">
                  <c:v>71</c:v>
                </c:pt>
                <c:pt idx="80">
                  <c:v>71.16</c:v>
                </c:pt>
                <c:pt idx="81">
                  <c:v>69.88</c:v>
                </c:pt>
                <c:pt idx="82">
                  <c:v>69.959999999999994</c:v>
                </c:pt>
                <c:pt idx="83">
                  <c:v>69.02</c:v>
                </c:pt>
                <c:pt idx="84">
                  <c:v>67.75</c:v>
                </c:pt>
                <c:pt idx="85">
                  <c:v>68.150000000000006</c:v>
                </c:pt>
                <c:pt idx="86">
                  <c:v>66.599999999999994</c:v>
                </c:pt>
                <c:pt idx="87">
                  <c:v>65.14</c:v>
                </c:pt>
                <c:pt idx="88">
                  <c:v>67.91</c:v>
                </c:pt>
                <c:pt idx="89">
                  <c:v>66.98</c:v>
                </c:pt>
                <c:pt idx="90">
                  <c:v>68.5</c:v>
                </c:pt>
                <c:pt idx="91">
                  <c:v>68.52</c:v>
                </c:pt>
                <c:pt idx="92">
                  <c:v>69.59</c:v>
                </c:pt>
                <c:pt idx="93">
                  <c:v>73.78</c:v>
                </c:pt>
                <c:pt idx="94">
                  <c:v>72.98</c:v>
                </c:pt>
                <c:pt idx="95">
                  <c:v>72.650000000000006</c:v>
                </c:pt>
                <c:pt idx="96">
                  <c:v>74.67</c:v>
                </c:pt>
                <c:pt idx="97">
                  <c:v>73.44</c:v>
                </c:pt>
                <c:pt idx="98">
                  <c:v>74.459999999999994</c:v>
                </c:pt>
                <c:pt idx="99">
                  <c:v>76.17</c:v>
                </c:pt>
                <c:pt idx="100">
                  <c:v>73.930000000000007</c:v>
                </c:pt>
                <c:pt idx="101">
                  <c:v>72.28</c:v>
                </c:pt>
                <c:pt idx="102">
                  <c:v>71.3</c:v>
                </c:pt>
                <c:pt idx="103">
                  <c:v>73.17</c:v>
                </c:pt>
                <c:pt idx="104">
                  <c:v>73.66</c:v>
                </c:pt>
                <c:pt idx="105">
                  <c:v>75.540000000000006</c:v>
                </c:pt>
                <c:pt idx="106">
                  <c:v>76.989999999999995</c:v>
                </c:pt>
                <c:pt idx="107">
                  <c:v>75.84</c:v>
                </c:pt>
                <c:pt idx="108">
                  <c:v>76.8</c:v>
                </c:pt>
                <c:pt idx="109">
                  <c:v>78.459999999999994</c:v>
                </c:pt>
                <c:pt idx="110">
                  <c:v>75.61</c:v>
                </c:pt>
                <c:pt idx="111">
                  <c:v>75.040000000000006</c:v>
                </c:pt>
                <c:pt idx="112">
                  <c:v>74.17</c:v>
                </c:pt>
                <c:pt idx="113">
                  <c:v>72.34</c:v>
                </c:pt>
                <c:pt idx="114">
                  <c:v>72.2</c:v>
                </c:pt>
                <c:pt idx="115">
                  <c:v>72.59</c:v>
                </c:pt>
                <c:pt idx="116">
                  <c:v>75.400000000000006</c:v>
                </c:pt>
                <c:pt idx="117">
                  <c:v>76.84</c:v>
                </c:pt>
                <c:pt idx="118">
                  <c:v>73.88</c:v>
                </c:pt>
                <c:pt idx="119">
                  <c:v>74.8</c:v>
                </c:pt>
                <c:pt idx="120">
                  <c:v>76</c:v>
                </c:pt>
                <c:pt idx="121">
                  <c:v>77.11</c:v>
                </c:pt>
                <c:pt idx="122">
                  <c:v>76.58</c:v>
                </c:pt>
                <c:pt idx="123">
                  <c:v>75.92</c:v>
                </c:pt>
                <c:pt idx="124">
                  <c:v>78.400000000000006</c:v>
                </c:pt>
                <c:pt idx="125">
                  <c:v>78.64</c:v>
                </c:pt>
                <c:pt idx="126">
                  <c:v>81.3</c:v>
                </c:pt>
                <c:pt idx="127">
                  <c:v>81.44</c:v>
                </c:pt>
                <c:pt idx="128">
                  <c:v>79.709999999999994</c:v>
                </c:pt>
                <c:pt idx="129">
                  <c:v>80.84</c:v>
                </c:pt>
                <c:pt idx="130">
                  <c:v>81.02</c:v>
                </c:pt>
                <c:pt idx="131">
                  <c:v>81.38</c:v>
                </c:pt>
                <c:pt idx="132">
                  <c:v>81.069999999999993</c:v>
                </c:pt>
                <c:pt idx="133">
                  <c:v>80.56</c:v>
                </c:pt>
                <c:pt idx="134">
                  <c:v>81.52</c:v>
                </c:pt>
                <c:pt idx="135">
                  <c:v>82.26</c:v>
                </c:pt>
                <c:pt idx="136">
                  <c:v>83.94</c:v>
                </c:pt>
                <c:pt idx="137">
                  <c:v>83.02</c:v>
                </c:pt>
                <c:pt idx="138">
                  <c:v>81.91</c:v>
                </c:pt>
                <c:pt idx="139">
                  <c:v>82.32</c:v>
                </c:pt>
                <c:pt idx="140">
                  <c:v>80.64</c:v>
                </c:pt>
                <c:pt idx="141">
                  <c:v>80.83</c:v>
                </c:pt>
                <c:pt idx="142">
                  <c:v>80.19</c:v>
                </c:pt>
                <c:pt idx="143">
                  <c:v>80.069999999999993</c:v>
                </c:pt>
                <c:pt idx="144">
                  <c:v>80.86</c:v>
                </c:pt>
                <c:pt idx="145">
                  <c:v>79.959999999999994</c:v>
                </c:pt>
                <c:pt idx="146">
                  <c:v>81.290000000000006</c:v>
                </c:pt>
                <c:pt idx="147">
                  <c:v>80.59</c:v>
                </c:pt>
                <c:pt idx="148">
                  <c:v>80.709999999999994</c:v>
                </c:pt>
                <c:pt idx="149">
                  <c:v>79.72</c:v>
                </c:pt>
                <c:pt idx="150">
                  <c:v>78.05</c:v>
                </c:pt>
                <c:pt idx="151">
                  <c:v>78.260000000000005</c:v>
                </c:pt>
                <c:pt idx="152">
                  <c:v>78.150000000000006</c:v>
                </c:pt>
                <c:pt idx="153">
                  <c:v>77.55</c:v>
                </c:pt>
                <c:pt idx="154">
                  <c:v>77.33</c:v>
                </c:pt>
                <c:pt idx="155">
                  <c:v>75.22</c:v>
                </c:pt>
                <c:pt idx="156">
                  <c:v>75.239999999999995</c:v>
                </c:pt>
                <c:pt idx="157">
                  <c:v>73.819999999999993</c:v>
                </c:pt>
                <c:pt idx="158">
                  <c:v>73.06</c:v>
                </c:pt>
                <c:pt idx="159">
                  <c:v>74.09</c:v>
                </c:pt>
                <c:pt idx="160">
                  <c:v>76.73</c:v>
                </c:pt>
                <c:pt idx="161">
                  <c:v>77.540000000000006</c:v>
                </c:pt>
                <c:pt idx="162">
                  <c:v>78.8</c:v>
                </c:pt>
                <c:pt idx="163">
                  <c:v>79.349999999999994</c:v>
                </c:pt>
                <c:pt idx="164">
                  <c:v>78.650000000000006</c:v>
                </c:pt>
                <c:pt idx="165">
                  <c:v>77.23</c:v>
                </c:pt>
                <c:pt idx="166">
                  <c:v>76.459999999999994</c:v>
                </c:pt>
                <c:pt idx="167">
                  <c:v>77.150000000000006</c:v>
                </c:pt>
                <c:pt idx="168">
                  <c:v>78.66</c:v>
                </c:pt>
                <c:pt idx="169">
                  <c:v>79.3</c:v>
                </c:pt>
                <c:pt idx="170">
                  <c:v>79.58</c:v>
                </c:pt>
                <c:pt idx="171">
                  <c:v>78.739999999999995</c:v>
                </c:pt>
                <c:pt idx="172">
                  <c:v>78.16</c:v>
                </c:pt>
                <c:pt idx="173">
                  <c:v>77.650000000000006</c:v>
                </c:pt>
                <c:pt idx="174">
                  <c:v>78.599999999999994</c:v>
                </c:pt>
                <c:pt idx="175">
                  <c:v>77.84</c:v>
                </c:pt>
                <c:pt idx="176">
                  <c:v>78.8</c:v>
                </c:pt>
                <c:pt idx="177">
                  <c:v>78.56</c:v>
                </c:pt>
                <c:pt idx="178">
                  <c:v>78.06</c:v>
                </c:pt>
                <c:pt idx="179">
                  <c:v>78.14</c:v>
                </c:pt>
                <c:pt idx="180">
                  <c:v>77.760000000000005</c:v>
                </c:pt>
                <c:pt idx="181">
                  <c:v>78.48</c:v>
                </c:pt>
                <c:pt idx="182">
                  <c:v>78.44</c:v>
                </c:pt>
                <c:pt idx="183">
                  <c:v>81.28</c:v>
                </c:pt>
                <c:pt idx="184">
                  <c:v>82.03</c:v>
                </c:pt>
                <c:pt idx="185">
                  <c:v>83.13</c:v>
                </c:pt>
                <c:pt idx="186">
                  <c:v>82.75</c:v>
                </c:pt>
                <c:pt idx="187">
                  <c:v>82.09</c:v>
                </c:pt>
                <c:pt idx="188">
                  <c:v>82.56</c:v>
                </c:pt>
                <c:pt idx="189">
                  <c:v>81.900000000000006</c:v>
                </c:pt>
                <c:pt idx="190">
                  <c:v>82.22</c:v>
                </c:pt>
                <c:pt idx="191">
                  <c:v>82.1</c:v>
                </c:pt>
                <c:pt idx="192">
                  <c:v>82.15</c:v>
                </c:pt>
                <c:pt idx="193">
                  <c:v>84.83</c:v>
                </c:pt>
                <c:pt idx="194">
                  <c:v>84.86</c:v>
                </c:pt>
                <c:pt idx="195">
                  <c:v>85.08</c:v>
                </c:pt>
                <c:pt idx="196">
                  <c:v>84.45</c:v>
                </c:pt>
                <c:pt idx="197">
                  <c:v>85.44</c:v>
                </c:pt>
                <c:pt idx="198">
                  <c:v>84.46</c:v>
                </c:pt>
                <c:pt idx="199">
                  <c:v>85.53</c:v>
                </c:pt>
                <c:pt idx="200">
                  <c:v>86.1</c:v>
                </c:pt>
                <c:pt idx="201">
                  <c:v>85.81</c:v>
                </c:pt>
                <c:pt idx="202">
                  <c:v>84.61</c:v>
                </c:pt>
                <c:pt idx="203">
                  <c:v>84.22</c:v>
                </c:pt>
                <c:pt idx="204">
                  <c:v>82.82</c:v>
                </c:pt>
                <c:pt idx="205">
                  <c:v>82.42</c:v>
                </c:pt>
                <c:pt idx="206">
                  <c:v>80.78</c:v>
                </c:pt>
                <c:pt idx="207">
                  <c:v>81.040000000000006</c:v>
                </c:pt>
                <c:pt idx="208">
                  <c:v>81.38</c:v>
                </c:pt>
                <c:pt idx="209">
                  <c:v>80.17</c:v>
                </c:pt>
                <c:pt idx="210">
                  <c:v>80.64</c:v>
                </c:pt>
                <c:pt idx="211">
                  <c:v>81.27</c:v>
                </c:pt>
                <c:pt idx="212">
                  <c:v>82.73</c:v>
                </c:pt>
                <c:pt idx="213">
                  <c:v>82.16</c:v>
                </c:pt>
                <c:pt idx="214">
                  <c:v>80.58</c:v>
                </c:pt>
                <c:pt idx="215">
                  <c:v>80.739999999999995</c:v>
                </c:pt>
                <c:pt idx="216">
                  <c:v>79.3</c:v>
                </c:pt>
                <c:pt idx="217">
                  <c:v>77.25</c:v>
                </c:pt>
                <c:pt idx="218">
                  <c:v>77.53</c:v>
                </c:pt>
                <c:pt idx="219">
                  <c:v>77.5</c:v>
                </c:pt>
                <c:pt idx="220">
                  <c:v>78.319999999999993</c:v>
                </c:pt>
                <c:pt idx="221">
                  <c:v>78.41</c:v>
                </c:pt>
                <c:pt idx="222">
                  <c:v>77.41</c:v>
                </c:pt>
                <c:pt idx="223">
                  <c:v>78.17</c:v>
                </c:pt>
                <c:pt idx="224">
                  <c:v>79.09</c:v>
                </c:pt>
                <c:pt idx="225">
                  <c:v>77.45</c:v>
                </c:pt>
                <c:pt idx="226">
                  <c:v>77.83</c:v>
                </c:pt>
                <c:pt idx="227">
                  <c:v>78.23</c:v>
                </c:pt>
                <c:pt idx="228">
                  <c:v>77.09</c:v>
                </c:pt>
                <c:pt idx="229">
                  <c:v>76.08</c:v>
                </c:pt>
                <c:pt idx="230">
                  <c:v>77.930000000000007</c:v>
                </c:pt>
                <c:pt idx="231">
                  <c:v>77.31</c:v>
                </c:pt>
                <c:pt idx="232">
                  <c:v>77.040000000000006</c:v>
                </c:pt>
                <c:pt idx="233">
                  <c:v>78.11</c:v>
                </c:pt>
                <c:pt idx="234">
                  <c:v>78.459999999999994</c:v>
                </c:pt>
                <c:pt idx="235">
                  <c:v>77.59</c:v>
                </c:pt>
                <c:pt idx="236">
                  <c:v>76.36</c:v>
                </c:pt>
                <c:pt idx="237">
                  <c:v>77.56</c:v>
                </c:pt>
                <c:pt idx="238">
                  <c:v>76.819999999999993</c:v>
                </c:pt>
                <c:pt idx="239">
                  <c:v>76.77</c:v>
                </c:pt>
                <c:pt idx="240">
                  <c:v>76.19</c:v>
                </c:pt>
                <c:pt idx="241">
                  <c:v>73.91</c:v>
                </c:pt>
                <c:pt idx="242">
                  <c:v>73.37</c:v>
                </c:pt>
                <c:pt idx="243">
                  <c:v>72.849999999999994</c:v>
                </c:pt>
                <c:pt idx="244">
                  <c:v>72.3</c:v>
                </c:pt>
                <c:pt idx="245">
                  <c:v>73.790000000000006</c:v>
                </c:pt>
                <c:pt idx="246">
                  <c:v>75.709999999999994</c:v>
                </c:pt>
                <c:pt idx="247">
                  <c:v>77.650000000000006</c:v>
                </c:pt>
                <c:pt idx="248">
                  <c:v>76.67</c:v>
                </c:pt>
                <c:pt idx="249">
                  <c:v>77.86</c:v>
                </c:pt>
                <c:pt idx="250">
                  <c:v>77.19</c:v>
                </c:pt>
                <c:pt idx="251">
                  <c:v>74.98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1-4C91-9923-03145C38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637664"/>
        <c:axId val="1781638624"/>
      </c:lineChart>
      <c:dateAx>
        <c:axId val="178163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Trading</a:t>
                </a:r>
                <a:r>
                  <a:rPr lang="en-CA" baseline="0"/>
                  <a:t> Day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43751634232704245"/>
              <c:y val="0.87952940290668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38624"/>
        <c:crosses val="autoZero"/>
        <c:auto val="1"/>
        <c:lblOffset val="100"/>
        <c:baseTimeUnit val="days"/>
      </c:dateAx>
      <c:valAx>
        <c:axId val="178163862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baseline="0"/>
                  <a:t>Price   ($/Barrel)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3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54468</xdr:colOff>
      <xdr:row>0</xdr:row>
      <xdr:rowOff>67544</xdr:rowOff>
    </xdr:from>
    <xdr:to>
      <xdr:col>27</xdr:col>
      <xdr:colOff>383563</xdr:colOff>
      <xdr:row>16</xdr:row>
      <xdr:rowOff>23923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E64C0-E85F-D47F-5C02-ED9F01E0C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13215</xdr:colOff>
      <xdr:row>1</xdr:row>
      <xdr:rowOff>23544</xdr:rowOff>
    </xdr:from>
    <xdr:to>
      <xdr:col>10</xdr:col>
      <xdr:colOff>316584</xdr:colOff>
      <xdr:row>15</xdr:row>
      <xdr:rowOff>144685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0B59A-7951-AB3F-7631-874F56784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7B98-ED77-4483-B337-266C7FDAF8E7}">
  <dimension ref="A1:U2635"/>
  <sheetViews>
    <sheetView tabSelected="1" zoomScale="80" zoomScaleNormal="55" workbookViewId="0">
      <selection activeCell="AC11" sqref="AC11"/>
    </sheetView>
  </sheetViews>
  <sheetFormatPr defaultRowHeight="14.75" x14ac:dyDescent="0.75"/>
  <cols>
    <col min="1" max="1" width="9.953125" bestFit="1" customWidth="1"/>
  </cols>
  <sheetData>
    <row r="1" spans="1:19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2463</v>
      </c>
      <c r="I1" t="s">
        <v>2464</v>
      </c>
      <c r="J1" t="s">
        <v>2465</v>
      </c>
      <c r="L1" t="s">
        <v>2466</v>
      </c>
      <c r="N1" t="s">
        <v>2467</v>
      </c>
      <c r="P1" t="s">
        <v>2468</v>
      </c>
      <c r="R1" s="6" t="s">
        <v>2469</v>
      </c>
      <c r="S1" s="6" t="s">
        <v>2471</v>
      </c>
    </row>
    <row r="2" spans="1:19" x14ac:dyDescent="0.75">
      <c r="A2" s="1">
        <v>45671</v>
      </c>
      <c r="B2">
        <v>76.680000000000007</v>
      </c>
      <c r="C2">
        <v>77.3</v>
      </c>
      <c r="D2">
        <v>77.52</v>
      </c>
      <c r="E2">
        <v>76.23</v>
      </c>
      <c r="F2" t="s">
        <v>7</v>
      </c>
      <c r="G2" s="2">
        <v>-8.0000000000000002E-3</v>
      </c>
      <c r="H2">
        <f>(B2-B3)/B3</f>
        <v>-8.0206985769727089E-3</v>
      </c>
      <c r="I2">
        <f>LN(B2/B3)</f>
        <v>-8.0530374159324368E-3</v>
      </c>
      <c r="J2">
        <f>(252/2633)*LN(B2/B2635)</f>
        <v>4.8388158930190057E-2</v>
      </c>
      <c r="L2">
        <f>LN(B2/B253)</f>
        <v>2.241950686967787E-2</v>
      </c>
      <c r="N2">
        <f>SQRT(252)*_xlfn.STDEV.S(I2:I2634)</f>
        <v>0.48918867904279395</v>
      </c>
      <c r="P2">
        <f>SQRT(252)*_xlfn.STDEV.S(I2:I253)</f>
        <v>0.27419244333144921</v>
      </c>
      <c r="R2" s="3">
        <v>-0.19750000000000001</v>
      </c>
      <c r="S2" s="4">
        <v>4</v>
      </c>
    </row>
    <row r="3" spans="1:19" x14ac:dyDescent="0.75">
      <c r="A3" s="1">
        <v>45670</v>
      </c>
      <c r="B3">
        <v>77.3</v>
      </c>
      <c r="C3">
        <v>75.680000000000007</v>
      </c>
      <c r="D3">
        <v>77.64</v>
      </c>
      <c r="E3">
        <v>75.67</v>
      </c>
      <c r="F3" t="s">
        <v>8</v>
      </c>
      <c r="G3" s="2">
        <v>2.0500000000000001E-2</v>
      </c>
      <c r="H3">
        <f t="shared" ref="H3:H66" si="0">(B3-B4)/B4</f>
        <v>2.0462046204620426E-2</v>
      </c>
      <c r="I3">
        <f t="shared" ref="I3:I66" si="1">LN(B3/B4)</f>
        <v>2.0255511203897628E-2</v>
      </c>
      <c r="R3" s="3">
        <v>-0.1925</v>
      </c>
      <c r="S3" s="4">
        <v>0</v>
      </c>
    </row>
    <row r="4" spans="1:19" x14ac:dyDescent="0.75">
      <c r="A4" s="1">
        <v>45667</v>
      </c>
      <c r="B4">
        <v>75.75</v>
      </c>
      <c r="C4">
        <v>73.569999999999993</v>
      </c>
      <c r="D4">
        <v>76.89</v>
      </c>
      <c r="E4">
        <v>73.33</v>
      </c>
      <c r="F4" t="s">
        <v>9</v>
      </c>
      <c r="G4" s="2">
        <v>3.4299999999999997E-2</v>
      </c>
      <c r="H4">
        <f t="shared" si="0"/>
        <v>3.4270890223921428E-2</v>
      </c>
      <c r="I4">
        <f t="shared" si="1"/>
        <v>3.3696724583168691E-2</v>
      </c>
      <c r="R4" s="3">
        <v>-0.1875</v>
      </c>
      <c r="S4" s="4">
        <v>0</v>
      </c>
    </row>
    <row r="5" spans="1:19" x14ac:dyDescent="0.75">
      <c r="A5" s="1">
        <v>45666</v>
      </c>
      <c r="B5">
        <v>73.239999999999995</v>
      </c>
      <c r="C5">
        <v>72.66</v>
      </c>
      <c r="D5">
        <v>73.61</v>
      </c>
      <c r="E5">
        <v>72.2</v>
      </c>
      <c r="F5" t="s">
        <v>10</v>
      </c>
      <c r="G5" s="2">
        <v>7.7999999999999996E-3</v>
      </c>
      <c r="H5">
        <f t="shared" si="0"/>
        <v>7.8436768955551552E-3</v>
      </c>
      <c r="I5">
        <f t="shared" si="1"/>
        <v>7.8130751777653919E-3</v>
      </c>
      <c r="R5" s="3">
        <v>-0.1825</v>
      </c>
      <c r="S5" s="4">
        <v>0</v>
      </c>
    </row>
    <row r="6" spans="1:19" x14ac:dyDescent="0.75">
      <c r="A6" s="1">
        <v>45665</v>
      </c>
      <c r="B6">
        <v>72.67</v>
      </c>
      <c r="C6">
        <v>73.81</v>
      </c>
      <c r="D6">
        <v>74.44</v>
      </c>
      <c r="E6">
        <v>72.510000000000005</v>
      </c>
      <c r="F6" t="s">
        <v>11</v>
      </c>
      <c r="G6" s="2">
        <v>-1.2200000000000001E-2</v>
      </c>
      <c r="H6">
        <f t="shared" si="0"/>
        <v>-1.2233247247519254E-2</v>
      </c>
      <c r="I6">
        <f t="shared" si="1"/>
        <v>-1.230868931562845E-2</v>
      </c>
      <c r="R6" s="3">
        <v>-0.17749999999999999</v>
      </c>
      <c r="S6" s="4">
        <v>0</v>
      </c>
    </row>
    <row r="7" spans="1:19" x14ac:dyDescent="0.75">
      <c r="A7" s="1">
        <v>45664</v>
      </c>
      <c r="B7">
        <v>73.569999999999993</v>
      </c>
      <c r="C7">
        <v>72.81</v>
      </c>
      <c r="D7">
        <v>73.819999999999993</v>
      </c>
      <c r="E7">
        <v>72.510000000000005</v>
      </c>
      <c r="F7" t="s">
        <v>12</v>
      </c>
      <c r="G7" s="2">
        <v>8.8999999999999999E-3</v>
      </c>
      <c r="H7">
        <f t="shared" si="0"/>
        <v>8.9138782227097015E-3</v>
      </c>
      <c r="I7">
        <f t="shared" si="1"/>
        <v>8.8743841337105712E-3</v>
      </c>
      <c r="R7" s="3">
        <v>-0.17249999999999999</v>
      </c>
      <c r="S7" s="4">
        <v>0</v>
      </c>
    </row>
    <row r="8" spans="1:19" x14ac:dyDescent="0.75">
      <c r="A8" s="1">
        <v>45663</v>
      </c>
      <c r="B8">
        <v>72.92</v>
      </c>
      <c r="C8">
        <v>73.31</v>
      </c>
      <c r="D8">
        <v>74.180000000000007</v>
      </c>
      <c r="E8">
        <v>72.540000000000006</v>
      </c>
      <c r="F8" t="s">
        <v>13</v>
      </c>
      <c r="G8" s="2">
        <v>-4.0000000000000001E-3</v>
      </c>
      <c r="H8">
        <f t="shared" si="0"/>
        <v>-3.9612074853161055E-3</v>
      </c>
      <c r="I8">
        <f t="shared" si="1"/>
        <v>-3.9690738480889498E-3</v>
      </c>
      <c r="R8" s="3">
        <v>-0.16749999999999998</v>
      </c>
      <c r="S8" s="4">
        <v>0</v>
      </c>
    </row>
    <row r="9" spans="1:19" x14ac:dyDescent="0.75">
      <c r="A9" s="1">
        <v>45660</v>
      </c>
      <c r="B9">
        <v>73.209999999999994</v>
      </c>
      <c r="C9">
        <v>72.459999999999994</v>
      </c>
      <c r="D9">
        <v>73.5</v>
      </c>
      <c r="E9">
        <v>72.099999999999994</v>
      </c>
      <c r="F9" t="s">
        <v>14</v>
      </c>
      <c r="G9" s="2">
        <v>9.7999999999999997E-3</v>
      </c>
      <c r="H9">
        <f t="shared" si="0"/>
        <v>9.7931034482757751E-3</v>
      </c>
      <c r="I9">
        <f t="shared" si="1"/>
        <v>9.7454617979222408E-3</v>
      </c>
      <c r="R9" s="3">
        <v>-0.16249999999999998</v>
      </c>
      <c r="S9" s="4">
        <v>0</v>
      </c>
    </row>
    <row r="10" spans="1:19" x14ac:dyDescent="0.75">
      <c r="A10" s="1">
        <v>45659</v>
      </c>
      <c r="B10">
        <v>72.5</v>
      </c>
      <c r="C10">
        <v>71.45</v>
      </c>
      <c r="D10">
        <v>73.12</v>
      </c>
      <c r="E10">
        <v>71.31</v>
      </c>
      <c r="F10" t="s">
        <v>15</v>
      </c>
      <c r="G10" s="2">
        <v>1.7500000000000002E-2</v>
      </c>
      <c r="H10">
        <f t="shared" si="0"/>
        <v>1.7543859649122806E-2</v>
      </c>
      <c r="I10">
        <f t="shared" si="1"/>
        <v>1.7391742711869239E-2</v>
      </c>
      <c r="R10" s="3">
        <v>-0.15749999999999997</v>
      </c>
      <c r="S10" s="4">
        <v>1</v>
      </c>
    </row>
    <row r="11" spans="1:19" x14ac:dyDescent="0.75">
      <c r="A11" s="1">
        <v>45657</v>
      </c>
      <c r="B11">
        <v>71.25</v>
      </c>
      <c r="C11">
        <v>70.69</v>
      </c>
      <c r="D11">
        <v>71.52</v>
      </c>
      <c r="E11">
        <v>70.430000000000007</v>
      </c>
      <c r="F11" t="s">
        <v>16</v>
      </c>
      <c r="G11" s="2">
        <v>1.0200000000000001E-2</v>
      </c>
      <c r="H11">
        <f>(B11-B12)/B12</f>
        <v>1.0208421948107171E-2</v>
      </c>
      <c r="I11">
        <f>LN(B11/B12)</f>
        <v>1.0156667928672002E-2</v>
      </c>
      <c r="R11" s="3">
        <v>-0.15249999999999997</v>
      </c>
      <c r="S11" s="4">
        <v>0</v>
      </c>
    </row>
    <row r="12" spans="1:19" x14ac:dyDescent="0.75">
      <c r="A12" s="1">
        <v>45656</v>
      </c>
      <c r="B12">
        <v>70.53</v>
      </c>
      <c r="C12">
        <v>70</v>
      </c>
      <c r="D12">
        <v>71.05</v>
      </c>
      <c r="E12">
        <v>69.75</v>
      </c>
      <c r="F12" t="s">
        <v>17</v>
      </c>
      <c r="G12" s="2">
        <v>5.0000000000000001E-3</v>
      </c>
      <c r="H12">
        <f t="shared" si="0"/>
        <v>4.9871758335707367E-3</v>
      </c>
      <c r="I12">
        <f t="shared" si="1"/>
        <v>4.9747810650186278E-3</v>
      </c>
      <c r="R12" s="3">
        <v>-0.14749999999999996</v>
      </c>
      <c r="S12" s="4">
        <v>0</v>
      </c>
    </row>
    <row r="13" spans="1:19" x14ac:dyDescent="0.75">
      <c r="A13" s="1">
        <v>45653</v>
      </c>
      <c r="B13">
        <v>70.180000000000007</v>
      </c>
      <c r="C13">
        <v>69.27</v>
      </c>
      <c r="D13">
        <v>70.319999999999993</v>
      </c>
      <c r="E13">
        <v>69.06</v>
      </c>
      <c r="F13" t="s">
        <v>18</v>
      </c>
      <c r="G13" s="2">
        <v>1.37E-2</v>
      </c>
      <c r="H13">
        <f t="shared" si="0"/>
        <v>1.3722374693052186E-2</v>
      </c>
      <c r="I13">
        <f t="shared" si="1"/>
        <v>1.3629075465135013E-2</v>
      </c>
      <c r="R13" s="3">
        <v>-0.14249999999999996</v>
      </c>
      <c r="S13" s="4">
        <v>0</v>
      </c>
    </row>
    <row r="14" spans="1:19" x14ac:dyDescent="0.75">
      <c r="A14" s="1">
        <v>45652</v>
      </c>
      <c r="B14">
        <v>69.23</v>
      </c>
      <c r="C14">
        <v>69.72</v>
      </c>
      <c r="D14">
        <v>70.25</v>
      </c>
      <c r="E14">
        <v>68.94</v>
      </c>
      <c r="F14" t="s">
        <v>19</v>
      </c>
      <c r="G14" s="2">
        <v>-5.8999999999999999E-3</v>
      </c>
      <c r="H14">
        <f t="shared" si="0"/>
        <v>-5.8874210224008697E-3</v>
      </c>
      <c r="I14">
        <f t="shared" si="1"/>
        <v>-5.9048202100542404E-3</v>
      </c>
      <c r="R14" s="3">
        <v>-0.13749999999999996</v>
      </c>
      <c r="S14" s="4">
        <v>0</v>
      </c>
    </row>
    <row r="15" spans="1:19" x14ac:dyDescent="0.75">
      <c r="A15" s="1">
        <v>45650</v>
      </c>
      <c r="B15">
        <v>69.64</v>
      </c>
      <c r="C15">
        <v>69.040000000000006</v>
      </c>
      <c r="D15">
        <v>69.94</v>
      </c>
      <c r="E15">
        <v>68.95</v>
      </c>
      <c r="F15" t="s">
        <v>20</v>
      </c>
      <c r="G15" s="2">
        <v>1.21E-2</v>
      </c>
      <c r="H15">
        <f t="shared" si="0"/>
        <v>1.206220026158986E-2</v>
      </c>
      <c r="I15">
        <f t="shared" si="1"/>
        <v>1.1990031685599693E-2</v>
      </c>
      <c r="R15" s="3">
        <v>-0.13249999999999995</v>
      </c>
      <c r="S15" s="4">
        <v>2</v>
      </c>
    </row>
    <row r="16" spans="1:19" x14ac:dyDescent="0.75">
      <c r="A16" s="1">
        <v>45649</v>
      </c>
      <c r="B16">
        <v>68.81</v>
      </c>
      <c r="C16">
        <v>68.97</v>
      </c>
      <c r="D16">
        <v>69.5</v>
      </c>
      <c r="E16">
        <v>68.22</v>
      </c>
      <c r="F16" t="s">
        <v>21</v>
      </c>
      <c r="G16" s="2">
        <v>-3.0000000000000001E-3</v>
      </c>
      <c r="H16">
        <f t="shared" si="0"/>
        <v>-3.0425963488842911E-3</v>
      </c>
      <c r="I16">
        <f t="shared" si="1"/>
        <v>-3.0472344554687463E-3</v>
      </c>
      <c r="R16" s="3">
        <v>-0.12749999999999995</v>
      </c>
      <c r="S16" s="4">
        <v>2</v>
      </c>
    </row>
    <row r="17" spans="1:21" x14ac:dyDescent="0.75">
      <c r="A17" s="1">
        <v>45646</v>
      </c>
      <c r="B17">
        <v>69.02</v>
      </c>
      <c r="C17">
        <v>68.83</v>
      </c>
      <c r="D17">
        <v>69.38</v>
      </c>
      <c r="E17">
        <v>68.05</v>
      </c>
      <c r="F17" t="s">
        <v>22</v>
      </c>
      <c r="G17" s="2">
        <v>-5.1999999999999998E-3</v>
      </c>
      <c r="H17">
        <f t="shared" si="0"/>
        <v>-5.1888152205246387E-3</v>
      </c>
      <c r="I17">
        <f t="shared" si="1"/>
        <v>-5.202323871746262E-3</v>
      </c>
      <c r="R17" s="3">
        <v>-0.12249999999999994</v>
      </c>
      <c r="S17" s="4">
        <v>0</v>
      </c>
    </row>
    <row r="18" spans="1:21" x14ac:dyDescent="0.75">
      <c r="A18" s="1">
        <v>45645</v>
      </c>
      <c r="B18">
        <v>69.38</v>
      </c>
      <c r="C18">
        <v>69.599999999999994</v>
      </c>
      <c r="D18">
        <v>70.58</v>
      </c>
      <c r="E18">
        <v>69.099999999999994</v>
      </c>
      <c r="F18" t="s">
        <v>23</v>
      </c>
      <c r="G18" s="2">
        <v>-9.1000000000000004E-3</v>
      </c>
      <c r="H18">
        <f t="shared" si="0"/>
        <v>-9.1402456441016938E-3</v>
      </c>
      <c r="I18">
        <f t="shared" si="1"/>
        <v>-9.182273984915933E-3</v>
      </c>
      <c r="R18" s="3">
        <v>-0.11749999999999994</v>
      </c>
      <c r="S18" s="4">
        <v>0</v>
      </c>
      <c r="U18" t="s">
        <v>2472</v>
      </c>
    </row>
    <row r="19" spans="1:21" x14ac:dyDescent="0.75">
      <c r="A19" s="1">
        <v>45644</v>
      </c>
      <c r="B19">
        <v>70.02</v>
      </c>
      <c r="C19">
        <v>69.819999999999993</v>
      </c>
      <c r="D19">
        <v>70.8</v>
      </c>
      <c r="E19">
        <v>69.39</v>
      </c>
      <c r="F19" t="s">
        <v>24</v>
      </c>
      <c r="G19" s="2">
        <v>5.3E-3</v>
      </c>
      <c r="H19">
        <f t="shared" si="0"/>
        <v>5.3122756640343188E-3</v>
      </c>
      <c r="I19">
        <f t="shared" si="1"/>
        <v>5.2982153007047027E-3</v>
      </c>
      <c r="R19" s="3">
        <v>-0.11249999999999993</v>
      </c>
      <c r="S19" s="4">
        <v>0</v>
      </c>
      <c r="U19" t="s">
        <v>2473</v>
      </c>
    </row>
    <row r="20" spans="1:21" x14ac:dyDescent="0.75">
      <c r="A20" s="1">
        <v>45643</v>
      </c>
      <c r="B20">
        <v>69.650000000000006</v>
      </c>
      <c r="C20">
        <v>70.23</v>
      </c>
      <c r="D20">
        <v>70.540000000000006</v>
      </c>
      <c r="E20">
        <v>68.81</v>
      </c>
      <c r="F20" t="s">
        <v>25</v>
      </c>
      <c r="G20" s="2">
        <v>-9.1000000000000004E-3</v>
      </c>
      <c r="H20">
        <f t="shared" si="0"/>
        <v>-9.1051358656992539E-3</v>
      </c>
      <c r="I20">
        <f t="shared" si="1"/>
        <v>-9.146840961999303E-3</v>
      </c>
      <c r="R20" s="3">
        <v>-0.10749999999999993</v>
      </c>
      <c r="S20" s="4">
        <v>0</v>
      </c>
    </row>
    <row r="21" spans="1:21" x14ac:dyDescent="0.75">
      <c r="A21" s="1">
        <v>45642</v>
      </c>
      <c r="B21">
        <v>70.290000000000006</v>
      </c>
      <c r="C21">
        <v>71</v>
      </c>
      <c r="D21">
        <v>71</v>
      </c>
      <c r="E21">
        <v>69.98</v>
      </c>
      <c r="F21" t="s">
        <v>26</v>
      </c>
      <c r="G21" s="2">
        <v>-7.4999999999999997E-3</v>
      </c>
      <c r="H21">
        <f t="shared" si="0"/>
        <v>-7.4837616492514402E-3</v>
      </c>
      <c r="I21">
        <f t="shared" si="1"/>
        <v>-7.5119054959435329E-3</v>
      </c>
      <c r="R21" s="3">
        <v>-0.10249999999999992</v>
      </c>
      <c r="S21" s="4">
        <v>1</v>
      </c>
    </row>
    <row r="22" spans="1:21" x14ac:dyDescent="0.75">
      <c r="A22" s="1">
        <v>45639</v>
      </c>
      <c r="B22">
        <v>70.819999999999993</v>
      </c>
      <c r="C22">
        <v>69.64</v>
      </c>
      <c r="D22">
        <v>70.94</v>
      </c>
      <c r="E22">
        <v>69.510000000000005</v>
      </c>
      <c r="F22" t="s">
        <v>27</v>
      </c>
      <c r="G22" s="2">
        <v>1.67E-2</v>
      </c>
      <c r="H22">
        <f t="shared" si="0"/>
        <v>1.6652311225954588E-2</v>
      </c>
      <c r="I22">
        <f t="shared" si="1"/>
        <v>1.651518174590258E-2</v>
      </c>
      <c r="R22" s="3">
        <v>-9.749999999999992E-2</v>
      </c>
      <c r="S22" s="4">
        <v>1</v>
      </c>
    </row>
    <row r="23" spans="1:21" x14ac:dyDescent="0.75">
      <c r="A23" s="1">
        <v>45638</v>
      </c>
      <c r="B23">
        <v>69.66</v>
      </c>
      <c r="C23">
        <v>69.97</v>
      </c>
      <c r="D23">
        <v>70.27</v>
      </c>
      <c r="E23">
        <v>68.739999999999995</v>
      </c>
      <c r="F23" t="s">
        <v>28</v>
      </c>
      <c r="G23" s="2">
        <v>-3.0000000000000001E-3</v>
      </c>
      <c r="H23">
        <f t="shared" si="0"/>
        <v>-3.0055817947618139E-3</v>
      </c>
      <c r="I23">
        <f t="shared" si="1"/>
        <v>-3.0101076265043355E-3</v>
      </c>
      <c r="R23" s="3">
        <v>-9.2499999999999916E-2</v>
      </c>
      <c r="S23" s="4">
        <v>0</v>
      </c>
    </row>
    <row r="24" spans="1:21" x14ac:dyDescent="0.75">
      <c r="A24" s="1">
        <v>45637</v>
      </c>
      <c r="B24">
        <v>69.87</v>
      </c>
      <c r="C24">
        <v>68.150000000000006</v>
      </c>
      <c r="D24">
        <v>70.08</v>
      </c>
      <c r="E24">
        <v>68.12</v>
      </c>
      <c r="F24" t="s">
        <v>29</v>
      </c>
      <c r="G24" s="2">
        <v>2.3400000000000001E-2</v>
      </c>
      <c r="H24">
        <f t="shared" si="0"/>
        <v>2.3436355646697066E-2</v>
      </c>
      <c r="I24">
        <f t="shared" si="1"/>
        <v>2.3165941134170438E-2</v>
      </c>
      <c r="R24" s="3">
        <v>-8.7499999999999911E-2</v>
      </c>
      <c r="S24" s="4">
        <v>1</v>
      </c>
    </row>
    <row r="25" spans="1:21" x14ac:dyDescent="0.75">
      <c r="A25" s="1">
        <v>45636</v>
      </c>
      <c r="B25">
        <v>68.27</v>
      </c>
      <c r="C25">
        <v>67.86</v>
      </c>
      <c r="D25">
        <v>68.72</v>
      </c>
      <c r="E25">
        <v>67.45</v>
      </c>
      <c r="F25" t="s">
        <v>30</v>
      </c>
      <c r="G25" s="2">
        <v>2.5999999999999999E-3</v>
      </c>
      <c r="H25">
        <f t="shared" si="0"/>
        <v>2.6435599941253135E-3</v>
      </c>
      <c r="I25">
        <f t="shared" si="1"/>
        <v>2.6400719353134807E-3</v>
      </c>
      <c r="R25" s="3">
        <v>-8.2499999999999907E-2</v>
      </c>
      <c r="S25" s="4">
        <v>1</v>
      </c>
    </row>
    <row r="26" spans="1:21" x14ac:dyDescent="0.75">
      <c r="A26" s="1">
        <v>45635</v>
      </c>
      <c r="B26">
        <v>68.09</v>
      </c>
      <c r="C26">
        <v>66.930000000000007</v>
      </c>
      <c r="D26">
        <v>68.59</v>
      </c>
      <c r="E26">
        <v>66.849999999999994</v>
      </c>
      <c r="F26" t="s">
        <v>31</v>
      </c>
      <c r="G26" s="2">
        <v>1.66E-2</v>
      </c>
      <c r="H26">
        <f t="shared" si="0"/>
        <v>1.6572111077933702E-2</v>
      </c>
      <c r="I26">
        <f t="shared" si="1"/>
        <v>1.643629212881681E-2</v>
      </c>
      <c r="R26" s="3">
        <v>-7.7499999999999902E-2</v>
      </c>
      <c r="S26" s="4">
        <v>3</v>
      </c>
    </row>
    <row r="27" spans="1:21" x14ac:dyDescent="0.75">
      <c r="A27" s="1">
        <v>45632</v>
      </c>
      <c r="B27">
        <v>66.98</v>
      </c>
      <c r="C27">
        <v>68.08</v>
      </c>
      <c r="D27">
        <v>68.13</v>
      </c>
      <c r="E27">
        <v>66.709999999999994</v>
      </c>
      <c r="F27" t="s">
        <v>32</v>
      </c>
      <c r="G27" s="2">
        <v>-1.44E-2</v>
      </c>
      <c r="H27">
        <f t="shared" si="0"/>
        <v>-1.4420247204237638E-2</v>
      </c>
      <c r="I27">
        <f t="shared" si="1"/>
        <v>-1.4525229437672581E-2</v>
      </c>
      <c r="R27" s="3">
        <v>-7.2499999999999898E-2</v>
      </c>
      <c r="S27" s="4">
        <v>4</v>
      </c>
    </row>
    <row r="28" spans="1:21" x14ac:dyDescent="0.75">
      <c r="A28" s="1">
        <v>45631</v>
      </c>
      <c r="B28">
        <v>67.959999999999994</v>
      </c>
      <c r="C28">
        <v>68.38</v>
      </c>
      <c r="D28">
        <v>68.77</v>
      </c>
      <c r="E28">
        <v>67.66</v>
      </c>
      <c r="F28" t="s">
        <v>33</v>
      </c>
      <c r="G28" s="2">
        <v>-3.3999999999999998E-3</v>
      </c>
      <c r="H28">
        <f t="shared" si="0"/>
        <v>-3.3729285819035634E-3</v>
      </c>
      <c r="I28">
        <f t="shared" si="1"/>
        <v>-3.3786297288302719E-3</v>
      </c>
      <c r="R28" s="3">
        <v>-6.7499999999999893E-2</v>
      </c>
      <c r="S28" s="4">
        <v>5</v>
      </c>
    </row>
    <row r="29" spans="1:21" x14ac:dyDescent="0.75">
      <c r="A29" s="1">
        <v>45630</v>
      </c>
      <c r="B29">
        <v>68.19</v>
      </c>
      <c r="C29">
        <v>69.58</v>
      </c>
      <c r="D29">
        <v>70.11</v>
      </c>
      <c r="E29">
        <v>68.14</v>
      </c>
      <c r="F29" t="s">
        <v>34</v>
      </c>
      <c r="G29" s="2">
        <v>-1.9400000000000001E-2</v>
      </c>
      <c r="H29">
        <f t="shared" si="0"/>
        <v>-1.9413287316652407E-2</v>
      </c>
      <c r="I29">
        <f t="shared" si="1"/>
        <v>-1.9604200047153901E-2</v>
      </c>
      <c r="R29" s="3">
        <v>-6.2499999999999896E-2</v>
      </c>
      <c r="S29" s="4">
        <v>8</v>
      </c>
    </row>
    <row r="30" spans="1:21" x14ac:dyDescent="0.75">
      <c r="A30" s="1">
        <v>45629</v>
      </c>
      <c r="B30">
        <v>69.540000000000006</v>
      </c>
      <c r="C30">
        <v>67.89</v>
      </c>
      <c r="D30">
        <v>69.83</v>
      </c>
      <c r="E30">
        <v>67.650000000000006</v>
      </c>
      <c r="F30" t="s">
        <v>35</v>
      </c>
      <c r="G30" s="2">
        <v>2.5100000000000001E-2</v>
      </c>
      <c r="H30">
        <f t="shared" si="0"/>
        <v>2.5058962264150983E-2</v>
      </c>
      <c r="I30">
        <f t="shared" si="1"/>
        <v>2.4750135096067816E-2</v>
      </c>
      <c r="R30" s="3">
        <v>-5.7499999999999898E-2</v>
      </c>
      <c r="S30" s="4">
        <v>14</v>
      </c>
    </row>
    <row r="31" spans="1:21" x14ac:dyDescent="0.75">
      <c r="A31" s="1">
        <v>45628</v>
      </c>
      <c r="B31">
        <v>67.84</v>
      </c>
      <c r="C31">
        <v>67.77</v>
      </c>
      <c r="D31">
        <v>68.83</v>
      </c>
      <c r="E31">
        <v>67.44</v>
      </c>
      <c r="F31" t="s">
        <v>36</v>
      </c>
      <c r="G31" s="2">
        <v>1.8E-3</v>
      </c>
      <c r="H31">
        <f t="shared" si="0"/>
        <v>1.7720023626698841E-3</v>
      </c>
      <c r="I31">
        <f t="shared" si="1"/>
        <v>1.7704342187131929E-3</v>
      </c>
      <c r="R31" s="3">
        <v>-5.2499999999999901E-2</v>
      </c>
      <c r="S31" s="4">
        <v>21</v>
      </c>
    </row>
    <row r="32" spans="1:21" x14ac:dyDescent="0.75">
      <c r="A32" s="1">
        <v>45625</v>
      </c>
      <c r="B32">
        <v>67.72</v>
      </c>
      <c r="C32">
        <v>68.39</v>
      </c>
      <c r="D32">
        <v>69.319999999999993</v>
      </c>
      <c r="E32">
        <v>67.599999999999994</v>
      </c>
      <c r="F32" t="s">
        <v>37</v>
      </c>
      <c r="G32" s="2">
        <v>-9.1999999999999998E-3</v>
      </c>
      <c r="H32">
        <f t="shared" si="0"/>
        <v>-9.2172640819311712E-3</v>
      </c>
      <c r="I32">
        <f t="shared" si="1"/>
        <v>-9.2600059050238943E-3</v>
      </c>
      <c r="R32" s="3">
        <v>-4.7499999999999903E-2</v>
      </c>
      <c r="S32" s="4">
        <v>23</v>
      </c>
    </row>
    <row r="33" spans="1:19" x14ac:dyDescent="0.75">
      <c r="A33" s="1">
        <v>45623</v>
      </c>
      <c r="B33">
        <v>68.349999999999994</v>
      </c>
      <c r="C33">
        <v>68.569999999999993</v>
      </c>
      <c r="D33">
        <v>69.010000000000005</v>
      </c>
      <c r="E33">
        <v>67.81</v>
      </c>
      <c r="F33" t="s">
        <v>38</v>
      </c>
      <c r="G33" s="2">
        <v>-1.2999999999999999E-3</v>
      </c>
      <c r="H33">
        <f t="shared" si="0"/>
        <v>-1.315020455873808E-3</v>
      </c>
      <c r="I33">
        <f t="shared" si="1"/>
        <v>-1.3158858540342423E-3</v>
      </c>
      <c r="R33" s="3">
        <v>-4.2499999999999906E-2</v>
      </c>
      <c r="S33" s="4">
        <v>27</v>
      </c>
    </row>
    <row r="34" spans="1:19" x14ac:dyDescent="0.75">
      <c r="A34" s="1">
        <v>45622</v>
      </c>
      <c r="B34">
        <v>68.44</v>
      </c>
      <c r="C34">
        <v>68.7</v>
      </c>
      <c r="D34">
        <v>69.91</v>
      </c>
      <c r="E34">
        <v>67.73</v>
      </c>
      <c r="F34" t="s">
        <v>39</v>
      </c>
      <c r="G34" s="2">
        <v>-2E-3</v>
      </c>
      <c r="H34">
        <f t="shared" si="0"/>
        <v>-2.0414114902303961E-3</v>
      </c>
      <c r="I34">
        <f t="shared" si="1"/>
        <v>-2.0434980107815769E-3</v>
      </c>
      <c r="R34" s="3">
        <v>-3.7499999999999908E-2</v>
      </c>
      <c r="S34" s="4">
        <v>38</v>
      </c>
    </row>
    <row r="35" spans="1:19" x14ac:dyDescent="0.75">
      <c r="A35" s="1">
        <v>45621</v>
      </c>
      <c r="B35">
        <v>68.58</v>
      </c>
      <c r="C35">
        <v>70.959999999999994</v>
      </c>
      <c r="D35">
        <v>70.959999999999994</v>
      </c>
      <c r="E35">
        <v>68.36</v>
      </c>
      <c r="F35" t="s">
        <v>40</v>
      </c>
      <c r="G35" s="2">
        <v>-3.09E-2</v>
      </c>
      <c r="H35">
        <f t="shared" si="0"/>
        <v>-3.0945315811784623E-2</v>
      </c>
      <c r="I35">
        <f t="shared" si="1"/>
        <v>-3.1434235052919021E-2</v>
      </c>
      <c r="R35" s="3">
        <v>-3.2499999999999911E-2</v>
      </c>
      <c r="S35" s="4">
        <v>48</v>
      </c>
    </row>
    <row r="36" spans="1:19" x14ac:dyDescent="0.75">
      <c r="A36" s="1">
        <v>45618</v>
      </c>
      <c r="B36">
        <v>70.77</v>
      </c>
      <c r="C36">
        <v>69.849999999999994</v>
      </c>
      <c r="D36">
        <v>71.02</v>
      </c>
      <c r="E36">
        <v>68.959999999999994</v>
      </c>
      <c r="F36" t="s">
        <v>41</v>
      </c>
      <c r="G36" s="2">
        <v>1.43E-2</v>
      </c>
      <c r="H36">
        <f t="shared" si="0"/>
        <v>1.4332807797047443E-2</v>
      </c>
      <c r="I36">
        <f t="shared" si="1"/>
        <v>1.4231064136548201E-2</v>
      </c>
      <c r="R36" s="3">
        <v>-2.749999999999991E-2</v>
      </c>
      <c r="S36" s="4">
        <v>81</v>
      </c>
    </row>
    <row r="37" spans="1:19" x14ac:dyDescent="0.75">
      <c r="A37" s="1">
        <v>45617</v>
      </c>
      <c r="B37">
        <v>69.77</v>
      </c>
      <c r="C37">
        <v>68.83</v>
      </c>
      <c r="D37">
        <v>70.09</v>
      </c>
      <c r="E37">
        <v>68.62</v>
      </c>
      <c r="F37" t="s">
        <v>42</v>
      </c>
      <c r="G37" s="2">
        <v>1.4800000000000001E-2</v>
      </c>
      <c r="H37">
        <f t="shared" si="0"/>
        <v>1.4836363636363578E-2</v>
      </c>
      <c r="I37">
        <f t="shared" si="1"/>
        <v>1.4727381404464423E-2</v>
      </c>
      <c r="R37" s="3">
        <v>-2.2499999999999909E-2</v>
      </c>
      <c r="S37" s="4">
        <v>99</v>
      </c>
    </row>
    <row r="38" spans="1:19" x14ac:dyDescent="0.75">
      <c r="A38" s="1">
        <v>45616</v>
      </c>
      <c r="B38">
        <v>68.75</v>
      </c>
      <c r="C38">
        <v>69.28</v>
      </c>
      <c r="D38">
        <v>69.959999999999994</v>
      </c>
      <c r="E38">
        <v>68.64</v>
      </c>
      <c r="F38" t="s">
        <v>43</v>
      </c>
      <c r="G38" s="2">
        <v>-7.1000000000000004E-3</v>
      </c>
      <c r="H38">
        <f t="shared" si="0"/>
        <v>-7.0768341998843865E-3</v>
      </c>
      <c r="I38">
        <f t="shared" si="1"/>
        <v>-7.1019937613277318E-3</v>
      </c>
      <c r="R38" s="3">
        <v>-1.7499999999999908E-2</v>
      </c>
      <c r="S38" s="4">
        <v>105</v>
      </c>
    </row>
    <row r="39" spans="1:19" x14ac:dyDescent="0.75">
      <c r="A39" s="1">
        <v>45615</v>
      </c>
      <c r="B39">
        <v>69.239999999999995</v>
      </c>
      <c r="C39">
        <v>69.08</v>
      </c>
      <c r="D39">
        <v>69.739999999999995</v>
      </c>
      <c r="E39">
        <v>68.48</v>
      </c>
      <c r="F39" t="s">
        <v>44</v>
      </c>
      <c r="G39" s="2">
        <v>1E-3</v>
      </c>
      <c r="H39">
        <f t="shared" si="0"/>
        <v>1.0119994217145174E-3</v>
      </c>
      <c r="I39">
        <f t="shared" si="1"/>
        <v>1.01148769551513E-3</v>
      </c>
      <c r="R39" s="3">
        <v>-1.2499999999999907E-2</v>
      </c>
      <c r="S39" s="4">
        <v>166</v>
      </c>
    </row>
    <row r="40" spans="1:19" x14ac:dyDescent="0.75">
      <c r="A40" s="1">
        <v>45614</v>
      </c>
      <c r="B40">
        <v>69.17</v>
      </c>
      <c r="C40">
        <v>66.77</v>
      </c>
      <c r="D40">
        <v>69.37</v>
      </c>
      <c r="E40">
        <v>66.53</v>
      </c>
      <c r="F40" t="s">
        <v>45</v>
      </c>
      <c r="G40" s="2">
        <v>3.3599999999999998E-2</v>
      </c>
      <c r="H40">
        <f t="shared" si="0"/>
        <v>3.3622235505080693E-2</v>
      </c>
      <c r="I40">
        <f t="shared" si="1"/>
        <v>3.3069366493870024E-2</v>
      </c>
      <c r="R40" s="3">
        <v>-7.4999999999999069E-3</v>
      </c>
      <c r="S40" s="4">
        <v>197</v>
      </c>
    </row>
    <row r="41" spans="1:19" x14ac:dyDescent="0.75">
      <c r="A41" s="1">
        <v>45611</v>
      </c>
      <c r="B41">
        <v>66.92</v>
      </c>
      <c r="C41">
        <v>68.45</v>
      </c>
      <c r="D41">
        <v>68.510000000000005</v>
      </c>
      <c r="E41">
        <v>66.709999999999994</v>
      </c>
      <c r="F41" t="s">
        <v>46</v>
      </c>
      <c r="G41" s="2">
        <v>-2.35E-2</v>
      </c>
      <c r="H41">
        <f t="shared" si="0"/>
        <v>-2.3493360572012248E-2</v>
      </c>
      <c r="I41">
        <f t="shared" si="1"/>
        <v>-2.3773729479109072E-2</v>
      </c>
      <c r="R41" s="3">
        <v>-2.4999999999999068E-3</v>
      </c>
      <c r="S41" s="4">
        <v>232</v>
      </c>
    </row>
    <row r="42" spans="1:19" x14ac:dyDescent="0.75">
      <c r="A42" s="1">
        <v>45610</v>
      </c>
      <c r="B42">
        <v>68.53</v>
      </c>
      <c r="C42">
        <v>67.97</v>
      </c>
      <c r="D42">
        <v>69.239999999999995</v>
      </c>
      <c r="E42">
        <v>67.77</v>
      </c>
      <c r="F42" t="s">
        <v>47</v>
      </c>
      <c r="G42" s="2">
        <v>4.0000000000000001E-3</v>
      </c>
      <c r="H42">
        <f t="shared" si="0"/>
        <v>3.9554644008203341E-3</v>
      </c>
      <c r="I42">
        <f t="shared" si="1"/>
        <v>3.9476621191713406E-3</v>
      </c>
      <c r="R42" s="3">
        <v>2.5000000000000933E-3</v>
      </c>
      <c r="S42" s="4">
        <v>275</v>
      </c>
    </row>
    <row r="43" spans="1:19" x14ac:dyDescent="0.75">
      <c r="A43" s="1">
        <v>45609</v>
      </c>
      <c r="B43">
        <v>68.260000000000005</v>
      </c>
      <c r="C43">
        <v>67.819999999999993</v>
      </c>
      <c r="D43">
        <v>68.69</v>
      </c>
      <c r="E43">
        <v>66.8</v>
      </c>
      <c r="F43" t="s">
        <v>48</v>
      </c>
      <c r="G43" s="2">
        <v>4.3E-3</v>
      </c>
      <c r="H43">
        <f t="shared" si="0"/>
        <v>4.2665882006768614E-3</v>
      </c>
      <c r="I43">
        <f t="shared" si="1"/>
        <v>4.2575121200142995E-3</v>
      </c>
      <c r="R43" s="3">
        <v>7.5000000000000934E-3</v>
      </c>
      <c r="S43" s="4">
        <v>308</v>
      </c>
    </row>
    <row r="44" spans="1:19" x14ac:dyDescent="0.75">
      <c r="A44" s="1">
        <v>45608</v>
      </c>
      <c r="B44">
        <v>67.97</v>
      </c>
      <c r="C44">
        <v>68.040000000000006</v>
      </c>
      <c r="D44">
        <v>68.97</v>
      </c>
      <c r="E44">
        <v>67.650000000000006</v>
      </c>
      <c r="F44" t="s">
        <v>49</v>
      </c>
      <c r="G44" s="2">
        <v>6.9999999999999999E-4</v>
      </c>
      <c r="H44">
        <f t="shared" si="0"/>
        <v>7.3616018845696642E-4</v>
      </c>
      <c r="I44">
        <f t="shared" si="1"/>
        <v>7.3588935545497729E-4</v>
      </c>
      <c r="R44" s="3">
        <v>1.2500000000000094E-2</v>
      </c>
      <c r="S44" s="4">
        <v>266</v>
      </c>
    </row>
    <row r="45" spans="1:19" x14ac:dyDescent="0.75">
      <c r="A45" s="1">
        <v>45607</v>
      </c>
      <c r="B45">
        <v>67.92</v>
      </c>
      <c r="C45">
        <v>69.989999999999995</v>
      </c>
      <c r="D45">
        <v>70.3</v>
      </c>
      <c r="E45">
        <v>67.790000000000006</v>
      </c>
      <c r="F45" t="s">
        <v>50</v>
      </c>
      <c r="G45" s="2">
        <v>-3.1199999999999999E-2</v>
      </c>
      <c r="H45">
        <f t="shared" si="0"/>
        <v>-3.123662815575521E-2</v>
      </c>
      <c r="I45">
        <f t="shared" si="1"/>
        <v>-3.1734895215784389E-2</v>
      </c>
      <c r="R45" s="3">
        <v>1.7500000000000095E-2</v>
      </c>
      <c r="S45" s="4">
        <v>178</v>
      </c>
    </row>
    <row r="46" spans="1:19" x14ac:dyDescent="0.75">
      <c r="A46" s="1">
        <v>45604</v>
      </c>
      <c r="B46">
        <v>70.11</v>
      </c>
      <c r="C46">
        <v>71.8</v>
      </c>
      <c r="D46">
        <v>71.87</v>
      </c>
      <c r="E46">
        <v>69.67</v>
      </c>
      <c r="F46" t="s">
        <v>51</v>
      </c>
      <c r="G46" s="2">
        <v>-2.5700000000000001E-2</v>
      </c>
      <c r="H46">
        <f t="shared" si="0"/>
        <v>-2.5708727070594697E-2</v>
      </c>
      <c r="I46">
        <f t="shared" si="1"/>
        <v>-2.604497186345598E-2</v>
      </c>
      <c r="R46" s="3">
        <v>2.2500000000000096E-2</v>
      </c>
      <c r="S46" s="4">
        <v>164</v>
      </c>
    </row>
    <row r="47" spans="1:19" x14ac:dyDescent="0.75">
      <c r="A47" s="1">
        <v>45603</v>
      </c>
      <c r="B47">
        <v>71.959999999999994</v>
      </c>
      <c r="C47">
        <v>71.41</v>
      </c>
      <c r="D47">
        <v>72.41</v>
      </c>
      <c r="E47">
        <v>70.27</v>
      </c>
      <c r="F47" t="s">
        <v>52</v>
      </c>
      <c r="G47" s="2">
        <v>1.01E-2</v>
      </c>
      <c r="H47">
        <f t="shared" si="0"/>
        <v>1.0106681639528339E-2</v>
      </c>
      <c r="I47">
        <f t="shared" si="1"/>
        <v>1.0055950660871423E-2</v>
      </c>
      <c r="R47" s="3">
        <v>2.7500000000000097E-2</v>
      </c>
      <c r="S47" s="4">
        <v>116</v>
      </c>
    </row>
    <row r="48" spans="1:19" x14ac:dyDescent="0.75">
      <c r="A48" s="1">
        <v>45602</v>
      </c>
      <c r="B48">
        <v>71.239999999999995</v>
      </c>
      <c r="C48">
        <v>71.569999999999993</v>
      </c>
      <c r="D48">
        <v>72.180000000000007</v>
      </c>
      <c r="E48">
        <v>69.349999999999994</v>
      </c>
      <c r="F48" t="s">
        <v>53</v>
      </c>
      <c r="G48" s="2">
        <v>-4.4999999999999997E-3</v>
      </c>
      <c r="H48">
        <f t="shared" si="0"/>
        <v>-4.4717719396311821E-3</v>
      </c>
      <c r="I48">
        <f t="shared" si="1"/>
        <v>-4.4818002190576498E-3</v>
      </c>
      <c r="R48" s="3">
        <v>3.2500000000000098E-2</v>
      </c>
      <c r="S48" s="4">
        <v>86</v>
      </c>
    </row>
    <row r="49" spans="1:19" x14ac:dyDescent="0.75">
      <c r="A49" s="1">
        <v>45601</v>
      </c>
      <c r="B49">
        <v>71.56</v>
      </c>
      <c r="C49">
        <v>71.17</v>
      </c>
      <c r="D49">
        <v>72.2</v>
      </c>
      <c r="E49">
        <v>70.86</v>
      </c>
      <c r="F49" t="s">
        <v>54</v>
      </c>
      <c r="G49" s="2">
        <v>7.4999999999999997E-3</v>
      </c>
      <c r="H49">
        <f t="shared" si="0"/>
        <v>7.4616359284809392E-3</v>
      </c>
      <c r="I49">
        <f t="shared" si="1"/>
        <v>7.433935630799816E-3</v>
      </c>
      <c r="R49" s="3">
        <v>3.7500000000000096E-2</v>
      </c>
      <c r="S49" s="4">
        <v>38</v>
      </c>
    </row>
    <row r="50" spans="1:19" x14ac:dyDescent="0.75">
      <c r="A50" s="1">
        <v>45600</v>
      </c>
      <c r="B50">
        <v>71.03</v>
      </c>
      <c r="C50">
        <v>69.87</v>
      </c>
      <c r="D50">
        <v>71.36</v>
      </c>
      <c r="E50">
        <v>69.84</v>
      </c>
      <c r="F50" t="s">
        <v>55</v>
      </c>
      <c r="G50" s="2">
        <v>2.8199999999999999E-2</v>
      </c>
      <c r="H50">
        <f t="shared" si="0"/>
        <v>2.822814128546617E-2</v>
      </c>
      <c r="I50">
        <f t="shared" si="1"/>
        <v>2.7837069731240754E-2</v>
      </c>
      <c r="R50" s="3">
        <v>4.2500000000000093E-2</v>
      </c>
      <c r="S50" s="4">
        <v>32</v>
      </c>
    </row>
    <row r="51" spans="1:19" x14ac:dyDescent="0.75">
      <c r="A51" s="1">
        <v>45597</v>
      </c>
      <c r="B51">
        <v>69.08</v>
      </c>
      <c r="C51">
        <v>69.959999999999994</v>
      </c>
      <c r="D51">
        <v>70.95</v>
      </c>
      <c r="E51">
        <v>68.900000000000006</v>
      </c>
      <c r="F51" t="s">
        <v>56</v>
      </c>
      <c r="G51" s="2">
        <v>3.8999999999999998E-3</v>
      </c>
      <c r="H51">
        <f t="shared" si="0"/>
        <v>3.9238482778665316E-3</v>
      </c>
      <c r="I51">
        <f t="shared" si="1"/>
        <v>3.9161700640892895E-3</v>
      </c>
      <c r="R51" s="3">
        <v>4.7500000000000091E-2</v>
      </c>
      <c r="S51" s="4">
        <v>17</v>
      </c>
    </row>
    <row r="52" spans="1:19" x14ac:dyDescent="0.75">
      <c r="A52" s="1">
        <v>45596</v>
      </c>
      <c r="B52">
        <v>68.81</v>
      </c>
      <c r="C52">
        <v>68.650000000000006</v>
      </c>
      <c r="D52">
        <v>70.31</v>
      </c>
      <c r="E52">
        <v>67.87</v>
      </c>
      <c r="F52" t="s">
        <v>57</v>
      </c>
      <c r="G52" s="2">
        <v>9.1999999999999998E-3</v>
      </c>
      <c r="H52">
        <f t="shared" si="0"/>
        <v>9.2402464065707741E-3</v>
      </c>
      <c r="I52">
        <f t="shared" si="1"/>
        <v>9.1978165046314505E-3</v>
      </c>
      <c r="R52" s="3">
        <v>5.2500000000000088E-2</v>
      </c>
      <c r="S52" s="4">
        <v>19</v>
      </c>
    </row>
    <row r="53" spans="1:19" x14ac:dyDescent="0.75">
      <c r="A53" s="1">
        <v>45595</v>
      </c>
      <c r="B53">
        <v>68.180000000000007</v>
      </c>
      <c r="C53">
        <v>66.97</v>
      </c>
      <c r="D53">
        <v>68.73</v>
      </c>
      <c r="E53">
        <v>66.88</v>
      </c>
      <c r="F53" t="s">
        <v>58</v>
      </c>
      <c r="G53" s="2">
        <v>2.0500000000000001E-2</v>
      </c>
      <c r="H53">
        <f t="shared" si="0"/>
        <v>2.050591228857962E-2</v>
      </c>
      <c r="I53">
        <f t="shared" si="1"/>
        <v>2.02984967723711E-2</v>
      </c>
      <c r="R53" s="3">
        <v>5.7500000000000086E-2</v>
      </c>
      <c r="S53" s="4">
        <v>14</v>
      </c>
    </row>
    <row r="54" spans="1:19" x14ac:dyDescent="0.75">
      <c r="A54" s="1">
        <v>45594</v>
      </c>
      <c r="B54">
        <v>66.81</v>
      </c>
      <c r="C54">
        <v>67.63</v>
      </c>
      <c r="D54">
        <v>68.09</v>
      </c>
      <c r="E54">
        <v>66.319999999999993</v>
      </c>
      <c r="F54" t="s">
        <v>59</v>
      </c>
      <c r="G54" s="2">
        <v>-2.5000000000000001E-3</v>
      </c>
      <c r="H54">
        <f t="shared" si="0"/>
        <v>-2.5380710659898731E-3</v>
      </c>
      <c r="I54">
        <f t="shared" si="1"/>
        <v>-2.5412974286726439E-3</v>
      </c>
      <c r="R54" s="3">
        <v>6.2500000000000083E-2</v>
      </c>
      <c r="S54" s="4">
        <v>6</v>
      </c>
    </row>
    <row r="55" spans="1:19" x14ac:dyDescent="0.75">
      <c r="A55" s="1">
        <v>45593</v>
      </c>
      <c r="B55">
        <v>66.98</v>
      </c>
      <c r="C55">
        <v>68.58</v>
      </c>
      <c r="D55">
        <v>68.599999999999994</v>
      </c>
      <c r="E55">
        <v>66.59</v>
      </c>
      <c r="F55" t="s">
        <v>60</v>
      </c>
      <c r="G55" s="2">
        <v>-6.1199999999999997E-2</v>
      </c>
      <c r="H55">
        <f t="shared" si="0"/>
        <v>-6.1247372109320124E-2</v>
      </c>
      <c r="I55">
        <f t="shared" si="1"/>
        <v>-6.3203276556786703E-2</v>
      </c>
      <c r="R55" s="3">
        <v>6.7500000000000088E-2</v>
      </c>
      <c r="S55" s="4">
        <v>4</v>
      </c>
    </row>
    <row r="56" spans="1:19" x14ac:dyDescent="0.75">
      <c r="A56" s="1">
        <v>45590</v>
      </c>
      <c r="B56">
        <v>71.349999999999994</v>
      </c>
      <c r="C56">
        <v>70.02</v>
      </c>
      <c r="D56">
        <v>71.52</v>
      </c>
      <c r="E56">
        <v>69.63</v>
      </c>
      <c r="F56" t="s">
        <v>61</v>
      </c>
      <c r="G56" s="2">
        <v>2.1600000000000001E-2</v>
      </c>
      <c r="H56">
        <f t="shared" si="0"/>
        <v>2.1620847651775355E-2</v>
      </c>
      <c r="I56">
        <f t="shared" si="1"/>
        <v>2.1390432391498584E-2</v>
      </c>
      <c r="R56" s="3">
        <v>7.2500000000000092E-2</v>
      </c>
      <c r="S56" s="4">
        <v>4</v>
      </c>
    </row>
    <row r="57" spans="1:19" x14ac:dyDescent="0.75">
      <c r="A57" s="1">
        <v>45589</v>
      </c>
      <c r="B57">
        <v>69.84</v>
      </c>
      <c r="C57">
        <v>70.62</v>
      </c>
      <c r="D57">
        <v>71.87</v>
      </c>
      <c r="E57">
        <v>69.41</v>
      </c>
      <c r="F57" t="s">
        <v>62</v>
      </c>
      <c r="G57" s="2">
        <v>-7.4999999999999997E-3</v>
      </c>
      <c r="H57">
        <f t="shared" si="0"/>
        <v>-7.5316185874662652E-3</v>
      </c>
      <c r="I57">
        <f t="shared" si="1"/>
        <v>-7.5601244471108541E-3</v>
      </c>
      <c r="R57" s="3">
        <v>7.7500000000000097E-2</v>
      </c>
      <c r="S57" s="4">
        <v>2</v>
      </c>
    </row>
    <row r="58" spans="1:19" x14ac:dyDescent="0.75">
      <c r="A58" s="1">
        <v>45588</v>
      </c>
      <c r="B58">
        <v>70.37</v>
      </c>
      <c r="C58">
        <v>70.94</v>
      </c>
      <c r="D58">
        <v>71.290000000000006</v>
      </c>
      <c r="E58">
        <v>69.760000000000005</v>
      </c>
      <c r="F58" t="s">
        <v>63</v>
      </c>
      <c r="G58" s="2">
        <v>-1.9099999999999999E-2</v>
      </c>
      <c r="H58">
        <f t="shared" si="0"/>
        <v>-1.9096738221354759E-2</v>
      </c>
      <c r="I58">
        <f t="shared" si="1"/>
        <v>-1.9281436125678782E-2</v>
      </c>
      <c r="R58" s="3">
        <v>8.2500000000000101E-2</v>
      </c>
      <c r="S58" s="4">
        <v>3</v>
      </c>
    </row>
    <row r="59" spans="1:19" x14ac:dyDescent="0.75">
      <c r="A59" s="1">
        <v>45587</v>
      </c>
      <c r="B59">
        <v>71.739999999999995</v>
      </c>
      <c r="C59">
        <v>69.959999999999994</v>
      </c>
      <c r="D59">
        <v>72.09</v>
      </c>
      <c r="E59">
        <v>69.349999999999994</v>
      </c>
      <c r="F59" t="s">
        <v>64</v>
      </c>
      <c r="G59" s="2">
        <v>2.4299999999999999E-2</v>
      </c>
      <c r="H59">
        <f t="shared" si="0"/>
        <v>2.4271844660194011E-2</v>
      </c>
      <c r="I59">
        <f t="shared" si="1"/>
        <v>2.398196468648519E-2</v>
      </c>
      <c r="R59" s="3">
        <v>8.7500000000000105E-2</v>
      </c>
      <c r="S59" s="4">
        <v>4</v>
      </c>
    </row>
    <row r="60" spans="1:19" x14ac:dyDescent="0.75">
      <c r="A60" s="1">
        <v>45586</v>
      </c>
      <c r="B60">
        <v>70.040000000000006</v>
      </c>
      <c r="C60">
        <v>68.94</v>
      </c>
      <c r="D60">
        <v>70.39</v>
      </c>
      <c r="E60">
        <v>68.459999999999994</v>
      </c>
      <c r="F60" t="s">
        <v>65</v>
      </c>
      <c r="G60" s="2">
        <v>1.9699999999999999E-2</v>
      </c>
      <c r="H60">
        <f t="shared" si="0"/>
        <v>1.9653515795603562E-2</v>
      </c>
      <c r="I60">
        <f t="shared" si="1"/>
        <v>1.9462879191860908E-2</v>
      </c>
      <c r="R60" s="3">
        <v>9.250000000000011E-2</v>
      </c>
      <c r="S60" s="4">
        <v>1</v>
      </c>
    </row>
    <row r="61" spans="1:19" x14ac:dyDescent="0.75">
      <c r="A61" s="1">
        <v>45583</v>
      </c>
      <c r="B61">
        <v>68.69</v>
      </c>
      <c r="C61">
        <v>70.17</v>
      </c>
      <c r="D61">
        <v>70.67</v>
      </c>
      <c r="E61">
        <v>68.17</v>
      </c>
      <c r="F61" t="s">
        <v>66</v>
      </c>
      <c r="G61" s="2">
        <v>-0.02</v>
      </c>
      <c r="H61">
        <f t="shared" si="0"/>
        <v>-1.9974318733057578E-2</v>
      </c>
      <c r="I61">
        <f t="shared" si="1"/>
        <v>-2.0176502286443201E-2</v>
      </c>
      <c r="R61" s="3">
        <v>9.7500000000000114E-2</v>
      </c>
      <c r="S61" s="4">
        <v>1</v>
      </c>
    </row>
    <row r="62" spans="1:19" x14ac:dyDescent="0.75">
      <c r="A62" s="1">
        <v>45582</v>
      </c>
      <c r="B62">
        <v>70.09</v>
      </c>
      <c r="C62">
        <v>70.11</v>
      </c>
      <c r="D62">
        <v>70.53</v>
      </c>
      <c r="E62">
        <v>68.89</v>
      </c>
      <c r="F62" t="s">
        <v>67</v>
      </c>
      <c r="G62" s="2">
        <v>3.8999999999999998E-3</v>
      </c>
      <c r="H62">
        <f t="shared" si="0"/>
        <v>3.8670867946148705E-3</v>
      </c>
      <c r="I62">
        <f t="shared" si="1"/>
        <v>3.8596288353435842E-3</v>
      </c>
      <c r="R62" s="3">
        <v>0.10250000000000012</v>
      </c>
      <c r="S62" s="4">
        <v>2</v>
      </c>
    </row>
    <row r="63" spans="1:19" x14ac:dyDescent="0.75">
      <c r="A63" s="1">
        <v>45581</v>
      </c>
      <c r="B63">
        <v>69.819999999999993</v>
      </c>
      <c r="C63">
        <v>70.39</v>
      </c>
      <c r="D63">
        <v>70.69</v>
      </c>
      <c r="E63">
        <v>69.12</v>
      </c>
      <c r="F63" t="s">
        <v>68</v>
      </c>
      <c r="G63" s="2">
        <v>-2.7000000000000001E-3</v>
      </c>
      <c r="H63">
        <f t="shared" si="0"/>
        <v>-2.7138980145695176E-3</v>
      </c>
      <c r="I63">
        <f t="shared" si="1"/>
        <v>-2.7175873122164511E-3</v>
      </c>
      <c r="R63" s="3">
        <v>0.10750000000000012</v>
      </c>
      <c r="S63" s="4">
        <v>1</v>
      </c>
    </row>
    <row r="64" spans="1:19" x14ac:dyDescent="0.75">
      <c r="A64" s="1">
        <v>45580</v>
      </c>
      <c r="B64">
        <v>70.010000000000005</v>
      </c>
      <c r="C64">
        <v>71.14</v>
      </c>
      <c r="D64">
        <v>71.569999999999993</v>
      </c>
      <c r="E64">
        <v>69.2</v>
      </c>
      <c r="F64" t="s">
        <v>69</v>
      </c>
      <c r="G64" s="2">
        <v>-4.41E-2</v>
      </c>
      <c r="H64">
        <f t="shared" si="0"/>
        <v>-4.4101583833970372E-2</v>
      </c>
      <c r="I64">
        <f t="shared" si="1"/>
        <v>-4.5103630817203567E-2</v>
      </c>
      <c r="R64" s="3">
        <v>0.11250000000000013</v>
      </c>
      <c r="S64" s="4">
        <v>0</v>
      </c>
    </row>
    <row r="65" spans="1:19" x14ac:dyDescent="0.75">
      <c r="A65" s="1">
        <v>45579</v>
      </c>
      <c r="B65">
        <v>73.239999999999995</v>
      </c>
      <c r="C65">
        <v>74.260000000000005</v>
      </c>
      <c r="D65">
        <v>74.349999999999994</v>
      </c>
      <c r="E65">
        <v>71.239999999999995</v>
      </c>
      <c r="F65" t="s">
        <v>70</v>
      </c>
      <c r="G65" s="2">
        <v>-2.1499999999999998E-2</v>
      </c>
      <c r="H65">
        <f t="shared" si="0"/>
        <v>-2.150968603874415E-2</v>
      </c>
      <c r="I65">
        <f t="shared" si="1"/>
        <v>-2.1744391059327392E-2</v>
      </c>
      <c r="R65" s="3">
        <v>0.11750000000000013</v>
      </c>
      <c r="S65" s="4">
        <v>1</v>
      </c>
    </row>
    <row r="66" spans="1:19" x14ac:dyDescent="0.75">
      <c r="A66" s="1">
        <v>45576</v>
      </c>
      <c r="B66">
        <v>74.849999999999994</v>
      </c>
      <c r="C66">
        <v>75</v>
      </c>
      <c r="D66">
        <v>75.28</v>
      </c>
      <c r="E66">
        <v>73.849999999999994</v>
      </c>
      <c r="F66" t="s">
        <v>71</v>
      </c>
      <c r="G66" s="2">
        <v>-3.5000000000000001E-3</v>
      </c>
      <c r="H66">
        <f t="shared" si="0"/>
        <v>-3.4615896684862882E-3</v>
      </c>
      <c r="I66">
        <f t="shared" si="1"/>
        <v>-3.4675948322831344E-3</v>
      </c>
      <c r="R66" s="3">
        <v>0.12250000000000014</v>
      </c>
      <c r="S66" s="4">
        <v>1</v>
      </c>
    </row>
    <row r="67" spans="1:19" x14ac:dyDescent="0.75">
      <c r="A67" s="1">
        <v>45575</v>
      </c>
      <c r="B67">
        <v>75.11</v>
      </c>
      <c r="C67">
        <v>72.73</v>
      </c>
      <c r="D67">
        <v>75.45</v>
      </c>
      <c r="E67">
        <v>72.62</v>
      </c>
      <c r="F67" t="s">
        <v>72</v>
      </c>
      <c r="G67" s="2">
        <v>3.4700000000000002E-2</v>
      </c>
      <c r="H67">
        <f t="shared" ref="H67:H130" si="2">(B67-B68)/B68</f>
        <v>3.4715525554484032E-2</v>
      </c>
      <c r="I67">
        <f t="shared" ref="I67:I130" si="3">LN(B67/B68)</f>
        <v>3.4126534401171041E-2</v>
      </c>
      <c r="R67" s="3">
        <v>0.12750000000000014</v>
      </c>
      <c r="S67" s="4">
        <v>0</v>
      </c>
    </row>
    <row r="68" spans="1:19" x14ac:dyDescent="0.75">
      <c r="A68" s="1">
        <v>45574</v>
      </c>
      <c r="B68">
        <v>72.59</v>
      </c>
      <c r="C68">
        <v>73.27</v>
      </c>
      <c r="D68">
        <v>73.819999999999993</v>
      </c>
      <c r="E68">
        <v>71</v>
      </c>
      <c r="F68" t="s">
        <v>73</v>
      </c>
      <c r="G68" s="2">
        <v>-5.3E-3</v>
      </c>
      <c r="H68">
        <f t="shared" si="2"/>
        <v>-5.3439298437928271E-3</v>
      </c>
      <c r="I68">
        <f t="shared" si="3"/>
        <v>-5.3582597115523359E-3</v>
      </c>
      <c r="R68" s="3">
        <v>0.13250000000000015</v>
      </c>
      <c r="S68" s="4">
        <v>0</v>
      </c>
    </row>
    <row r="69" spans="1:19" x14ac:dyDescent="0.75">
      <c r="A69" s="1">
        <v>45573</v>
      </c>
      <c r="B69">
        <v>72.98</v>
      </c>
      <c r="C69">
        <v>76.63</v>
      </c>
      <c r="D69">
        <v>77.7</v>
      </c>
      <c r="E69">
        <v>72.12</v>
      </c>
      <c r="F69" t="s">
        <v>74</v>
      </c>
      <c r="G69" s="2">
        <v>-4.5600000000000002E-2</v>
      </c>
      <c r="H69">
        <f t="shared" si="2"/>
        <v>-4.5638812606250752E-2</v>
      </c>
      <c r="I69">
        <f t="shared" si="3"/>
        <v>-4.6713076047832161E-2</v>
      </c>
      <c r="R69" s="3">
        <v>0.13750000000000015</v>
      </c>
      <c r="S69" s="4">
        <v>2</v>
      </c>
    </row>
    <row r="70" spans="1:19" x14ac:dyDescent="0.75">
      <c r="A70" s="1">
        <v>45572</v>
      </c>
      <c r="B70">
        <v>76.47</v>
      </c>
      <c r="C70">
        <v>73.760000000000005</v>
      </c>
      <c r="D70">
        <v>76.7</v>
      </c>
      <c r="E70">
        <v>73.010000000000005</v>
      </c>
      <c r="F70" t="s">
        <v>75</v>
      </c>
      <c r="G70" s="2">
        <v>3.7900000000000003E-2</v>
      </c>
      <c r="H70">
        <f t="shared" si="2"/>
        <v>3.7866449511400543E-2</v>
      </c>
      <c r="I70">
        <f t="shared" si="3"/>
        <v>3.7167115109082216E-2</v>
      </c>
      <c r="R70" s="3">
        <v>0.14250000000000015</v>
      </c>
      <c r="S70" s="4">
        <v>0</v>
      </c>
    </row>
    <row r="71" spans="1:19" x14ac:dyDescent="0.75">
      <c r="A71" s="1">
        <v>45569</v>
      </c>
      <c r="B71">
        <v>73.680000000000007</v>
      </c>
      <c r="C71">
        <v>73.349999999999994</v>
      </c>
      <c r="D71">
        <v>74.84</v>
      </c>
      <c r="E71">
        <v>72.94</v>
      </c>
      <c r="F71" t="s">
        <v>76</v>
      </c>
      <c r="G71" s="2">
        <v>7.0000000000000001E-3</v>
      </c>
      <c r="H71">
        <f t="shared" si="2"/>
        <v>6.9700697006970765E-3</v>
      </c>
      <c r="I71">
        <f t="shared" si="3"/>
        <v>6.9458910511129256E-3</v>
      </c>
      <c r="R71" s="3">
        <v>0.14750000000000016</v>
      </c>
      <c r="S71" s="4">
        <v>0</v>
      </c>
    </row>
    <row r="72" spans="1:19" x14ac:dyDescent="0.75">
      <c r="A72" s="1">
        <v>45568</v>
      </c>
      <c r="B72">
        <v>73.17</v>
      </c>
      <c r="C72">
        <v>70.489999999999995</v>
      </c>
      <c r="D72">
        <v>73.510000000000005</v>
      </c>
      <c r="E72">
        <v>70.08</v>
      </c>
      <c r="F72" t="s">
        <v>77</v>
      </c>
      <c r="G72" s="2">
        <v>4.99E-2</v>
      </c>
      <c r="H72">
        <f t="shared" si="2"/>
        <v>4.9935428325441296E-2</v>
      </c>
      <c r="I72">
        <f t="shared" si="3"/>
        <v>4.8728665445511292E-2</v>
      </c>
      <c r="R72" s="3">
        <v>0.15250000000000016</v>
      </c>
      <c r="S72" s="4">
        <v>1</v>
      </c>
    </row>
    <row r="73" spans="1:19" x14ac:dyDescent="0.75">
      <c r="A73" s="1">
        <v>45567</v>
      </c>
      <c r="B73">
        <v>69.69</v>
      </c>
      <c r="C73">
        <v>70.3</v>
      </c>
      <c r="D73">
        <v>71.95</v>
      </c>
      <c r="E73">
        <v>69.45</v>
      </c>
      <c r="F73" t="s">
        <v>78</v>
      </c>
      <c r="G73" s="2">
        <v>4.3E-3</v>
      </c>
      <c r="H73">
        <f t="shared" si="2"/>
        <v>4.3233895373972781E-3</v>
      </c>
      <c r="I73">
        <f t="shared" si="3"/>
        <v>4.3140705389699456E-3</v>
      </c>
      <c r="R73" s="3">
        <v>0.15750000000000017</v>
      </c>
      <c r="S73" s="4">
        <v>0</v>
      </c>
    </row>
    <row r="74" spans="1:19" x14ac:dyDescent="0.75">
      <c r="A74" s="1">
        <v>45566</v>
      </c>
      <c r="B74">
        <v>69.39</v>
      </c>
      <c r="C74">
        <v>68.05</v>
      </c>
      <c r="D74">
        <v>71.36</v>
      </c>
      <c r="E74">
        <v>65.989999999999995</v>
      </c>
      <c r="F74" t="s">
        <v>79</v>
      </c>
      <c r="G74" s="2">
        <v>2.3900000000000001E-2</v>
      </c>
      <c r="H74">
        <f t="shared" si="2"/>
        <v>2.3904382470119591E-2</v>
      </c>
      <c r="I74">
        <f t="shared" si="3"/>
        <v>2.3623145763435893E-2</v>
      </c>
      <c r="R74" s="3">
        <v>0.16250000000000017</v>
      </c>
      <c r="S74" s="4">
        <v>0</v>
      </c>
    </row>
    <row r="75" spans="1:19" x14ac:dyDescent="0.75">
      <c r="A75" s="1">
        <v>45565</v>
      </c>
      <c r="B75">
        <v>67.77</v>
      </c>
      <c r="C75">
        <v>68.08</v>
      </c>
      <c r="D75">
        <v>68.83</v>
      </c>
      <c r="E75">
        <v>67.14</v>
      </c>
      <c r="F75" t="s">
        <v>80</v>
      </c>
      <c r="G75" s="2">
        <v>1.5E-3</v>
      </c>
      <c r="H75">
        <f t="shared" si="2"/>
        <v>1.4777597162700504E-3</v>
      </c>
      <c r="I75">
        <f t="shared" si="3"/>
        <v>1.4766689038873816E-3</v>
      </c>
      <c r="R75" s="3">
        <v>0.16750000000000018</v>
      </c>
      <c r="S75" s="4">
        <v>1</v>
      </c>
    </row>
    <row r="76" spans="1:19" x14ac:dyDescent="0.75">
      <c r="A76" s="1">
        <v>45562</v>
      </c>
      <c r="B76">
        <v>67.67</v>
      </c>
      <c r="C76">
        <v>66.95</v>
      </c>
      <c r="D76">
        <v>68.13</v>
      </c>
      <c r="E76">
        <v>66.58</v>
      </c>
      <c r="F76" t="s">
        <v>81</v>
      </c>
      <c r="G76" s="2">
        <v>7.1000000000000004E-3</v>
      </c>
      <c r="H76">
        <f t="shared" si="2"/>
        <v>7.1439202262241997E-3</v>
      </c>
      <c r="I76">
        <f t="shared" si="3"/>
        <v>7.1185233120756343E-3</v>
      </c>
      <c r="R76" s="3">
        <v>0.17250000000000018</v>
      </c>
      <c r="S76" s="4">
        <v>0</v>
      </c>
    </row>
    <row r="77" spans="1:19" x14ac:dyDescent="0.75">
      <c r="A77" s="1">
        <v>45561</v>
      </c>
      <c r="B77">
        <v>67.19</v>
      </c>
      <c r="C77">
        <v>69.3</v>
      </c>
      <c r="D77">
        <v>69.47</v>
      </c>
      <c r="E77">
        <v>66.489999999999995</v>
      </c>
      <c r="F77" t="s">
        <v>82</v>
      </c>
      <c r="G77" s="2">
        <v>-2.81E-2</v>
      </c>
      <c r="H77">
        <f t="shared" si="2"/>
        <v>-2.8063069579053926E-2</v>
      </c>
      <c r="I77">
        <f t="shared" si="3"/>
        <v>-2.8464363025114993E-2</v>
      </c>
      <c r="R77" s="3">
        <v>0.17750000000000019</v>
      </c>
      <c r="S77" s="4">
        <v>0</v>
      </c>
    </row>
    <row r="78" spans="1:19" x14ac:dyDescent="0.75">
      <c r="A78" s="1">
        <v>45560</v>
      </c>
      <c r="B78">
        <v>69.13</v>
      </c>
      <c r="C78">
        <v>70.84</v>
      </c>
      <c r="D78">
        <v>71.040000000000006</v>
      </c>
      <c r="E78">
        <v>68.69</v>
      </c>
      <c r="F78" t="s">
        <v>83</v>
      </c>
      <c r="G78" s="2">
        <v>-2.41E-2</v>
      </c>
      <c r="H78">
        <f t="shared" si="2"/>
        <v>-2.4138904573687295E-2</v>
      </c>
      <c r="I78">
        <f t="shared" si="3"/>
        <v>-2.4435022957459255E-2</v>
      </c>
      <c r="R78" s="3">
        <v>0.18250000000000019</v>
      </c>
      <c r="S78" s="4">
        <v>0</v>
      </c>
    </row>
    <row r="79" spans="1:19" x14ac:dyDescent="0.75">
      <c r="A79" s="1">
        <v>45559</v>
      </c>
      <c r="B79">
        <v>70.84</v>
      </c>
      <c r="C79">
        <v>69.959999999999994</v>
      </c>
      <c r="D79">
        <v>71.599999999999994</v>
      </c>
      <c r="E79">
        <v>69.69</v>
      </c>
      <c r="F79" t="s">
        <v>84</v>
      </c>
      <c r="G79" s="2">
        <v>1.77E-2</v>
      </c>
      <c r="H79">
        <f t="shared" si="2"/>
        <v>1.7669875017957248E-2</v>
      </c>
      <c r="I79">
        <f t="shared" si="3"/>
        <v>1.7515577734057635E-2</v>
      </c>
      <c r="R79" s="3">
        <v>0.18750000000000019</v>
      </c>
      <c r="S79" s="4">
        <v>0</v>
      </c>
    </row>
    <row r="80" spans="1:19" x14ac:dyDescent="0.75">
      <c r="A80" s="1">
        <v>45558</v>
      </c>
      <c r="B80">
        <v>69.61</v>
      </c>
      <c r="C80">
        <v>70.430000000000007</v>
      </c>
      <c r="D80">
        <v>70.94</v>
      </c>
      <c r="E80">
        <v>68.73</v>
      </c>
      <c r="F80" t="s">
        <v>85</v>
      </c>
      <c r="G80" s="2">
        <v>-1.9599999999999999E-2</v>
      </c>
      <c r="H80">
        <f t="shared" si="2"/>
        <v>-1.9577464788732402E-2</v>
      </c>
      <c r="I80">
        <f t="shared" si="3"/>
        <v>-1.9771641860740381E-2</v>
      </c>
      <c r="R80" s="3">
        <v>0.1925000000000002</v>
      </c>
      <c r="S80" s="4">
        <v>0</v>
      </c>
    </row>
    <row r="81" spans="1:19" x14ac:dyDescent="0.75">
      <c r="A81" s="1">
        <v>45555</v>
      </c>
      <c r="B81">
        <v>71</v>
      </c>
      <c r="C81">
        <v>71.180000000000007</v>
      </c>
      <c r="D81">
        <v>71.45</v>
      </c>
      <c r="E81">
        <v>70.37</v>
      </c>
      <c r="F81" t="s">
        <v>86</v>
      </c>
      <c r="G81" s="2">
        <v>-2.2000000000000001E-3</v>
      </c>
      <c r="H81">
        <f t="shared" si="2"/>
        <v>-2.248454187745877E-3</v>
      </c>
      <c r="I81">
        <f t="shared" si="3"/>
        <v>-2.2509857563189337E-3</v>
      </c>
      <c r="R81" s="3">
        <v>0.1975000000000002</v>
      </c>
      <c r="S81" s="4">
        <v>0</v>
      </c>
    </row>
    <row r="82" spans="1:19" ht="15.5" thickBot="1" x14ac:dyDescent="0.9">
      <c r="A82" s="1">
        <v>45554</v>
      </c>
      <c r="B82">
        <v>71.16</v>
      </c>
      <c r="C82">
        <v>69.150000000000006</v>
      </c>
      <c r="D82">
        <v>71.53</v>
      </c>
      <c r="E82">
        <v>69.13</v>
      </c>
      <c r="F82" t="s">
        <v>87</v>
      </c>
      <c r="G82" s="2">
        <v>1.83E-2</v>
      </c>
      <c r="H82">
        <f t="shared" si="2"/>
        <v>1.8317115054378951E-2</v>
      </c>
      <c r="I82">
        <f t="shared" si="3"/>
        <v>1.8151377531778694E-2</v>
      </c>
      <c r="R82" s="5" t="s">
        <v>2470</v>
      </c>
      <c r="S82" s="5">
        <v>2</v>
      </c>
    </row>
    <row r="83" spans="1:19" x14ac:dyDescent="0.75">
      <c r="A83" s="1">
        <v>45553</v>
      </c>
      <c r="B83">
        <v>69.88</v>
      </c>
      <c r="C83">
        <v>69.98</v>
      </c>
      <c r="D83">
        <v>70.31</v>
      </c>
      <c r="E83">
        <v>68.58</v>
      </c>
      <c r="F83" t="s">
        <v>88</v>
      </c>
      <c r="G83" s="2">
        <v>-1.1000000000000001E-3</v>
      </c>
      <c r="H83">
        <f t="shared" si="2"/>
        <v>-1.1435105774728173E-3</v>
      </c>
      <c r="I83">
        <f t="shared" si="3"/>
        <v>-1.1441648845455247E-3</v>
      </c>
    </row>
    <row r="84" spans="1:19" x14ac:dyDescent="0.75">
      <c r="A84" s="1">
        <v>45552</v>
      </c>
      <c r="B84">
        <v>69.959999999999994</v>
      </c>
      <c r="C84">
        <v>69.349999999999994</v>
      </c>
      <c r="D84">
        <v>70.650000000000006</v>
      </c>
      <c r="E84">
        <v>68.510000000000005</v>
      </c>
      <c r="F84" t="s">
        <v>89</v>
      </c>
      <c r="G84" s="2">
        <v>1.3599999999999999E-2</v>
      </c>
      <c r="H84">
        <f t="shared" si="2"/>
        <v>1.361924079976815E-2</v>
      </c>
      <c r="I84">
        <f t="shared" si="3"/>
        <v>1.3527332480543957E-2</v>
      </c>
    </row>
    <row r="85" spans="1:19" x14ac:dyDescent="0.75">
      <c r="A85" s="1">
        <v>45551</v>
      </c>
      <c r="B85">
        <v>69.02</v>
      </c>
      <c r="C85">
        <v>68.22</v>
      </c>
      <c r="D85">
        <v>69.61</v>
      </c>
      <c r="E85">
        <v>67.7</v>
      </c>
      <c r="F85" t="s">
        <v>90</v>
      </c>
      <c r="G85" s="2">
        <v>1.8700000000000001E-2</v>
      </c>
      <c r="H85">
        <f t="shared" si="2"/>
        <v>1.8745387453874478E-2</v>
      </c>
      <c r="I85">
        <f t="shared" si="3"/>
        <v>1.8571857910047083E-2</v>
      </c>
    </row>
    <row r="86" spans="1:19" x14ac:dyDescent="0.75">
      <c r="A86" s="1">
        <v>45548</v>
      </c>
      <c r="B86">
        <v>67.75</v>
      </c>
      <c r="C86">
        <v>68.349999999999994</v>
      </c>
      <c r="D86">
        <v>69.349999999999994</v>
      </c>
      <c r="E86">
        <v>67.58</v>
      </c>
      <c r="F86" t="s">
        <v>91</v>
      </c>
      <c r="G86" s="2">
        <v>-5.8999999999999999E-3</v>
      </c>
      <c r="H86">
        <f t="shared" si="2"/>
        <v>-5.8694057226706623E-3</v>
      </c>
      <c r="I86">
        <f t="shared" si="3"/>
        <v>-5.886698382731456E-3</v>
      </c>
    </row>
    <row r="87" spans="1:19" x14ac:dyDescent="0.75">
      <c r="A87" s="1">
        <v>45547</v>
      </c>
      <c r="B87">
        <v>68.150000000000006</v>
      </c>
      <c r="C87">
        <v>66.680000000000007</v>
      </c>
      <c r="D87">
        <v>68.930000000000007</v>
      </c>
      <c r="E87">
        <v>66.55</v>
      </c>
      <c r="F87" t="s">
        <v>92</v>
      </c>
      <c r="G87" s="2">
        <v>2.3300000000000001E-2</v>
      </c>
      <c r="H87">
        <f t="shared" si="2"/>
        <v>2.3273273273273446E-2</v>
      </c>
      <c r="I87">
        <f t="shared" si="3"/>
        <v>2.3006580596198332E-2</v>
      </c>
    </row>
    <row r="88" spans="1:19" x14ac:dyDescent="0.75">
      <c r="A88" s="1">
        <v>45546</v>
      </c>
      <c r="B88">
        <v>66.599999999999994</v>
      </c>
      <c r="C88">
        <v>65.73</v>
      </c>
      <c r="D88">
        <v>67.14</v>
      </c>
      <c r="E88">
        <v>64.989999999999995</v>
      </c>
      <c r="F88" t="s">
        <v>93</v>
      </c>
      <c r="G88" s="2">
        <v>2.24E-2</v>
      </c>
      <c r="H88">
        <f t="shared" si="2"/>
        <v>2.2413263739637607E-2</v>
      </c>
      <c r="I88">
        <f t="shared" si="3"/>
        <v>2.2165777698256017E-2</v>
      </c>
    </row>
    <row r="89" spans="1:19" x14ac:dyDescent="0.75">
      <c r="A89" s="1">
        <v>45545</v>
      </c>
      <c r="B89">
        <v>65.14</v>
      </c>
      <c r="C89">
        <v>67.97</v>
      </c>
      <c r="D89">
        <v>68.3</v>
      </c>
      <c r="E89">
        <v>64.61</v>
      </c>
      <c r="F89" t="s">
        <v>94</v>
      </c>
      <c r="G89" s="2">
        <v>-4.0800000000000003E-2</v>
      </c>
      <c r="H89">
        <f t="shared" si="2"/>
        <v>-4.0789279929318162E-2</v>
      </c>
      <c r="I89">
        <f t="shared" si="3"/>
        <v>-4.1644499277612518E-2</v>
      </c>
    </row>
    <row r="90" spans="1:19" x14ac:dyDescent="0.75">
      <c r="A90" s="1">
        <v>45544</v>
      </c>
      <c r="B90">
        <v>67.91</v>
      </c>
      <c r="C90">
        <v>67.42</v>
      </c>
      <c r="D90">
        <v>68.14</v>
      </c>
      <c r="E90">
        <v>66.61</v>
      </c>
      <c r="F90" t="s">
        <v>95</v>
      </c>
      <c r="G90" s="2">
        <v>1.3899999999999999E-2</v>
      </c>
      <c r="H90">
        <f t="shared" si="2"/>
        <v>1.3884741713944351E-2</v>
      </c>
      <c r="I90">
        <f t="shared" si="3"/>
        <v>1.3789231759641316E-2</v>
      </c>
    </row>
    <row r="91" spans="1:19" x14ac:dyDescent="0.75">
      <c r="A91" s="1">
        <v>45541</v>
      </c>
      <c r="B91">
        <v>66.98</v>
      </c>
      <c r="C91">
        <v>68.66</v>
      </c>
      <c r="D91">
        <v>69.41</v>
      </c>
      <c r="E91">
        <v>66.510000000000005</v>
      </c>
      <c r="F91" t="s">
        <v>96</v>
      </c>
      <c r="G91" s="2">
        <v>-2.2200000000000001E-2</v>
      </c>
      <c r="H91">
        <f t="shared" si="2"/>
        <v>-2.2189781021897753E-2</v>
      </c>
      <c r="I91">
        <f t="shared" si="3"/>
        <v>-2.2439677902120991E-2</v>
      </c>
    </row>
    <row r="92" spans="1:19" x14ac:dyDescent="0.75">
      <c r="A92" s="1">
        <v>45540</v>
      </c>
      <c r="B92">
        <v>68.5</v>
      </c>
      <c r="C92">
        <v>68.52</v>
      </c>
      <c r="D92">
        <v>70.010000000000005</v>
      </c>
      <c r="E92">
        <v>68.13</v>
      </c>
      <c r="F92" t="s">
        <v>97</v>
      </c>
      <c r="G92" s="2">
        <v>-2.9999999999999997E-4</v>
      </c>
      <c r="H92">
        <f t="shared" si="2"/>
        <v>-2.9188558085224784E-4</v>
      </c>
      <c r="I92">
        <f t="shared" si="3"/>
        <v>-2.9192818773949404E-4</v>
      </c>
    </row>
    <row r="93" spans="1:19" x14ac:dyDescent="0.75">
      <c r="A93" s="1">
        <v>45539</v>
      </c>
      <c r="B93">
        <v>68.52</v>
      </c>
      <c r="C93">
        <v>69.540000000000006</v>
      </c>
      <c r="D93">
        <v>70.61</v>
      </c>
      <c r="E93">
        <v>68.16</v>
      </c>
      <c r="F93" t="s">
        <v>98</v>
      </c>
      <c r="G93" s="2">
        <v>-1.54E-2</v>
      </c>
      <c r="H93">
        <f t="shared" si="2"/>
        <v>-1.5375772381089342E-2</v>
      </c>
      <c r="I93">
        <f t="shared" si="3"/>
        <v>-1.5495205400839627E-2</v>
      </c>
    </row>
    <row r="94" spans="1:19" x14ac:dyDescent="0.75">
      <c r="A94" s="1">
        <v>45538</v>
      </c>
      <c r="B94">
        <v>69.59</v>
      </c>
      <c r="C94">
        <v>72.64</v>
      </c>
      <c r="D94">
        <v>73.349999999999994</v>
      </c>
      <c r="E94">
        <v>69.37</v>
      </c>
      <c r="F94" t="s">
        <v>99</v>
      </c>
      <c r="G94" s="2">
        <v>-5.6800000000000003E-2</v>
      </c>
      <c r="H94">
        <f t="shared" si="2"/>
        <v>-5.6790458118731332E-2</v>
      </c>
      <c r="I94">
        <f t="shared" si="3"/>
        <v>-5.846681331177081E-2</v>
      </c>
    </row>
    <row r="95" spans="1:19" x14ac:dyDescent="0.75">
      <c r="A95" s="1">
        <v>45537</v>
      </c>
      <c r="B95">
        <v>73.78</v>
      </c>
      <c r="C95">
        <v>73</v>
      </c>
      <c r="D95">
        <v>74.39</v>
      </c>
      <c r="E95">
        <v>72.89</v>
      </c>
      <c r="G95" s="2">
        <v>1.0999999999999999E-2</v>
      </c>
      <c r="H95">
        <f t="shared" si="2"/>
        <v>1.0961907371882669E-2</v>
      </c>
      <c r="I95">
        <f t="shared" si="3"/>
        <v>1.0902261160228022E-2</v>
      </c>
    </row>
    <row r="96" spans="1:19" x14ac:dyDescent="0.75">
      <c r="A96" s="1">
        <v>45536</v>
      </c>
      <c r="B96">
        <v>72.98</v>
      </c>
      <c r="C96">
        <v>73.33</v>
      </c>
      <c r="D96">
        <v>73.42</v>
      </c>
      <c r="E96">
        <v>72.97</v>
      </c>
      <c r="G96" s="2">
        <v>4.4999999999999997E-3</v>
      </c>
      <c r="H96">
        <f t="shared" si="2"/>
        <v>4.5423262216104376E-3</v>
      </c>
      <c r="I96">
        <f t="shared" si="3"/>
        <v>4.53204099200965E-3</v>
      </c>
    </row>
    <row r="97" spans="1:9" x14ac:dyDescent="0.75">
      <c r="A97" s="1">
        <v>45534</v>
      </c>
      <c r="B97">
        <v>72.650000000000006</v>
      </c>
      <c r="C97">
        <v>74.69</v>
      </c>
      <c r="D97">
        <v>75.31</v>
      </c>
      <c r="E97">
        <v>72.459999999999994</v>
      </c>
      <c r="F97" t="s">
        <v>100</v>
      </c>
      <c r="G97" s="2">
        <v>-2.7099999999999999E-2</v>
      </c>
      <c r="H97">
        <f t="shared" si="2"/>
        <v>-2.7052363733761832E-2</v>
      </c>
      <c r="I97">
        <f t="shared" si="3"/>
        <v>-2.7425015031318382E-2</v>
      </c>
    </row>
    <row r="98" spans="1:9" x14ac:dyDescent="0.75">
      <c r="A98" s="1">
        <v>45533</v>
      </c>
      <c r="B98">
        <v>74.67</v>
      </c>
      <c r="C98">
        <v>73.31</v>
      </c>
      <c r="D98">
        <v>75.510000000000005</v>
      </c>
      <c r="E98">
        <v>72.92</v>
      </c>
      <c r="F98" t="s">
        <v>101</v>
      </c>
      <c r="G98" s="2">
        <v>1.67E-2</v>
      </c>
      <c r="H98">
        <f t="shared" si="2"/>
        <v>1.674836601307195E-2</v>
      </c>
      <c r="I98">
        <f t="shared" si="3"/>
        <v>1.6609658735375465E-2</v>
      </c>
    </row>
    <row r="99" spans="1:9" x14ac:dyDescent="0.75">
      <c r="A99" s="1">
        <v>45532</v>
      </c>
      <c r="B99">
        <v>73.44</v>
      </c>
      <c r="C99">
        <v>74.709999999999994</v>
      </c>
      <c r="D99">
        <v>74.88</v>
      </c>
      <c r="E99">
        <v>72.92</v>
      </c>
      <c r="F99" t="s">
        <v>102</v>
      </c>
      <c r="G99" s="2">
        <v>-1.37E-2</v>
      </c>
      <c r="H99">
        <f t="shared" si="2"/>
        <v>-1.3698630136986249E-2</v>
      </c>
      <c r="I99">
        <f t="shared" si="3"/>
        <v>-1.3793322132335761E-2</v>
      </c>
    </row>
    <row r="100" spans="1:9" x14ac:dyDescent="0.75">
      <c r="A100" s="1">
        <v>45531</v>
      </c>
      <c r="B100">
        <v>74.459999999999994</v>
      </c>
      <c r="C100">
        <v>75.930000000000007</v>
      </c>
      <c r="D100">
        <v>76.209999999999994</v>
      </c>
      <c r="E100">
        <v>74.34</v>
      </c>
      <c r="F100" t="s">
        <v>103</v>
      </c>
      <c r="G100" s="2">
        <v>-2.24E-2</v>
      </c>
      <c r="H100">
        <f t="shared" si="2"/>
        <v>-2.2449783379283286E-2</v>
      </c>
      <c r="I100">
        <f t="shared" si="3"/>
        <v>-2.270561594012601E-2</v>
      </c>
    </row>
    <row r="101" spans="1:9" x14ac:dyDescent="0.75">
      <c r="A101" s="1">
        <v>45530</v>
      </c>
      <c r="B101">
        <v>76.17</v>
      </c>
      <c r="C101">
        <v>74.13</v>
      </c>
      <c r="D101">
        <v>76.400000000000006</v>
      </c>
      <c r="E101">
        <v>74.08</v>
      </c>
      <c r="F101" t="s">
        <v>104</v>
      </c>
      <c r="G101" s="2">
        <v>3.0300000000000001E-2</v>
      </c>
      <c r="H101">
        <f t="shared" si="2"/>
        <v>3.029893142161497E-2</v>
      </c>
      <c r="I101">
        <f t="shared" si="3"/>
        <v>2.9848984815687922E-2</v>
      </c>
    </row>
    <row r="102" spans="1:9" x14ac:dyDescent="0.75">
      <c r="A102" s="1">
        <v>45527</v>
      </c>
      <c r="B102">
        <v>73.930000000000007</v>
      </c>
      <c r="C102">
        <v>72.209999999999994</v>
      </c>
      <c r="D102">
        <v>74.17</v>
      </c>
      <c r="E102">
        <v>72.12</v>
      </c>
      <c r="F102" t="s">
        <v>105</v>
      </c>
      <c r="G102" s="2">
        <v>2.2800000000000001E-2</v>
      </c>
      <c r="H102">
        <f t="shared" si="2"/>
        <v>2.2827891532927583E-2</v>
      </c>
      <c r="I102">
        <f t="shared" si="3"/>
        <v>2.2571233844981067E-2</v>
      </c>
    </row>
    <row r="103" spans="1:9" x14ac:dyDescent="0.75">
      <c r="A103" s="1">
        <v>45526</v>
      </c>
      <c r="B103">
        <v>72.28</v>
      </c>
      <c r="C103">
        <v>71.36</v>
      </c>
      <c r="D103">
        <v>72.77</v>
      </c>
      <c r="E103">
        <v>71</v>
      </c>
      <c r="F103" t="s">
        <v>106</v>
      </c>
      <c r="G103" s="2">
        <v>1.37E-2</v>
      </c>
      <c r="H103">
        <f t="shared" si="2"/>
        <v>1.3744740532959383E-2</v>
      </c>
      <c r="I103">
        <f t="shared" si="3"/>
        <v>1.365113830377754E-2</v>
      </c>
    </row>
    <row r="104" spans="1:9" x14ac:dyDescent="0.75">
      <c r="A104" s="1">
        <v>45525</v>
      </c>
      <c r="B104">
        <v>71.3</v>
      </c>
      <c r="C104">
        <v>72.42</v>
      </c>
      <c r="D104">
        <v>73.39</v>
      </c>
      <c r="E104">
        <v>70.88</v>
      </c>
      <c r="F104" t="s">
        <v>107</v>
      </c>
      <c r="G104" s="2">
        <v>-2.5600000000000001E-2</v>
      </c>
      <c r="H104">
        <f t="shared" si="2"/>
        <v>-2.5556922235889089E-2</v>
      </c>
      <c r="I104">
        <f t="shared" si="3"/>
        <v>-2.5889173475688455E-2</v>
      </c>
    </row>
    <row r="105" spans="1:9" x14ac:dyDescent="0.75">
      <c r="A105" s="1">
        <v>45524</v>
      </c>
      <c r="B105">
        <v>73.17</v>
      </c>
      <c r="C105">
        <v>73.739999999999995</v>
      </c>
      <c r="D105">
        <v>74.38</v>
      </c>
      <c r="E105">
        <v>72.540000000000006</v>
      </c>
      <c r="F105" t="s">
        <v>108</v>
      </c>
      <c r="G105" s="2">
        <v>-6.7000000000000002E-3</v>
      </c>
      <c r="H105">
        <f t="shared" si="2"/>
        <v>-6.6521857181644703E-3</v>
      </c>
      <c r="I105">
        <f t="shared" si="3"/>
        <v>-6.6744101209806001E-3</v>
      </c>
    </row>
    <row r="106" spans="1:9" x14ac:dyDescent="0.75">
      <c r="A106" s="1">
        <v>45523</v>
      </c>
      <c r="B106">
        <v>73.66</v>
      </c>
      <c r="C106">
        <v>75.47</v>
      </c>
      <c r="D106">
        <v>75.73</v>
      </c>
      <c r="E106">
        <v>73.45</v>
      </c>
      <c r="F106" t="s">
        <v>109</v>
      </c>
      <c r="G106" s="2">
        <v>-2.4899999999999999E-2</v>
      </c>
      <c r="H106">
        <f t="shared" si="2"/>
        <v>-2.488747683346584E-2</v>
      </c>
      <c r="I106">
        <f t="shared" si="3"/>
        <v>-2.5202406267391661E-2</v>
      </c>
    </row>
    <row r="107" spans="1:9" x14ac:dyDescent="0.75">
      <c r="A107" s="1">
        <v>45520</v>
      </c>
      <c r="B107">
        <v>75.540000000000006</v>
      </c>
      <c r="C107">
        <v>76.81</v>
      </c>
      <c r="D107">
        <v>76.98</v>
      </c>
      <c r="E107">
        <v>74.52</v>
      </c>
      <c r="F107" t="s">
        <v>110</v>
      </c>
      <c r="G107" s="2">
        <v>-1.8800000000000001E-2</v>
      </c>
      <c r="H107">
        <f t="shared" si="2"/>
        <v>-1.8833614755162861E-2</v>
      </c>
      <c r="I107">
        <f t="shared" si="3"/>
        <v>-1.9013226005647258E-2</v>
      </c>
    </row>
    <row r="108" spans="1:9" x14ac:dyDescent="0.75">
      <c r="A108" s="1">
        <v>45519</v>
      </c>
      <c r="B108">
        <v>76.989999999999995</v>
      </c>
      <c r="C108">
        <v>76.069999999999993</v>
      </c>
      <c r="D108">
        <v>77.38</v>
      </c>
      <c r="E108">
        <v>75.7</v>
      </c>
      <c r="F108" t="s">
        <v>111</v>
      </c>
      <c r="G108" s="2">
        <v>1.52E-2</v>
      </c>
      <c r="H108">
        <f t="shared" si="2"/>
        <v>1.5163502109704529E-2</v>
      </c>
      <c r="I108">
        <f t="shared" si="3"/>
        <v>1.5049685343191706E-2</v>
      </c>
    </row>
    <row r="109" spans="1:9" x14ac:dyDescent="0.75">
      <c r="A109" s="1">
        <v>45518</v>
      </c>
      <c r="B109">
        <v>75.84</v>
      </c>
      <c r="C109">
        <v>77.099999999999994</v>
      </c>
      <c r="D109">
        <v>77.52</v>
      </c>
      <c r="E109">
        <v>75.66</v>
      </c>
      <c r="F109" t="s">
        <v>112</v>
      </c>
      <c r="G109" s="2">
        <v>-1.2500000000000001E-2</v>
      </c>
      <c r="H109">
        <f t="shared" si="2"/>
        <v>-1.2499999999999919E-2</v>
      </c>
      <c r="I109">
        <f t="shared" si="3"/>
        <v>-1.2578782206860073E-2</v>
      </c>
    </row>
    <row r="110" spans="1:9" x14ac:dyDescent="0.75">
      <c r="A110" s="1">
        <v>45517</v>
      </c>
      <c r="B110">
        <v>76.8</v>
      </c>
      <c r="C110">
        <v>78.09</v>
      </c>
      <c r="D110">
        <v>78.430000000000007</v>
      </c>
      <c r="E110">
        <v>76.650000000000006</v>
      </c>
      <c r="F110" t="s">
        <v>113</v>
      </c>
      <c r="G110" s="2">
        <v>-2.12E-2</v>
      </c>
      <c r="H110">
        <f t="shared" si="2"/>
        <v>-2.1157277593678265E-2</v>
      </c>
      <c r="I110">
        <f t="shared" si="3"/>
        <v>-2.1384300627779962E-2</v>
      </c>
    </row>
    <row r="111" spans="1:9" x14ac:dyDescent="0.75">
      <c r="A111" s="1">
        <v>45516</v>
      </c>
      <c r="B111">
        <v>78.459999999999994</v>
      </c>
      <c r="C111">
        <v>75.62</v>
      </c>
      <c r="D111">
        <v>78.540000000000006</v>
      </c>
      <c r="E111">
        <v>75.44</v>
      </c>
      <c r="F111" t="s">
        <v>114</v>
      </c>
      <c r="G111" s="2">
        <v>3.7699999999999997E-2</v>
      </c>
      <c r="H111">
        <f t="shared" si="2"/>
        <v>3.7693426795397361E-2</v>
      </c>
      <c r="I111">
        <f t="shared" si="3"/>
        <v>3.7000391211227994E-2</v>
      </c>
    </row>
    <row r="112" spans="1:9" x14ac:dyDescent="0.75">
      <c r="A112" s="1">
        <v>45513</v>
      </c>
      <c r="B112">
        <v>75.61</v>
      </c>
      <c r="C112">
        <v>74.86</v>
      </c>
      <c r="D112">
        <v>75.790000000000006</v>
      </c>
      <c r="E112">
        <v>74.7</v>
      </c>
      <c r="F112" t="s">
        <v>115</v>
      </c>
      <c r="G112" s="2">
        <v>7.6E-3</v>
      </c>
      <c r="H112">
        <f t="shared" si="2"/>
        <v>7.5959488272920195E-3</v>
      </c>
      <c r="I112">
        <f t="shared" si="3"/>
        <v>7.567244872209263E-3</v>
      </c>
    </row>
    <row r="113" spans="1:9" x14ac:dyDescent="0.75">
      <c r="A113" s="1">
        <v>45512</v>
      </c>
      <c r="B113">
        <v>75.040000000000006</v>
      </c>
      <c r="C113">
        <v>74.37</v>
      </c>
      <c r="D113">
        <v>75.27</v>
      </c>
      <c r="E113">
        <v>73.53</v>
      </c>
      <c r="F113" t="s">
        <v>116</v>
      </c>
      <c r="G113" s="2">
        <v>1.17E-2</v>
      </c>
      <c r="H113">
        <f t="shared" si="2"/>
        <v>1.1729809896184502E-2</v>
      </c>
      <c r="I113">
        <f t="shared" si="3"/>
        <v>1.1661548949502529E-2</v>
      </c>
    </row>
    <row r="114" spans="1:9" x14ac:dyDescent="0.75">
      <c r="A114" s="1">
        <v>45511</v>
      </c>
      <c r="B114">
        <v>74.17</v>
      </c>
      <c r="C114">
        <v>72</v>
      </c>
      <c r="D114">
        <v>74.73</v>
      </c>
      <c r="E114">
        <v>71.75</v>
      </c>
      <c r="F114" t="s">
        <v>117</v>
      </c>
      <c r="G114" s="2">
        <v>2.53E-2</v>
      </c>
      <c r="H114">
        <f t="shared" si="2"/>
        <v>2.5297207630633096E-2</v>
      </c>
      <c r="I114">
        <f t="shared" si="3"/>
        <v>2.498252922451473E-2</v>
      </c>
    </row>
    <row r="115" spans="1:9" x14ac:dyDescent="0.75">
      <c r="A115" s="1">
        <v>45510</v>
      </c>
      <c r="B115">
        <v>72.34</v>
      </c>
      <c r="C115">
        <v>73.14</v>
      </c>
      <c r="D115">
        <v>73.77</v>
      </c>
      <c r="E115">
        <v>71.459999999999994</v>
      </c>
      <c r="F115" t="s">
        <v>118</v>
      </c>
      <c r="G115" s="2">
        <v>1.9E-3</v>
      </c>
      <c r="H115">
        <f t="shared" si="2"/>
        <v>1.9390581717451602E-3</v>
      </c>
      <c r="I115">
        <f t="shared" si="3"/>
        <v>1.9371806251713025E-3</v>
      </c>
    </row>
    <row r="116" spans="1:9" x14ac:dyDescent="0.75">
      <c r="A116" s="1">
        <v>45509</v>
      </c>
      <c r="B116">
        <v>72.2</v>
      </c>
      <c r="C116">
        <v>73.260000000000005</v>
      </c>
      <c r="D116">
        <v>73.53</v>
      </c>
      <c r="E116">
        <v>70.88</v>
      </c>
      <c r="F116" t="s">
        <v>119</v>
      </c>
      <c r="G116" s="2">
        <v>-5.4000000000000003E-3</v>
      </c>
      <c r="H116">
        <f t="shared" si="2"/>
        <v>-5.3726408596225447E-3</v>
      </c>
      <c r="I116">
        <f t="shared" si="3"/>
        <v>-5.387125397968707E-3</v>
      </c>
    </row>
    <row r="117" spans="1:9" x14ac:dyDescent="0.75">
      <c r="A117" s="1">
        <v>45506</v>
      </c>
      <c r="B117">
        <v>72.59</v>
      </c>
      <c r="C117">
        <v>75.89</v>
      </c>
      <c r="D117">
        <v>76.3</v>
      </c>
      <c r="E117">
        <v>72.12</v>
      </c>
      <c r="F117" t="s">
        <v>120</v>
      </c>
      <c r="G117" s="2">
        <v>-3.73E-2</v>
      </c>
      <c r="H117">
        <f t="shared" si="2"/>
        <v>-3.7267904509283849E-2</v>
      </c>
      <c r="I117">
        <f t="shared" si="3"/>
        <v>-3.7980103717161158E-2</v>
      </c>
    </row>
    <row r="118" spans="1:9" x14ac:dyDescent="0.75">
      <c r="A118" s="1">
        <v>45505</v>
      </c>
      <c r="B118">
        <v>75.400000000000006</v>
      </c>
      <c r="C118">
        <v>77.47</v>
      </c>
      <c r="D118">
        <v>77.72</v>
      </c>
      <c r="E118">
        <v>75.319999999999993</v>
      </c>
      <c r="F118" t="s">
        <v>121</v>
      </c>
      <c r="G118" s="2">
        <v>-1.8700000000000001E-2</v>
      </c>
      <c r="H118">
        <f t="shared" si="2"/>
        <v>-1.8740239458615273E-2</v>
      </c>
      <c r="I118">
        <f t="shared" si="3"/>
        <v>-1.8918062886445455E-2</v>
      </c>
    </row>
    <row r="119" spans="1:9" x14ac:dyDescent="0.75">
      <c r="A119" s="1">
        <v>45504</v>
      </c>
      <c r="B119">
        <v>76.84</v>
      </c>
      <c r="C119">
        <v>74.37</v>
      </c>
      <c r="D119">
        <v>77.540000000000006</v>
      </c>
      <c r="E119">
        <v>74.27</v>
      </c>
      <c r="F119" t="s">
        <v>122</v>
      </c>
      <c r="G119" s="2">
        <v>4.0099999999999997E-2</v>
      </c>
      <c r="H119">
        <f t="shared" si="2"/>
        <v>4.0064970221981702E-2</v>
      </c>
      <c r="I119">
        <f t="shared" si="3"/>
        <v>3.9283182569316837E-2</v>
      </c>
    </row>
    <row r="120" spans="1:9" x14ac:dyDescent="0.75">
      <c r="A120" s="1">
        <v>45503</v>
      </c>
      <c r="B120">
        <v>73.88</v>
      </c>
      <c r="C120">
        <v>74.87</v>
      </c>
      <c r="D120">
        <v>74.92</v>
      </c>
      <c r="E120">
        <v>73.73</v>
      </c>
      <c r="F120" t="s">
        <v>123</v>
      </c>
      <c r="G120" s="2">
        <v>-1.23E-2</v>
      </c>
      <c r="H120">
        <f t="shared" si="2"/>
        <v>-1.2299465240641735E-2</v>
      </c>
      <c r="I120">
        <f t="shared" si="3"/>
        <v>-1.2375729649392373E-2</v>
      </c>
    </row>
    <row r="121" spans="1:9" x14ac:dyDescent="0.75">
      <c r="A121" s="1">
        <v>45502</v>
      </c>
      <c r="B121">
        <v>74.8</v>
      </c>
      <c r="C121">
        <v>76.02</v>
      </c>
      <c r="D121">
        <v>76.52</v>
      </c>
      <c r="E121">
        <v>74.34</v>
      </c>
      <c r="F121" t="s">
        <v>124</v>
      </c>
      <c r="G121" s="2">
        <v>-1.5800000000000002E-2</v>
      </c>
      <c r="H121">
        <f t="shared" si="2"/>
        <v>-1.5789473684210565E-2</v>
      </c>
      <c r="I121">
        <f t="shared" si="3"/>
        <v>-1.5915455305899568E-2</v>
      </c>
    </row>
    <row r="122" spans="1:9" x14ac:dyDescent="0.75">
      <c r="A122" s="1">
        <v>45499</v>
      </c>
      <c r="B122">
        <v>76</v>
      </c>
      <c r="C122">
        <v>77.180000000000007</v>
      </c>
      <c r="D122">
        <v>77.41</v>
      </c>
      <c r="E122">
        <v>75.08</v>
      </c>
      <c r="F122" t="s">
        <v>125</v>
      </c>
      <c r="G122" s="2">
        <v>-1.44E-2</v>
      </c>
      <c r="H122">
        <f t="shared" si="2"/>
        <v>-1.4395020101154189E-2</v>
      </c>
      <c r="I122">
        <f t="shared" si="3"/>
        <v>-1.4499633558538226E-2</v>
      </c>
    </row>
    <row r="123" spans="1:9" x14ac:dyDescent="0.75">
      <c r="A123" s="1">
        <v>45498</v>
      </c>
      <c r="B123">
        <v>77.11</v>
      </c>
      <c r="C123">
        <v>76.430000000000007</v>
      </c>
      <c r="D123">
        <v>77.28</v>
      </c>
      <c r="E123">
        <v>75.05</v>
      </c>
      <c r="F123" t="s">
        <v>126</v>
      </c>
      <c r="G123" s="2">
        <v>6.8999999999999999E-3</v>
      </c>
      <c r="H123">
        <f t="shared" si="2"/>
        <v>6.9208670671193672E-3</v>
      </c>
      <c r="I123">
        <f t="shared" si="3"/>
        <v>6.8970277957209353E-3</v>
      </c>
    </row>
    <row r="124" spans="1:9" x14ac:dyDescent="0.75">
      <c r="A124" s="1">
        <v>45497</v>
      </c>
      <c r="B124">
        <v>76.58</v>
      </c>
      <c r="C124">
        <v>76.349999999999994</v>
      </c>
      <c r="D124">
        <v>77.08</v>
      </c>
      <c r="E124">
        <v>75.930000000000007</v>
      </c>
      <c r="F124" t="s">
        <v>127</v>
      </c>
      <c r="G124" s="2">
        <v>8.6999999999999994E-3</v>
      </c>
      <c r="H124">
        <f t="shared" si="2"/>
        <v>8.693361433087415E-3</v>
      </c>
      <c r="I124">
        <f t="shared" si="3"/>
        <v>8.6557917474760875E-3</v>
      </c>
    </row>
    <row r="125" spans="1:9" x14ac:dyDescent="0.75">
      <c r="A125" s="1">
        <v>45496</v>
      </c>
      <c r="B125">
        <v>75.92</v>
      </c>
      <c r="C125">
        <v>77.150000000000006</v>
      </c>
      <c r="D125">
        <v>77.63</v>
      </c>
      <c r="E125">
        <v>75.45</v>
      </c>
      <c r="F125" t="s">
        <v>128</v>
      </c>
      <c r="G125" s="2">
        <v>-3.1600000000000003E-2</v>
      </c>
      <c r="H125">
        <f t="shared" si="2"/>
        <v>-3.1632653061224536E-2</v>
      </c>
      <c r="I125">
        <f t="shared" si="3"/>
        <v>-3.2143773054689788E-2</v>
      </c>
    </row>
    <row r="126" spans="1:9" x14ac:dyDescent="0.75">
      <c r="A126" s="1">
        <v>45495</v>
      </c>
      <c r="B126">
        <v>78.400000000000006</v>
      </c>
      <c r="C126">
        <v>78.95</v>
      </c>
      <c r="D126">
        <v>79.13</v>
      </c>
      <c r="E126">
        <v>77.55</v>
      </c>
      <c r="F126" t="s">
        <v>129</v>
      </c>
      <c r="G126" s="2">
        <v>-3.0999999999999999E-3</v>
      </c>
      <c r="H126">
        <f t="shared" si="2"/>
        <v>-3.0518819938961709E-3</v>
      </c>
      <c r="I126">
        <f t="shared" si="3"/>
        <v>-3.0565484825488781E-3</v>
      </c>
    </row>
    <row r="127" spans="1:9" x14ac:dyDescent="0.75">
      <c r="A127" s="1">
        <v>45492</v>
      </c>
      <c r="B127">
        <v>78.64</v>
      </c>
      <c r="C127">
        <v>80.88</v>
      </c>
      <c r="D127">
        <v>81.34</v>
      </c>
      <c r="E127">
        <v>78.59</v>
      </c>
      <c r="F127" t="s">
        <v>130</v>
      </c>
      <c r="G127" s="2">
        <v>-3.27E-2</v>
      </c>
      <c r="H127">
        <f t="shared" si="2"/>
        <v>-3.2718327183271792E-2</v>
      </c>
      <c r="I127">
        <f t="shared" si="3"/>
        <v>-3.3265540714853797E-2</v>
      </c>
    </row>
    <row r="128" spans="1:9" x14ac:dyDescent="0.75">
      <c r="A128" s="1">
        <v>45491</v>
      </c>
      <c r="B128">
        <v>81.3</v>
      </c>
      <c r="C128">
        <v>81.680000000000007</v>
      </c>
      <c r="D128">
        <v>82.27</v>
      </c>
      <c r="E128">
        <v>80.61</v>
      </c>
      <c r="F128" t="s">
        <v>131</v>
      </c>
      <c r="G128" s="2">
        <v>-1.6999999999999999E-3</v>
      </c>
      <c r="H128">
        <f t="shared" si="2"/>
        <v>-1.7190569744597319E-3</v>
      </c>
      <c r="I128">
        <f t="shared" si="3"/>
        <v>-1.7205362484477118E-3</v>
      </c>
    </row>
    <row r="129" spans="1:9" x14ac:dyDescent="0.75">
      <c r="A129" s="1">
        <v>45490</v>
      </c>
      <c r="B129">
        <v>81.44</v>
      </c>
      <c r="C129">
        <v>79.819999999999993</v>
      </c>
      <c r="D129">
        <v>81.63</v>
      </c>
      <c r="E129">
        <v>79.430000000000007</v>
      </c>
      <c r="F129" t="s">
        <v>132</v>
      </c>
      <c r="G129" s="2">
        <v>2.1700000000000001E-2</v>
      </c>
      <c r="H129">
        <f t="shared" si="2"/>
        <v>2.1703675824865189E-2</v>
      </c>
      <c r="I129">
        <f t="shared" si="3"/>
        <v>2.1471504362380857E-2</v>
      </c>
    </row>
    <row r="130" spans="1:9" x14ac:dyDescent="0.75">
      <c r="A130" s="1">
        <v>45489</v>
      </c>
      <c r="B130">
        <v>79.709999999999994</v>
      </c>
      <c r="C130">
        <v>80.849999999999994</v>
      </c>
      <c r="D130">
        <v>80.87</v>
      </c>
      <c r="E130">
        <v>79.22</v>
      </c>
      <c r="F130" t="s">
        <v>133</v>
      </c>
      <c r="G130" s="2">
        <v>-1.4E-2</v>
      </c>
      <c r="H130">
        <f t="shared" si="2"/>
        <v>-1.3978228599703236E-2</v>
      </c>
      <c r="I130">
        <f t="shared" si="3"/>
        <v>-1.407684409558853E-2</v>
      </c>
    </row>
    <row r="131" spans="1:9" x14ac:dyDescent="0.75">
      <c r="A131" s="1">
        <v>45488</v>
      </c>
      <c r="B131">
        <v>80.84</v>
      </c>
      <c r="C131">
        <v>80.959999999999994</v>
      </c>
      <c r="D131">
        <v>81.349999999999994</v>
      </c>
      <c r="E131">
        <v>80.36</v>
      </c>
      <c r="F131" t="s">
        <v>134</v>
      </c>
      <c r="G131" s="2">
        <v>-2.2000000000000001E-3</v>
      </c>
      <c r="H131">
        <f t="shared" ref="H131:H194" si="4">(B131-B132)/B132</f>
        <v>-2.2216736608243965E-3</v>
      </c>
      <c r="I131">
        <f t="shared" ref="I131:I194" si="5">LN(B131/B132)</f>
        <v>-2.2241452391241244E-3</v>
      </c>
    </row>
    <row r="132" spans="1:9" x14ac:dyDescent="0.75">
      <c r="A132" s="1">
        <v>45485</v>
      </c>
      <c r="B132">
        <v>81.02</v>
      </c>
      <c r="C132">
        <v>81.55</v>
      </c>
      <c r="D132">
        <v>82.29</v>
      </c>
      <c r="E132">
        <v>80.91</v>
      </c>
      <c r="F132" t="s">
        <v>135</v>
      </c>
      <c r="G132" s="2">
        <v>-4.4000000000000003E-3</v>
      </c>
      <c r="H132">
        <f t="shared" si="4"/>
        <v>-4.423691324649784E-3</v>
      </c>
      <c r="I132">
        <f t="shared" si="5"/>
        <v>-4.4335047989994191E-3</v>
      </c>
    </row>
    <row r="133" spans="1:9" x14ac:dyDescent="0.75">
      <c r="A133" s="1">
        <v>45484</v>
      </c>
      <c r="B133">
        <v>81.38</v>
      </c>
      <c r="C133">
        <v>81.349999999999994</v>
      </c>
      <c r="D133">
        <v>81.83</v>
      </c>
      <c r="E133">
        <v>80.599999999999994</v>
      </c>
      <c r="F133" t="s">
        <v>136</v>
      </c>
      <c r="G133" s="2">
        <v>3.8E-3</v>
      </c>
      <c r="H133">
        <f t="shared" si="4"/>
        <v>3.8238559269767151E-3</v>
      </c>
      <c r="I133">
        <f t="shared" si="5"/>
        <v>3.8165635739281873E-3</v>
      </c>
    </row>
    <row r="134" spans="1:9" x14ac:dyDescent="0.75">
      <c r="A134" s="1">
        <v>45483</v>
      </c>
      <c r="B134">
        <v>81.069999999999993</v>
      </c>
      <c r="C134">
        <v>80.92</v>
      </c>
      <c r="D134">
        <v>81.599999999999994</v>
      </c>
      <c r="E134">
        <v>79.95</v>
      </c>
      <c r="F134" t="s">
        <v>137</v>
      </c>
      <c r="G134" s="2">
        <v>6.3E-3</v>
      </c>
      <c r="H134">
        <f t="shared" si="4"/>
        <v>6.3306852035748618E-3</v>
      </c>
      <c r="I134">
        <f t="shared" si="5"/>
        <v>6.3107305893088878E-3</v>
      </c>
    </row>
    <row r="135" spans="1:9" x14ac:dyDescent="0.75">
      <c r="A135" s="1">
        <v>45482</v>
      </c>
      <c r="B135">
        <v>80.56</v>
      </c>
      <c r="C135">
        <v>81.45</v>
      </c>
      <c r="D135">
        <v>81.650000000000006</v>
      </c>
      <c r="E135">
        <v>80.42</v>
      </c>
      <c r="F135" t="s">
        <v>138</v>
      </c>
      <c r="G135" s="2">
        <v>-1.18E-2</v>
      </c>
      <c r="H135">
        <f t="shared" si="4"/>
        <v>-1.177625122669276E-2</v>
      </c>
      <c r="I135">
        <f t="shared" si="5"/>
        <v>-1.1846140504162474E-2</v>
      </c>
    </row>
    <row r="136" spans="1:9" x14ac:dyDescent="0.75">
      <c r="A136" s="1">
        <v>45481</v>
      </c>
      <c r="B136">
        <v>81.52</v>
      </c>
      <c r="C136">
        <v>82.36</v>
      </c>
      <c r="D136">
        <v>82.5</v>
      </c>
      <c r="E136">
        <v>81.290000000000006</v>
      </c>
      <c r="F136" t="s">
        <v>139</v>
      </c>
      <c r="G136" s="2">
        <v>-8.9999999999999993E-3</v>
      </c>
      <c r="H136">
        <f t="shared" si="4"/>
        <v>-8.9958667639193895E-3</v>
      </c>
      <c r="I136">
        <f t="shared" si="5"/>
        <v>-9.0365738878087614E-3</v>
      </c>
    </row>
    <row r="137" spans="1:9" x14ac:dyDescent="0.75">
      <c r="A137" s="1">
        <v>45478</v>
      </c>
      <c r="B137">
        <v>82.26</v>
      </c>
      <c r="C137">
        <v>82.75</v>
      </c>
      <c r="D137">
        <v>83.58</v>
      </c>
      <c r="E137">
        <v>82.19</v>
      </c>
      <c r="F137" t="s">
        <v>140</v>
      </c>
      <c r="G137" s="2">
        <v>-0.02</v>
      </c>
      <c r="H137">
        <f t="shared" si="4"/>
        <v>-2.0014295925661098E-2</v>
      </c>
      <c r="I137">
        <f t="shared" si="5"/>
        <v>-2.0217295103166659E-2</v>
      </c>
    </row>
    <row r="138" spans="1:9" x14ac:dyDescent="0.75">
      <c r="A138" s="1">
        <v>45477</v>
      </c>
      <c r="B138">
        <v>83.94</v>
      </c>
      <c r="C138">
        <v>83.61</v>
      </c>
      <c r="D138">
        <v>84.2</v>
      </c>
      <c r="E138">
        <v>83.03</v>
      </c>
      <c r="G138" s="2">
        <v>1.11E-2</v>
      </c>
      <c r="H138">
        <f t="shared" si="4"/>
        <v>1.1081667068176364E-2</v>
      </c>
      <c r="I138">
        <f t="shared" si="5"/>
        <v>1.1020715280552136E-2</v>
      </c>
    </row>
    <row r="139" spans="1:9" x14ac:dyDescent="0.75">
      <c r="A139" s="1">
        <v>45476</v>
      </c>
      <c r="B139">
        <v>83.02</v>
      </c>
      <c r="C139">
        <v>82.25</v>
      </c>
      <c r="D139">
        <v>83.07</v>
      </c>
      <c r="E139">
        <v>81.59</v>
      </c>
      <c r="F139" t="s">
        <v>141</v>
      </c>
      <c r="G139" s="2">
        <v>1.3599999999999999E-2</v>
      </c>
      <c r="H139">
        <f t="shared" si="4"/>
        <v>1.3551458918324984E-2</v>
      </c>
      <c r="I139">
        <f t="shared" si="5"/>
        <v>1.3460459097382024E-2</v>
      </c>
    </row>
    <row r="140" spans="1:9" x14ac:dyDescent="0.75">
      <c r="A140" s="1">
        <v>45475</v>
      </c>
      <c r="B140">
        <v>81.91</v>
      </c>
      <c r="C140">
        <v>82.39</v>
      </c>
      <c r="D140">
        <v>83.22</v>
      </c>
      <c r="E140">
        <v>81.83</v>
      </c>
      <c r="F140" t="s">
        <v>142</v>
      </c>
      <c r="G140" s="2">
        <v>-5.0000000000000001E-3</v>
      </c>
      <c r="H140">
        <f t="shared" si="4"/>
        <v>-4.9805636540330009E-3</v>
      </c>
      <c r="I140">
        <f t="shared" si="5"/>
        <v>-4.993007998283441E-3</v>
      </c>
    </row>
    <row r="141" spans="1:9" x14ac:dyDescent="0.75">
      <c r="A141" s="1">
        <v>45474</v>
      </c>
      <c r="B141">
        <v>82.32</v>
      </c>
      <c r="C141">
        <v>80.56</v>
      </c>
      <c r="D141">
        <v>82.58</v>
      </c>
      <c r="E141">
        <v>80.489999999999995</v>
      </c>
      <c r="F141" t="s">
        <v>143</v>
      </c>
      <c r="G141" s="2">
        <v>2.0799999999999999E-2</v>
      </c>
      <c r="H141">
        <f t="shared" si="4"/>
        <v>2.0833333333333242E-2</v>
      </c>
      <c r="I141">
        <f t="shared" si="5"/>
        <v>2.061928720273561E-2</v>
      </c>
    </row>
    <row r="142" spans="1:9" x14ac:dyDescent="0.75">
      <c r="A142" s="1">
        <v>45471</v>
      </c>
      <c r="B142">
        <v>80.64</v>
      </c>
      <c r="C142">
        <v>80.959999999999994</v>
      </c>
      <c r="D142">
        <v>81.78</v>
      </c>
      <c r="E142">
        <v>80.150000000000006</v>
      </c>
      <c r="F142" t="s">
        <v>144</v>
      </c>
      <c r="G142" s="2">
        <v>-2.3999999999999998E-3</v>
      </c>
      <c r="H142">
        <f t="shared" si="4"/>
        <v>-2.3506123963874517E-3</v>
      </c>
      <c r="I142">
        <f t="shared" si="5"/>
        <v>-2.3533794226944845E-3</v>
      </c>
    </row>
    <row r="143" spans="1:9" x14ac:dyDescent="0.75">
      <c r="A143" s="1">
        <v>45470</v>
      </c>
      <c r="B143">
        <v>80.83</v>
      </c>
      <c r="C143">
        <v>80.14</v>
      </c>
      <c r="D143">
        <v>81.209999999999994</v>
      </c>
      <c r="E143">
        <v>79.81</v>
      </c>
      <c r="F143" t="s">
        <v>145</v>
      </c>
      <c r="G143" s="2">
        <v>8.0000000000000002E-3</v>
      </c>
      <c r="H143">
        <f t="shared" si="4"/>
        <v>7.9810450180820627E-3</v>
      </c>
      <c r="I143">
        <f t="shared" si="5"/>
        <v>7.9493649268157843E-3</v>
      </c>
    </row>
    <row r="144" spans="1:9" x14ac:dyDescent="0.75">
      <c r="A144" s="1">
        <v>45469</v>
      </c>
      <c r="B144">
        <v>80.19</v>
      </c>
      <c r="C144">
        <v>79.97</v>
      </c>
      <c r="D144">
        <v>80.849999999999994</v>
      </c>
      <c r="E144">
        <v>79.5</v>
      </c>
      <c r="F144" t="s">
        <v>146</v>
      </c>
      <c r="G144" s="2">
        <v>1.5E-3</v>
      </c>
      <c r="H144">
        <f t="shared" si="4"/>
        <v>1.4986886474335527E-3</v>
      </c>
      <c r="I144">
        <f t="shared" si="5"/>
        <v>1.4975667343948892E-3</v>
      </c>
    </row>
    <row r="145" spans="1:9" x14ac:dyDescent="0.75">
      <c r="A145" s="1">
        <v>45468</v>
      </c>
      <c r="B145">
        <v>80.069999999999993</v>
      </c>
      <c r="C145">
        <v>80.97</v>
      </c>
      <c r="D145">
        <v>81.12</v>
      </c>
      <c r="E145">
        <v>79.8</v>
      </c>
      <c r="F145" t="s">
        <v>147</v>
      </c>
      <c r="G145" s="2">
        <v>-9.7999999999999997E-3</v>
      </c>
      <c r="H145">
        <f t="shared" si="4"/>
        <v>-9.7699727924809091E-3</v>
      </c>
      <c r="I145">
        <f t="shared" si="5"/>
        <v>-9.8180121280824501E-3</v>
      </c>
    </row>
    <row r="146" spans="1:9" x14ac:dyDescent="0.75">
      <c r="A146" s="1">
        <v>45467</v>
      </c>
      <c r="B146">
        <v>80.86</v>
      </c>
      <c r="C146">
        <v>79.77</v>
      </c>
      <c r="D146">
        <v>80.989999999999995</v>
      </c>
      <c r="E146">
        <v>79.52</v>
      </c>
      <c r="F146" t="s">
        <v>148</v>
      </c>
      <c r="G146" s="2">
        <v>1.1299999999999999E-2</v>
      </c>
      <c r="H146">
        <f t="shared" si="4"/>
        <v>1.1255627813907026E-2</v>
      </c>
      <c r="I146">
        <f t="shared" si="5"/>
        <v>1.1192754580425641E-2</v>
      </c>
    </row>
    <row r="147" spans="1:9" x14ac:dyDescent="0.75">
      <c r="A147" s="1">
        <v>45464</v>
      </c>
      <c r="B147">
        <v>79.959999999999994</v>
      </c>
      <c r="C147">
        <v>80.44</v>
      </c>
      <c r="D147">
        <v>80.94</v>
      </c>
      <c r="E147">
        <v>79.59</v>
      </c>
      <c r="F147" t="s">
        <v>149</v>
      </c>
      <c r="G147" s="2">
        <v>-1.6400000000000001E-2</v>
      </c>
      <c r="H147">
        <f t="shared" si="4"/>
        <v>-1.6361176036412996E-2</v>
      </c>
      <c r="I147">
        <f t="shared" si="5"/>
        <v>-1.6496498126281758E-2</v>
      </c>
    </row>
    <row r="148" spans="1:9" x14ac:dyDescent="0.75">
      <c r="A148" s="1">
        <v>45463</v>
      </c>
      <c r="B148">
        <v>81.290000000000006</v>
      </c>
      <c r="C148">
        <v>80.75</v>
      </c>
      <c r="D148">
        <v>81.52</v>
      </c>
      <c r="E148">
        <v>80.3</v>
      </c>
      <c r="F148" t="s">
        <v>150</v>
      </c>
      <c r="G148" s="2">
        <v>8.6999999999999994E-3</v>
      </c>
      <c r="H148">
        <f t="shared" si="4"/>
        <v>8.6859411837697329E-3</v>
      </c>
      <c r="I148">
        <f t="shared" si="5"/>
        <v>8.6484354220609429E-3</v>
      </c>
    </row>
    <row r="149" spans="1:9" x14ac:dyDescent="0.75">
      <c r="A149" s="1">
        <v>45462</v>
      </c>
      <c r="B149">
        <v>80.59</v>
      </c>
      <c r="C149">
        <v>80.78</v>
      </c>
      <c r="D149">
        <v>81.16</v>
      </c>
      <c r="E149">
        <v>80.31</v>
      </c>
      <c r="G149" s="2">
        <v>-1.5E-3</v>
      </c>
      <c r="H149">
        <f t="shared" si="4"/>
        <v>-1.4868046090941685E-3</v>
      </c>
      <c r="I149">
        <f t="shared" si="5"/>
        <v>-1.4879109998608402E-3</v>
      </c>
    </row>
    <row r="150" spans="1:9" x14ac:dyDescent="0.75">
      <c r="A150" s="1">
        <v>45461</v>
      </c>
      <c r="B150">
        <v>80.709999999999994</v>
      </c>
      <c r="C150">
        <v>79.92</v>
      </c>
      <c r="D150">
        <v>80.849999999999994</v>
      </c>
      <c r="E150">
        <v>79.17</v>
      </c>
      <c r="F150" t="s">
        <v>151</v>
      </c>
      <c r="G150" s="2">
        <v>1.24E-2</v>
      </c>
      <c r="H150">
        <f t="shared" si="4"/>
        <v>1.2418464626191606E-2</v>
      </c>
      <c r="I150">
        <f t="shared" si="5"/>
        <v>1.2341987991686886E-2</v>
      </c>
    </row>
    <row r="151" spans="1:9" x14ac:dyDescent="0.75">
      <c r="A151" s="1">
        <v>45460</v>
      </c>
      <c r="B151">
        <v>79.72</v>
      </c>
      <c r="C151">
        <v>78.12</v>
      </c>
      <c r="D151">
        <v>80.010000000000005</v>
      </c>
      <c r="E151">
        <v>77.58</v>
      </c>
      <c r="F151" t="s">
        <v>152</v>
      </c>
      <c r="G151" s="2">
        <v>2.1399999999999999E-2</v>
      </c>
      <c r="H151">
        <f t="shared" si="4"/>
        <v>2.1396540679051914E-2</v>
      </c>
      <c r="I151">
        <f t="shared" si="5"/>
        <v>2.1170848383152953E-2</v>
      </c>
    </row>
    <row r="152" spans="1:9" x14ac:dyDescent="0.75">
      <c r="A152" s="1">
        <v>45457</v>
      </c>
      <c r="B152">
        <v>78.05</v>
      </c>
      <c r="C152">
        <v>77.650000000000006</v>
      </c>
      <c r="D152">
        <v>78.8</v>
      </c>
      <c r="E152">
        <v>77.42</v>
      </c>
      <c r="F152" t="s">
        <v>153</v>
      </c>
      <c r="G152" s="2">
        <v>-2.7000000000000001E-3</v>
      </c>
      <c r="H152">
        <f t="shared" si="4"/>
        <v>-2.6833631484795293E-3</v>
      </c>
      <c r="I152">
        <f t="shared" si="5"/>
        <v>-2.6869698208254089E-3</v>
      </c>
    </row>
    <row r="153" spans="1:9" x14ac:dyDescent="0.75">
      <c r="A153" s="1">
        <v>45456</v>
      </c>
      <c r="B153">
        <v>78.260000000000005</v>
      </c>
      <c r="C153">
        <v>78.010000000000005</v>
      </c>
      <c r="D153">
        <v>78.540000000000006</v>
      </c>
      <c r="E153">
        <v>77.349999999999994</v>
      </c>
      <c r="F153" t="s">
        <v>154</v>
      </c>
      <c r="G153" s="2">
        <v>1.4E-3</v>
      </c>
      <c r="H153">
        <f t="shared" si="4"/>
        <v>1.4075495841330699E-3</v>
      </c>
      <c r="I153">
        <f t="shared" si="5"/>
        <v>1.4065599147807402E-3</v>
      </c>
    </row>
    <row r="154" spans="1:9" x14ac:dyDescent="0.75">
      <c r="A154" s="1">
        <v>45455</v>
      </c>
      <c r="B154">
        <v>78.150000000000006</v>
      </c>
      <c r="C154">
        <v>77.8</v>
      </c>
      <c r="D154">
        <v>78.94</v>
      </c>
      <c r="E154">
        <v>77.56</v>
      </c>
      <c r="F154" t="s">
        <v>155</v>
      </c>
      <c r="G154" s="2">
        <v>7.7000000000000002E-3</v>
      </c>
      <c r="H154">
        <f t="shared" si="4"/>
        <v>7.7369439071567833E-3</v>
      </c>
      <c r="I154">
        <f t="shared" si="5"/>
        <v>7.7071672449379588E-3</v>
      </c>
    </row>
    <row r="155" spans="1:9" x14ac:dyDescent="0.75">
      <c r="A155" s="1">
        <v>45454</v>
      </c>
      <c r="B155">
        <v>77.55</v>
      </c>
      <c r="C155">
        <v>77.650000000000006</v>
      </c>
      <c r="D155">
        <v>77.989999999999995</v>
      </c>
      <c r="E155">
        <v>76.86</v>
      </c>
      <c r="F155" t="s">
        <v>156</v>
      </c>
      <c r="G155" s="2">
        <v>2.8E-3</v>
      </c>
      <c r="H155">
        <f t="shared" si="4"/>
        <v>2.8449502133712514E-3</v>
      </c>
      <c r="I155">
        <f t="shared" si="5"/>
        <v>2.8409110016036497E-3</v>
      </c>
    </row>
    <row r="156" spans="1:9" x14ac:dyDescent="0.75">
      <c r="A156" s="1">
        <v>45453</v>
      </c>
      <c r="B156">
        <v>77.33</v>
      </c>
      <c r="C156">
        <v>74.97</v>
      </c>
      <c r="D156">
        <v>77.849999999999994</v>
      </c>
      <c r="E156">
        <v>74.94</v>
      </c>
      <c r="F156" t="s">
        <v>157</v>
      </c>
      <c r="G156" s="2">
        <v>2.81E-2</v>
      </c>
      <c r="H156">
        <f t="shared" si="4"/>
        <v>2.8051050252592389E-2</v>
      </c>
      <c r="I156">
        <f t="shared" si="5"/>
        <v>2.7664825578753712E-2</v>
      </c>
    </row>
    <row r="157" spans="1:9" x14ac:dyDescent="0.75">
      <c r="A157" s="1">
        <v>45450</v>
      </c>
      <c r="B157">
        <v>75.22</v>
      </c>
      <c r="C157">
        <v>75.38</v>
      </c>
      <c r="D157">
        <v>75.900000000000006</v>
      </c>
      <c r="E157">
        <v>74.930000000000007</v>
      </c>
      <c r="F157" t="s">
        <v>158</v>
      </c>
      <c r="G157" s="2">
        <v>-2.9999999999999997E-4</v>
      </c>
      <c r="H157">
        <f t="shared" si="4"/>
        <v>-2.6581605528968661E-4</v>
      </c>
      <c r="I157">
        <f t="shared" si="5"/>
        <v>-2.6585139063920181E-4</v>
      </c>
    </row>
    <row r="158" spans="1:9" x14ac:dyDescent="0.75">
      <c r="A158" s="1">
        <v>45449</v>
      </c>
      <c r="B158">
        <v>75.239999999999995</v>
      </c>
      <c r="C158">
        <v>74.03</v>
      </c>
      <c r="D158">
        <v>75.47</v>
      </c>
      <c r="E158">
        <v>73.819999999999993</v>
      </c>
      <c r="F158" t="s">
        <v>159</v>
      </c>
      <c r="G158" s="2">
        <v>1.9199999999999998E-2</v>
      </c>
      <c r="H158">
        <f t="shared" si="4"/>
        <v>1.9235979409374177E-2</v>
      </c>
      <c r="I158">
        <f t="shared" si="5"/>
        <v>1.905330683097713E-2</v>
      </c>
    </row>
    <row r="159" spans="1:9" x14ac:dyDescent="0.75">
      <c r="A159" s="1">
        <v>45448</v>
      </c>
      <c r="B159">
        <v>73.819999999999993</v>
      </c>
      <c r="C159">
        <v>72.72</v>
      </c>
      <c r="D159">
        <v>74.069999999999993</v>
      </c>
      <c r="E159">
        <v>72.69</v>
      </c>
      <c r="F159" t="s">
        <v>160</v>
      </c>
      <c r="G159" s="2">
        <v>1.04E-2</v>
      </c>
      <c r="H159">
        <f t="shared" si="4"/>
        <v>1.040240897892131E-2</v>
      </c>
      <c r="I159">
        <f t="shared" si="5"/>
        <v>1.0348676234716053E-2</v>
      </c>
    </row>
    <row r="160" spans="1:9" x14ac:dyDescent="0.75">
      <c r="A160" s="1">
        <v>45447</v>
      </c>
      <c r="B160">
        <v>73.06</v>
      </c>
      <c r="C160">
        <v>73.89</v>
      </c>
      <c r="D160">
        <v>73.989999999999995</v>
      </c>
      <c r="E160">
        <v>72.44</v>
      </c>
      <c r="F160" t="s">
        <v>161</v>
      </c>
      <c r="G160" s="2">
        <v>-1.3899999999999999E-2</v>
      </c>
      <c r="H160">
        <f t="shared" si="4"/>
        <v>-1.3902011067620476E-2</v>
      </c>
      <c r="I160">
        <f t="shared" si="5"/>
        <v>-1.3999549061429098E-2</v>
      </c>
    </row>
    <row r="161" spans="1:9" x14ac:dyDescent="0.75">
      <c r="A161" s="1">
        <v>45446</v>
      </c>
      <c r="B161">
        <v>74.09</v>
      </c>
      <c r="C161">
        <v>76.73</v>
      </c>
      <c r="D161">
        <v>77.23</v>
      </c>
      <c r="E161">
        <v>73.84</v>
      </c>
      <c r="F161" t="s">
        <v>162</v>
      </c>
      <c r="G161" s="2">
        <v>-3.44E-2</v>
      </c>
      <c r="H161">
        <f t="shared" si="4"/>
        <v>-3.4406359963508409E-2</v>
      </c>
      <c r="I161">
        <f t="shared" si="5"/>
        <v>-3.5012195761008294E-2</v>
      </c>
    </row>
    <row r="162" spans="1:9" x14ac:dyDescent="0.75">
      <c r="A162" s="1">
        <v>45443</v>
      </c>
      <c r="B162">
        <v>76.73</v>
      </c>
      <c r="C162">
        <v>77.5</v>
      </c>
      <c r="D162">
        <v>78.27</v>
      </c>
      <c r="E162">
        <v>76.37</v>
      </c>
      <c r="F162" t="s">
        <v>163</v>
      </c>
      <c r="G162" s="2">
        <v>-1.04E-2</v>
      </c>
      <c r="H162">
        <f t="shared" si="4"/>
        <v>-1.0446221305132864E-2</v>
      </c>
      <c r="I162">
        <f t="shared" si="5"/>
        <v>-1.0501166053209207E-2</v>
      </c>
    </row>
    <row r="163" spans="1:9" x14ac:dyDescent="0.75">
      <c r="A163" s="1">
        <v>45442</v>
      </c>
      <c r="B163">
        <v>77.540000000000006</v>
      </c>
      <c r="C163">
        <v>78.87</v>
      </c>
      <c r="D163">
        <v>78.97</v>
      </c>
      <c r="E163">
        <v>77.3</v>
      </c>
      <c r="F163" t="s">
        <v>164</v>
      </c>
      <c r="G163" s="2">
        <v>-1.6E-2</v>
      </c>
      <c r="H163">
        <f t="shared" si="4"/>
        <v>-1.5989847715735927E-2</v>
      </c>
      <c r="I163">
        <f t="shared" si="5"/>
        <v>-1.6119064621050304E-2</v>
      </c>
    </row>
    <row r="164" spans="1:9" x14ac:dyDescent="0.75">
      <c r="A164" s="1">
        <v>45441</v>
      </c>
      <c r="B164">
        <v>78.8</v>
      </c>
      <c r="C164">
        <v>79.78</v>
      </c>
      <c r="D164">
        <v>80.11</v>
      </c>
      <c r="E164">
        <v>78.569999999999993</v>
      </c>
      <c r="F164" t="s">
        <v>165</v>
      </c>
      <c r="G164" s="2">
        <v>-6.8999999999999999E-3</v>
      </c>
      <c r="H164">
        <f t="shared" si="4"/>
        <v>-6.9313169502205063E-3</v>
      </c>
      <c r="I164">
        <f t="shared" si="5"/>
        <v>-6.9554501085846302E-3</v>
      </c>
    </row>
    <row r="165" spans="1:9" x14ac:dyDescent="0.75">
      <c r="A165" s="1">
        <v>45440</v>
      </c>
      <c r="B165">
        <v>79.349999999999994</v>
      </c>
      <c r="C165">
        <v>77.36</v>
      </c>
      <c r="D165">
        <v>79.790000000000006</v>
      </c>
      <c r="E165">
        <v>77.239999999999995</v>
      </c>
      <c r="F165" t="s">
        <v>166</v>
      </c>
      <c r="G165" s="2">
        <v>8.8999999999999999E-3</v>
      </c>
      <c r="H165">
        <f t="shared" si="4"/>
        <v>8.9001907183723916E-3</v>
      </c>
      <c r="I165">
        <f t="shared" si="5"/>
        <v>8.8608174681310495E-3</v>
      </c>
    </row>
    <row r="166" spans="1:9" x14ac:dyDescent="0.75">
      <c r="A166" s="1">
        <v>45439</v>
      </c>
      <c r="B166">
        <v>78.650000000000006</v>
      </c>
      <c r="C166">
        <v>77.84</v>
      </c>
      <c r="D166">
        <v>78.8</v>
      </c>
      <c r="E166">
        <v>77.75</v>
      </c>
      <c r="G166" s="2">
        <v>1.84E-2</v>
      </c>
      <c r="H166">
        <f t="shared" si="4"/>
        <v>1.8386637317104774E-2</v>
      </c>
      <c r="I166">
        <f t="shared" si="5"/>
        <v>1.8219646923114455E-2</v>
      </c>
    </row>
    <row r="167" spans="1:9" x14ac:dyDescent="0.75">
      <c r="A167" s="1">
        <v>45436</v>
      </c>
      <c r="B167">
        <v>77.23</v>
      </c>
      <c r="C167">
        <v>76.62</v>
      </c>
      <c r="D167">
        <v>77.55</v>
      </c>
      <c r="E167">
        <v>75.75</v>
      </c>
      <c r="F167" t="s">
        <v>167</v>
      </c>
      <c r="G167" s="2">
        <v>1.01E-2</v>
      </c>
      <c r="H167">
        <f t="shared" si="4"/>
        <v>1.0070625163484309E-2</v>
      </c>
      <c r="I167">
        <f t="shared" si="5"/>
        <v>1.002025431290593E-2</v>
      </c>
    </row>
    <row r="168" spans="1:9" x14ac:dyDescent="0.75">
      <c r="A168" s="1">
        <v>45435</v>
      </c>
      <c r="B168">
        <v>76.459999999999994</v>
      </c>
      <c r="C168">
        <v>76.900000000000006</v>
      </c>
      <c r="D168">
        <v>78.209999999999994</v>
      </c>
      <c r="E168">
        <v>76.03</v>
      </c>
      <c r="F168" t="s">
        <v>168</v>
      </c>
      <c r="G168" s="2">
        <v>-8.8999999999999999E-3</v>
      </c>
      <c r="H168">
        <f t="shared" si="4"/>
        <v>-8.943616331821282E-3</v>
      </c>
      <c r="I168">
        <f t="shared" si="5"/>
        <v>-8.9838505409032664E-3</v>
      </c>
    </row>
    <row r="169" spans="1:9" x14ac:dyDescent="0.75">
      <c r="A169" s="1">
        <v>45434</v>
      </c>
      <c r="B169">
        <v>77.150000000000006</v>
      </c>
      <c r="C169">
        <v>77.900000000000006</v>
      </c>
      <c r="D169">
        <v>78.03</v>
      </c>
      <c r="E169">
        <v>76.849999999999994</v>
      </c>
      <c r="F169" t="s">
        <v>169</v>
      </c>
      <c r="G169" s="2">
        <v>-1.9199999999999998E-2</v>
      </c>
      <c r="H169">
        <f t="shared" si="4"/>
        <v>-1.9196542079837158E-2</v>
      </c>
      <c r="I169">
        <f t="shared" si="5"/>
        <v>-1.9383188194493473E-2</v>
      </c>
    </row>
    <row r="170" spans="1:9" x14ac:dyDescent="0.75">
      <c r="A170" s="1">
        <v>45433</v>
      </c>
      <c r="B170">
        <v>78.66</v>
      </c>
      <c r="C170">
        <v>79.23</v>
      </c>
      <c r="D170">
        <v>79.3</v>
      </c>
      <c r="E170">
        <v>77.650000000000006</v>
      </c>
      <c r="F170" t="s">
        <v>170</v>
      </c>
      <c r="G170" s="2">
        <v>-8.0999999999999996E-3</v>
      </c>
      <c r="H170">
        <f t="shared" si="4"/>
        <v>-8.0706179066834874E-3</v>
      </c>
      <c r="I170">
        <f t="shared" si="5"/>
        <v>-8.1033616371388537E-3</v>
      </c>
    </row>
    <row r="171" spans="1:9" x14ac:dyDescent="0.75">
      <c r="A171" s="1">
        <v>45432</v>
      </c>
      <c r="B171">
        <v>79.3</v>
      </c>
      <c r="C171">
        <v>79.58</v>
      </c>
      <c r="D171">
        <v>80.11</v>
      </c>
      <c r="E171">
        <v>78.67</v>
      </c>
      <c r="F171" t="s">
        <v>171</v>
      </c>
      <c r="G171" s="2">
        <v>-3.5000000000000001E-3</v>
      </c>
      <c r="H171">
        <f t="shared" si="4"/>
        <v>-3.5184719778839049E-3</v>
      </c>
      <c r="I171">
        <f t="shared" si="5"/>
        <v>-3.524676357980296E-3</v>
      </c>
    </row>
    <row r="172" spans="1:9" x14ac:dyDescent="0.75">
      <c r="A172" s="1">
        <v>45429</v>
      </c>
      <c r="B172">
        <v>79.58</v>
      </c>
      <c r="C172">
        <v>78.92</v>
      </c>
      <c r="D172">
        <v>79.66</v>
      </c>
      <c r="E172">
        <v>78.58</v>
      </c>
      <c r="F172" t="s">
        <v>172</v>
      </c>
      <c r="G172" s="2">
        <v>1.0699999999999999E-2</v>
      </c>
      <c r="H172">
        <f t="shared" si="4"/>
        <v>1.0668021336042716E-2</v>
      </c>
      <c r="I172">
        <f t="shared" si="5"/>
        <v>1.0611519483191058E-2</v>
      </c>
    </row>
    <row r="173" spans="1:9" x14ac:dyDescent="0.75">
      <c r="A173" s="1">
        <v>45428</v>
      </c>
      <c r="B173">
        <v>78.739999999999995</v>
      </c>
      <c r="C173">
        <v>78.36</v>
      </c>
      <c r="D173">
        <v>79.3</v>
      </c>
      <c r="E173">
        <v>77.75</v>
      </c>
      <c r="F173" t="s">
        <v>173</v>
      </c>
      <c r="G173" s="2">
        <v>7.4000000000000003E-3</v>
      </c>
      <c r="H173">
        <f t="shared" si="4"/>
        <v>7.4206755373592411E-3</v>
      </c>
      <c r="I173">
        <f t="shared" si="5"/>
        <v>7.3932777810640426E-3</v>
      </c>
    </row>
    <row r="174" spans="1:9" x14ac:dyDescent="0.75">
      <c r="A174" s="1">
        <v>45427</v>
      </c>
      <c r="B174">
        <v>78.16</v>
      </c>
      <c r="C174">
        <v>78.03</v>
      </c>
      <c r="D174">
        <v>78.430000000000007</v>
      </c>
      <c r="E174">
        <v>76.36</v>
      </c>
      <c r="F174" t="s">
        <v>174</v>
      </c>
      <c r="G174" s="2">
        <v>6.6E-3</v>
      </c>
      <c r="H174">
        <f t="shared" si="4"/>
        <v>6.5679330328395477E-3</v>
      </c>
      <c r="I174">
        <f t="shared" si="5"/>
        <v>6.5464581398312054E-3</v>
      </c>
    </row>
    <row r="175" spans="1:9" x14ac:dyDescent="0.75">
      <c r="A175" s="1">
        <v>45426</v>
      </c>
      <c r="B175">
        <v>77.650000000000006</v>
      </c>
      <c r="C175">
        <v>78.72</v>
      </c>
      <c r="D175">
        <v>78.86</v>
      </c>
      <c r="E175">
        <v>77.260000000000005</v>
      </c>
      <c r="F175" t="s">
        <v>175</v>
      </c>
      <c r="G175" s="2">
        <v>-1.21E-2</v>
      </c>
      <c r="H175">
        <f t="shared" si="4"/>
        <v>-1.2086513994910798E-2</v>
      </c>
      <c r="I175">
        <f t="shared" si="5"/>
        <v>-1.2160149840464627E-2</v>
      </c>
    </row>
    <row r="176" spans="1:9" x14ac:dyDescent="0.75">
      <c r="A176" s="1">
        <v>45425</v>
      </c>
      <c r="B176">
        <v>78.599999999999994</v>
      </c>
      <c r="C176">
        <v>77.760000000000005</v>
      </c>
      <c r="D176">
        <v>78.989999999999995</v>
      </c>
      <c r="E176">
        <v>77.349999999999994</v>
      </c>
      <c r="F176" t="s">
        <v>176</v>
      </c>
      <c r="G176" s="2">
        <v>9.7999999999999997E-3</v>
      </c>
      <c r="H176">
        <f t="shared" si="4"/>
        <v>9.7636176772866248E-3</v>
      </c>
      <c r="I176">
        <f t="shared" si="5"/>
        <v>9.7162615574111159E-3</v>
      </c>
    </row>
    <row r="177" spans="1:9" x14ac:dyDescent="0.75">
      <c r="A177" s="1">
        <v>45422</v>
      </c>
      <c r="B177">
        <v>77.84</v>
      </c>
      <c r="C177">
        <v>79.11</v>
      </c>
      <c r="D177">
        <v>79.47</v>
      </c>
      <c r="E177">
        <v>77.73</v>
      </c>
      <c r="F177" t="s">
        <v>177</v>
      </c>
      <c r="G177" s="2">
        <v>-1.2200000000000001E-2</v>
      </c>
      <c r="H177">
        <f t="shared" si="4"/>
        <v>-1.2182741116751191E-2</v>
      </c>
      <c r="I177">
        <f t="shared" si="5"/>
        <v>-1.2257558986083767E-2</v>
      </c>
    </row>
    <row r="178" spans="1:9" x14ac:dyDescent="0.75">
      <c r="A178" s="1">
        <v>45421</v>
      </c>
      <c r="B178">
        <v>78.8</v>
      </c>
      <c r="C178">
        <v>78.790000000000006</v>
      </c>
      <c r="D178">
        <v>79.319999999999993</v>
      </c>
      <c r="E178">
        <v>78.459999999999994</v>
      </c>
      <c r="F178" t="s">
        <v>178</v>
      </c>
      <c r="G178" s="2">
        <v>3.0999999999999999E-3</v>
      </c>
      <c r="H178">
        <f t="shared" si="4"/>
        <v>3.0549898167005459E-3</v>
      </c>
      <c r="I178">
        <f t="shared" si="5"/>
        <v>3.0503328176228754E-3</v>
      </c>
    </row>
    <row r="179" spans="1:9" x14ac:dyDescent="0.75">
      <c r="A179" s="1">
        <v>45420</v>
      </c>
      <c r="B179">
        <v>78.56</v>
      </c>
      <c r="C179">
        <v>77.959999999999994</v>
      </c>
      <c r="D179">
        <v>78.8</v>
      </c>
      <c r="E179">
        <v>76.63</v>
      </c>
      <c r="F179" t="s">
        <v>179</v>
      </c>
      <c r="G179" s="2">
        <v>6.4000000000000003E-3</v>
      </c>
      <c r="H179">
        <f t="shared" si="4"/>
        <v>6.4053292339226239E-3</v>
      </c>
      <c r="I179">
        <f t="shared" si="5"/>
        <v>6.3849022937414804E-3</v>
      </c>
    </row>
    <row r="180" spans="1:9" x14ac:dyDescent="0.75">
      <c r="A180" s="1">
        <v>45419</v>
      </c>
      <c r="B180">
        <v>78.06</v>
      </c>
      <c r="C180">
        <v>78.39</v>
      </c>
      <c r="D180">
        <v>78.8</v>
      </c>
      <c r="E180">
        <v>77.290000000000006</v>
      </c>
      <c r="F180" t="s">
        <v>180</v>
      </c>
      <c r="G180" s="2">
        <v>-1E-3</v>
      </c>
      <c r="H180">
        <f t="shared" si="4"/>
        <v>-1.0238034297414679E-3</v>
      </c>
      <c r="I180">
        <f t="shared" si="5"/>
        <v>-1.0243278744556392E-3</v>
      </c>
    </row>
    <row r="181" spans="1:9" x14ac:dyDescent="0.75">
      <c r="A181" s="1">
        <v>45418</v>
      </c>
      <c r="B181">
        <v>78.14</v>
      </c>
      <c r="C181">
        <v>77.88</v>
      </c>
      <c r="D181">
        <v>78.680000000000007</v>
      </c>
      <c r="E181">
        <v>77.56</v>
      </c>
      <c r="F181" t="s">
        <v>181</v>
      </c>
      <c r="G181" s="2">
        <v>4.8999999999999998E-3</v>
      </c>
      <c r="H181">
        <f t="shared" si="4"/>
        <v>4.8868312757201059E-3</v>
      </c>
      <c r="I181">
        <f t="shared" si="5"/>
        <v>4.8749294747409307E-3</v>
      </c>
    </row>
    <row r="182" spans="1:9" x14ac:dyDescent="0.75">
      <c r="A182" s="1">
        <v>45415</v>
      </c>
      <c r="B182">
        <v>77.760000000000005</v>
      </c>
      <c r="C182">
        <v>78.61</v>
      </c>
      <c r="D182">
        <v>79.17</v>
      </c>
      <c r="E182">
        <v>77.62</v>
      </c>
      <c r="F182" t="s">
        <v>182</v>
      </c>
      <c r="G182" s="2">
        <v>-9.1999999999999998E-3</v>
      </c>
      <c r="H182">
        <f t="shared" si="4"/>
        <v>-9.1743119266054895E-3</v>
      </c>
      <c r="I182">
        <f t="shared" si="5"/>
        <v>-9.2166551049239522E-3</v>
      </c>
    </row>
    <row r="183" spans="1:9" x14ac:dyDescent="0.75">
      <c r="A183" s="1">
        <v>45414</v>
      </c>
      <c r="B183">
        <v>78.48</v>
      </c>
      <c r="C183">
        <v>78.599999999999994</v>
      </c>
      <c r="D183">
        <v>79.34</v>
      </c>
      <c r="E183">
        <v>77.91</v>
      </c>
      <c r="F183" t="s">
        <v>183</v>
      </c>
      <c r="G183" s="2">
        <v>5.0000000000000001E-4</v>
      </c>
      <c r="H183">
        <f t="shared" si="4"/>
        <v>5.0994390617040098E-4</v>
      </c>
      <c r="I183">
        <f t="shared" si="5"/>
        <v>5.0981392896222194E-4</v>
      </c>
    </row>
    <row r="184" spans="1:9" x14ac:dyDescent="0.75">
      <c r="A184" s="1">
        <v>45413</v>
      </c>
      <c r="B184">
        <v>78.44</v>
      </c>
      <c r="C184">
        <v>80.86</v>
      </c>
      <c r="D184">
        <v>80.900000000000006</v>
      </c>
      <c r="E184">
        <v>78.28</v>
      </c>
      <c r="F184" t="s">
        <v>184</v>
      </c>
      <c r="G184" s="2">
        <v>-3.49E-2</v>
      </c>
      <c r="H184">
        <f t="shared" si="4"/>
        <v>-3.4940944881889806E-2</v>
      </c>
      <c r="I184">
        <f t="shared" si="5"/>
        <v>-3.5565982502026285E-2</v>
      </c>
    </row>
    <row r="185" spans="1:9" x14ac:dyDescent="0.75">
      <c r="A185" s="1">
        <v>45412</v>
      </c>
      <c r="B185">
        <v>81.28</v>
      </c>
      <c r="C185">
        <v>82.16</v>
      </c>
      <c r="D185">
        <v>82.65</v>
      </c>
      <c r="E185">
        <v>80.34</v>
      </c>
      <c r="F185" t="s">
        <v>185</v>
      </c>
      <c r="G185" s="2">
        <v>-9.1000000000000004E-3</v>
      </c>
      <c r="H185">
        <f t="shared" si="4"/>
        <v>-9.1429964647080329E-3</v>
      </c>
      <c r="I185">
        <f t="shared" si="5"/>
        <v>-9.1850501844867941E-3</v>
      </c>
    </row>
    <row r="186" spans="1:9" x14ac:dyDescent="0.75">
      <c r="A186" s="1">
        <v>45411</v>
      </c>
      <c r="B186">
        <v>82.03</v>
      </c>
      <c r="C186">
        <v>82.99</v>
      </c>
      <c r="D186">
        <v>83.19</v>
      </c>
      <c r="E186">
        <v>81.81</v>
      </c>
      <c r="F186" t="s">
        <v>186</v>
      </c>
      <c r="G186" s="2">
        <v>-1.32E-2</v>
      </c>
      <c r="H186">
        <f t="shared" si="4"/>
        <v>-1.3232286779742504E-2</v>
      </c>
      <c r="I186">
        <f t="shared" si="5"/>
        <v>-1.332061352833817E-2</v>
      </c>
    </row>
    <row r="187" spans="1:9" x14ac:dyDescent="0.75">
      <c r="A187" s="1">
        <v>45408</v>
      </c>
      <c r="B187">
        <v>83.13</v>
      </c>
      <c r="C187">
        <v>82.97</v>
      </c>
      <c r="D187">
        <v>83.63</v>
      </c>
      <c r="E187">
        <v>82.59</v>
      </c>
      <c r="F187" t="s">
        <v>187</v>
      </c>
      <c r="G187" s="2">
        <v>4.5999999999999999E-3</v>
      </c>
      <c r="H187">
        <f t="shared" si="4"/>
        <v>4.5921450151056855E-3</v>
      </c>
      <c r="I187">
        <f t="shared" si="5"/>
        <v>4.5816332858243467E-3</v>
      </c>
    </row>
    <row r="188" spans="1:9" x14ac:dyDescent="0.75">
      <c r="A188" s="1">
        <v>45407</v>
      </c>
      <c r="B188">
        <v>82.75</v>
      </c>
      <c r="C188">
        <v>82.09</v>
      </c>
      <c r="D188">
        <v>83</v>
      </c>
      <c r="E188">
        <v>81.27</v>
      </c>
      <c r="F188" t="s">
        <v>188</v>
      </c>
      <c r="G188" s="2">
        <v>8.0000000000000002E-3</v>
      </c>
      <c r="H188">
        <f t="shared" si="4"/>
        <v>8.0399561456937097E-3</v>
      </c>
      <c r="I188">
        <f t="shared" si="5"/>
        <v>8.0078078969973779E-3</v>
      </c>
    </row>
    <row r="189" spans="1:9" x14ac:dyDescent="0.75">
      <c r="A189" s="1">
        <v>45406</v>
      </c>
      <c r="B189">
        <v>82.09</v>
      </c>
      <c r="C189">
        <v>82.6</v>
      </c>
      <c r="D189">
        <v>82.9</v>
      </c>
      <c r="E189">
        <v>81.709999999999994</v>
      </c>
      <c r="F189" t="s">
        <v>189</v>
      </c>
      <c r="G189" s="2">
        <v>-5.7000000000000002E-3</v>
      </c>
      <c r="H189">
        <f t="shared" si="4"/>
        <v>-5.6928294573643269E-3</v>
      </c>
      <c r="I189">
        <f t="shared" si="5"/>
        <v>-5.7090953730778481E-3</v>
      </c>
    </row>
    <row r="190" spans="1:9" x14ac:dyDescent="0.75">
      <c r="A190" s="1">
        <v>45405</v>
      </c>
      <c r="B190">
        <v>82.56</v>
      </c>
      <c r="C190">
        <v>81.430000000000007</v>
      </c>
      <c r="D190">
        <v>82.62</v>
      </c>
      <c r="E190">
        <v>80.25</v>
      </c>
      <c r="F190" t="s">
        <v>190</v>
      </c>
      <c r="G190" s="2">
        <v>8.0999999999999996E-3</v>
      </c>
      <c r="H190">
        <f t="shared" si="4"/>
        <v>8.0586080586080161E-3</v>
      </c>
      <c r="I190">
        <f t="shared" si="5"/>
        <v>8.0263108742288352E-3</v>
      </c>
    </row>
    <row r="191" spans="1:9" x14ac:dyDescent="0.75">
      <c r="A191" s="1">
        <v>45404</v>
      </c>
      <c r="B191">
        <v>81.900000000000006</v>
      </c>
      <c r="C191">
        <v>81.84</v>
      </c>
      <c r="D191">
        <v>82.29</v>
      </c>
      <c r="E191">
        <v>80.7</v>
      </c>
      <c r="F191" t="s">
        <v>191</v>
      </c>
      <c r="G191" s="2">
        <v>-3.8999999999999998E-3</v>
      </c>
      <c r="H191">
        <f t="shared" si="4"/>
        <v>-3.8919970810021064E-3</v>
      </c>
      <c r="I191">
        <f t="shared" si="5"/>
        <v>-3.8995906107084969E-3</v>
      </c>
    </row>
    <row r="192" spans="1:9" x14ac:dyDescent="0.75">
      <c r="A192" s="1">
        <v>45401</v>
      </c>
      <c r="B192">
        <v>82.22</v>
      </c>
      <c r="C192">
        <v>81.99</v>
      </c>
      <c r="D192">
        <v>85.64</v>
      </c>
      <c r="E192">
        <v>81.13</v>
      </c>
      <c r="F192" t="s">
        <v>192</v>
      </c>
      <c r="G192" s="2">
        <v>1.5E-3</v>
      </c>
      <c r="H192">
        <f t="shared" si="4"/>
        <v>1.4616321559074855E-3</v>
      </c>
      <c r="I192">
        <f t="shared" si="5"/>
        <v>1.4605650113499395E-3</v>
      </c>
    </row>
    <row r="193" spans="1:9" x14ac:dyDescent="0.75">
      <c r="A193" s="1">
        <v>45400</v>
      </c>
      <c r="B193">
        <v>82.1</v>
      </c>
      <c r="C193">
        <v>82.28</v>
      </c>
      <c r="D193">
        <v>82.84</v>
      </c>
      <c r="E193">
        <v>81.06</v>
      </c>
      <c r="F193" t="s">
        <v>193</v>
      </c>
      <c r="G193" s="2">
        <v>-5.9999999999999995E-4</v>
      </c>
      <c r="H193">
        <f t="shared" si="4"/>
        <v>-6.0864272671955406E-4</v>
      </c>
      <c r="I193">
        <f t="shared" si="5"/>
        <v>-6.0882802489469943E-4</v>
      </c>
    </row>
    <row r="194" spans="1:9" x14ac:dyDescent="0.75">
      <c r="A194" s="1">
        <v>45399</v>
      </c>
      <c r="B194">
        <v>82.15</v>
      </c>
      <c r="C194">
        <v>84.82</v>
      </c>
      <c r="D194">
        <v>84.97</v>
      </c>
      <c r="E194">
        <v>82.01</v>
      </c>
      <c r="F194" t="s">
        <v>194</v>
      </c>
      <c r="G194" s="2">
        <v>-3.1600000000000003E-2</v>
      </c>
      <c r="H194">
        <f t="shared" si="4"/>
        <v>-3.1592596958623043E-2</v>
      </c>
      <c r="I194">
        <f t="shared" si="5"/>
        <v>-3.2102409336366204E-2</v>
      </c>
    </row>
    <row r="195" spans="1:9" x14ac:dyDescent="0.75">
      <c r="A195" s="1">
        <v>45398</v>
      </c>
      <c r="B195">
        <v>84.83</v>
      </c>
      <c r="C195">
        <v>85.16</v>
      </c>
      <c r="D195">
        <v>85.6</v>
      </c>
      <c r="E195">
        <v>84.22</v>
      </c>
      <c r="F195" t="s">
        <v>195</v>
      </c>
      <c r="G195" s="2">
        <v>-4.0000000000000002E-4</v>
      </c>
      <c r="H195">
        <f t="shared" ref="H195:H258" si="6">(B195-B196)/B196</f>
        <v>-3.5352345038888917E-4</v>
      </c>
      <c r="I195">
        <f t="shared" ref="I195:I258" si="7">LN(B195/B196)</f>
        <v>-3.5358595453540212E-4</v>
      </c>
    </row>
    <row r="196" spans="1:9" x14ac:dyDescent="0.75">
      <c r="A196" s="1">
        <v>45397</v>
      </c>
      <c r="B196">
        <v>84.86</v>
      </c>
      <c r="C196">
        <v>84.99</v>
      </c>
      <c r="D196">
        <v>85.5</v>
      </c>
      <c r="E196">
        <v>83.49</v>
      </c>
      <c r="F196" t="s">
        <v>196</v>
      </c>
      <c r="G196" s="2">
        <v>-2.5999999999999999E-3</v>
      </c>
      <c r="H196">
        <f t="shared" si="6"/>
        <v>-2.5858015984955205E-3</v>
      </c>
      <c r="I196">
        <f t="shared" si="7"/>
        <v>-2.5891505578576417E-3</v>
      </c>
    </row>
    <row r="197" spans="1:9" x14ac:dyDescent="0.75">
      <c r="A197" s="1">
        <v>45394</v>
      </c>
      <c r="B197">
        <v>85.08</v>
      </c>
      <c r="C197">
        <v>85</v>
      </c>
      <c r="D197">
        <v>86.97</v>
      </c>
      <c r="E197">
        <v>84.67</v>
      </c>
      <c r="F197" t="s">
        <v>197</v>
      </c>
      <c r="G197" s="2">
        <v>7.4999999999999997E-3</v>
      </c>
      <c r="H197">
        <f t="shared" si="6"/>
        <v>7.4600355239786316E-3</v>
      </c>
      <c r="I197">
        <f t="shared" si="7"/>
        <v>7.4323470782273453E-3</v>
      </c>
    </row>
    <row r="198" spans="1:9" x14ac:dyDescent="0.75">
      <c r="A198" s="1">
        <v>45393</v>
      </c>
      <c r="B198">
        <v>84.45</v>
      </c>
      <c r="C198">
        <v>85.6</v>
      </c>
      <c r="D198">
        <v>85.89</v>
      </c>
      <c r="E198">
        <v>84.25</v>
      </c>
      <c r="F198" t="s">
        <v>198</v>
      </c>
      <c r="G198" s="2">
        <v>-1.1599999999999999E-2</v>
      </c>
      <c r="H198">
        <f t="shared" si="6"/>
        <v>-1.1587078651685333E-2</v>
      </c>
      <c r="I198">
        <f t="shared" si="7"/>
        <v>-1.1654731958075523E-2</v>
      </c>
    </row>
    <row r="199" spans="1:9" x14ac:dyDescent="0.75">
      <c r="A199" s="1">
        <v>45392</v>
      </c>
      <c r="B199">
        <v>85.44</v>
      </c>
      <c r="C199">
        <v>84.57</v>
      </c>
      <c r="D199">
        <v>85.6</v>
      </c>
      <c r="E199">
        <v>83.86</v>
      </c>
      <c r="F199" t="s">
        <v>199</v>
      </c>
      <c r="G199" s="2">
        <v>1.1599999999999999E-2</v>
      </c>
      <c r="H199">
        <f t="shared" si="6"/>
        <v>1.1603125739995312E-2</v>
      </c>
      <c r="I199">
        <f t="shared" si="7"/>
        <v>1.1536325706087263E-2</v>
      </c>
    </row>
    <row r="200" spans="1:9" x14ac:dyDescent="0.75">
      <c r="A200" s="1">
        <v>45391</v>
      </c>
      <c r="B200">
        <v>84.46</v>
      </c>
      <c r="C200">
        <v>85.69</v>
      </c>
      <c r="D200">
        <v>86.07</v>
      </c>
      <c r="E200">
        <v>84.29</v>
      </c>
      <c r="F200" t="s">
        <v>200</v>
      </c>
      <c r="G200" s="2">
        <v>-1.2500000000000001E-2</v>
      </c>
      <c r="H200">
        <f t="shared" si="6"/>
        <v>-1.2510230328539779E-2</v>
      </c>
      <c r="I200">
        <f t="shared" si="7"/>
        <v>-1.2589142086892926E-2</v>
      </c>
    </row>
    <row r="201" spans="1:9" x14ac:dyDescent="0.75">
      <c r="A201" s="1">
        <v>45390</v>
      </c>
      <c r="B201">
        <v>85.53</v>
      </c>
      <c r="C201">
        <v>85.19</v>
      </c>
      <c r="D201">
        <v>86.21</v>
      </c>
      <c r="E201">
        <v>83.93</v>
      </c>
      <c r="F201" t="s">
        <v>201</v>
      </c>
      <c r="G201" s="2">
        <v>-6.6E-3</v>
      </c>
      <c r="H201">
        <f t="shared" si="6"/>
        <v>-6.620209059233371E-3</v>
      </c>
      <c r="I201">
        <f t="shared" si="7"/>
        <v>-6.6422198409946788E-3</v>
      </c>
    </row>
    <row r="202" spans="1:9" x14ac:dyDescent="0.75">
      <c r="A202" s="1">
        <v>45387</v>
      </c>
      <c r="B202">
        <v>86.1</v>
      </c>
      <c r="C202">
        <v>85.98</v>
      </c>
      <c r="D202">
        <v>86.83</v>
      </c>
      <c r="E202">
        <v>85.62</v>
      </c>
      <c r="F202" t="s">
        <v>202</v>
      </c>
      <c r="G202" s="2">
        <v>3.3999999999999998E-3</v>
      </c>
      <c r="H202">
        <f t="shared" si="6"/>
        <v>3.3795594919006182E-3</v>
      </c>
      <c r="I202">
        <f t="shared" si="7"/>
        <v>3.3738616146554439E-3</v>
      </c>
    </row>
    <row r="203" spans="1:9" x14ac:dyDescent="0.75">
      <c r="A203" s="1">
        <v>45386</v>
      </c>
      <c r="B203">
        <v>85.81</v>
      </c>
      <c r="C203">
        <v>84.82</v>
      </c>
      <c r="D203">
        <v>86.41</v>
      </c>
      <c r="E203">
        <v>83.94</v>
      </c>
      <c r="F203" t="s">
        <v>203</v>
      </c>
      <c r="G203" s="2">
        <v>1.4200000000000001E-2</v>
      </c>
      <c r="H203">
        <f t="shared" si="6"/>
        <v>1.4182720718591217E-2</v>
      </c>
      <c r="I203">
        <f t="shared" si="7"/>
        <v>1.4083086882620036E-2</v>
      </c>
    </row>
    <row r="204" spans="1:9" x14ac:dyDescent="0.75">
      <c r="A204" s="1">
        <v>45385</v>
      </c>
      <c r="B204">
        <v>84.61</v>
      </c>
      <c r="C204">
        <v>84.54</v>
      </c>
      <c r="D204">
        <v>85.27</v>
      </c>
      <c r="E204">
        <v>83.99</v>
      </c>
      <c r="F204" t="s">
        <v>204</v>
      </c>
      <c r="G204" s="2">
        <v>4.5999999999999999E-3</v>
      </c>
      <c r="H204">
        <f t="shared" si="6"/>
        <v>4.6307290429826713E-3</v>
      </c>
      <c r="I204">
        <f t="shared" si="7"/>
        <v>4.6200402026277025E-3</v>
      </c>
    </row>
    <row r="205" spans="1:9" x14ac:dyDescent="0.75">
      <c r="A205" s="1">
        <v>45384</v>
      </c>
      <c r="B205">
        <v>84.22</v>
      </c>
      <c r="C205">
        <v>83.14</v>
      </c>
      <c r="D205">
        <v>84.56</v>
      </c>
      <c r="E205">
        <v>82.96</v>
      </c>
      <c r="F205" t="s">
        <v>205</v>
      </c>
      <c r="G205" s="2">
        <v>1.6899999999999998E-2</v>
      </c>
      <c r="H205">
        <f t="shared" si="6"/>
        <v>1.6904129437334048E-2</v>
      </c>
      <c r="I205">
        <f t="shared" si="7"/>
        <v>1.6762844616360534E-2</v>
      </c>
    </row>
    <row r="206" spans="1:9" x14ac:dyDescent="0.75">
      <c r="A206" s="1">
        <v>45383</v>
      </c>
      <c r="B206">
        <v>82.82</v>
      </c>
      <c r="C206">
        <v>82.36</v>
      </c>
      <c r="D206">
        <v>83.46</v>
      </c>
      <c r="E206">
        <v>81.84</v>
      </c>
      <c r="F206" t="s">
        <v>206</v>
      </c>
      <c r="G206" s="2">
        <v>4.8999999999999998E-3</v>
      </c>
      <c r="H206">
        <f t="shared" si="6"/>
        <v>4.8531909730646864E-3</v>
      </c>
      <c r="I206">
        <f t="shared" si="7"/>
        <v>4.8414522067498061E-3</v>
      </c>
    </row>
    <row r="207" spans="1:9" x14ac:dyDescent="0.75">
      <c r="A207" s="1">
        <v>45379</v>
      </c>
      <c r="B207">
        <v>82.42</v>
      </c>
      <c r="C207">
        <v>81.11</v>
      </c>
      <c r="D207">
        <v>82.46</v>
      </c>
      <c r="E207">
        <v>80.91</v>
      </c>
      <c r="F207" t="s">
        <v>207</v>
      </c>
      <c r="G207" s="2">
        <v>2.0299999999999999E-2</v>
      </c>
      <c r="H207">
        <f t="shared" si="6"/>
        <v>2.0302054964100032E-2</v>
      </c>
      <c r="I207">
        <f t="shared" si="7"/>
        <v>2.0098715775404442E-2</v>
      </c>
    </row>
    <row r="208" spans="1:9" x14ac:dyDescent="0.75">
      <c r="A208" s="1">
        <v>45378</v>
      </c>
      <c r="B208">
        <v>80.78</v>
      </c>
      <c r="C208">
        <v>80.709999999999994</v>
      </c>
      <c r="D208">
        <v>81.12</v>
      </c>
      <c r="E208">
        <v>79.989999999999995</v>
      </c>
      <c r="F208" t="s">
        <v>208</v>
      </c>
      <c r="G208" s="2">
        <v>-3.2000000000000002E-3</v>
      </c>
      <c r="H208">
        <f t="shared" si="6"/>
        <v>-3.2082922013820965E-3</v>
      </c>
      <c r="I208">
        <f t="shared" si="7"/>
        <v>-3.2134498051611783E-3</v>
      </c>
    </row>
    <row r="209" spans="1:9" x14ac:dyDescent="0.75">
      <c r="A209" s="1">
        <v>45377</v>
      </c>
      <c r="B209">
        <v>81.040000000000006</v>
      </c>
      <c r="C209">
        <v>81.44</v>
      </c>
      <c r="D209">
        <v>81.77</v>
      </c>
      <c r="E209">
        <v>80.63</v>
      </c>
      <c r="F209" t="s">
        <v>209</v>
      </c>
      <c r="G209" s="2">
        <v>-4.1999999999999997E-3</v>
      </c>
      <c r="H209">
        <f t="shared" si="6"/>
        <v>-4.177930695502448E-3</v>
      </c>
      <c r="I209">
        <f t="shared" si="7"/>
        <v>-4.1866826331158017E-3</v>
      </c>
    </row>
    <row r="210" spans="1:9" x14ac:dyDescent="0.75">
      <c r="A210" s="1">
        <v>45376</v>
      </c>
      <c r="B210">
        <v>81.38</v>
      </c>
      <c r="C210">
        <v>80.400000000000006</v>
      </c>
      <c r="D210">
        <v>81.84</v>
      </c>
      <c r="E210">
        <v>80.13</v>
      </c>
      <c r="F210" t="s">
        <v>210</v>
      </c>
      <c r="G210" s="2">
        <v>1.5100000000000001E-2</v>
      </c>
      <c r="H210">
        <f t="shared" si="6"/>
        <v>1.5092927529000795E-2</v>
      </c>
      <c r="I210">
        <f t="shared" si="7"/>
        <v>1.4980162518683589E-2</v>
      </c>
    </row>
    <row r="211" spans="1:9" x14ac:dyDescent="0.75">
      <c r="A211" s="1">
        <v>45373</v>
      </c>
      <c r="B211">
        <v>80.17</v>
      </c>
      <c r="C211">
        <v>80.39</v>
      </c>
      <c r="D211">
        <v>80.97</v>
      </c>
      <c r="E211">
        <v>79.989999999999995</v>
      </c>
      <c r="F211" t="s">
        <v>211</v>
      </c>
      <c r="G211" s="2">
        <v>-5.7999999999999996E-3</v>
      </c>
      <c r="H211">
        <f t="shared" si="6"/>
        <v>-5.8283730158730021E-3</v>
      </c>
      <c r="I211">
        <f t="shared" si="7"/>
        <v>-5.8454242681982389E-3</v>
      </c>
    </row>
    <row r="212" spans="1:9" x14ac:dyDescent="0.75">
      <c r="A212" s="1">
        <v>45372</v>
      </c>
      <c r="B212">
        <v>80.64</v>
      </c>
      <c r="C212">
        <v>81</v>
      </c>
      <c r="D212">
        <v>81.38</v>
      </c>
      <c r="E212">
        <v>79.91</v>
      </c>
      <c r="F212" t="s">
        <v>212</v>
      </c>
      <c r="G212" s="2">
        <v>-7.7999999999999996E-3</v>
      </c>
      <c r="H212">
        <f t="shared" si="6"/>
        <v>-7.7519379844960684E-3</v>
      </c>
      <c r="I212">
        <f t="shared" si="7"/>
        <v>-7.7821404420548509E-3</v>
      </c>
    </row>
    <row r="213" spans="1:9" x14ac:dyDescent="0.75">
      <c r="A213" s="1">
        <v>45371</v>
      </c>
      <c r="B213">
        <v>81.27</v>
      </c>
      <c r="C213">
        <v>82.53</v>
      </c>
      <c r="D213">
        <v>82.65</v>
      </c>
      <c r="E213">
        <v>80.83</v>
      </c>
      <c r="F213" t="s">
        <v>213</v>
      </c>
      <c r="G213" s="2">
        <v>-1.7600000000000001E-2</v>
      </c>
      <c r="H213">
        <f t="shared" si="6"/>
        <v>-1.7647769853741179E-2</v>
      </c>
      <c r="I213">
        <f t="shared" si="7"/>
        <v>-1.7805348436978174E-2</v>
      </c>
    </row>
    <row r="214" spans="1:9" x14ac:dyDescent="0.75">
      <c r="A214" s="1">
        <v>45370</v>
      </c>
      <c r="B214">
        <v>82.73</v>
      </c>
      <c r="C214">
        <v>82.21</v>
      </c>
      <c r="D214">
        <v>83.12</v>
      </c>
      <c r="E214">
        <v>81.81</v>
      </c>
      <c r="F214" t="s">
        <v>214</v>
      </c>
      <c r="G214" s="2">
        <v>6.8999999999999999E-3</v>
      </c>
      <c r="H214">
        <f t="shared" si="6"/>
        <v>6.9376825705940535E-3</v>
      </c>
      <c r="I214">
        <f t="shared" si="7"/>
        <v>6.9137275817887887E-3</v>
      </c>
    </row>
    <row r="215" spans="1:9" x14ac:dyDescent="0.75">
      <c r="A215" s="1">
        <v>45369</v>
      </c>
      <c r="B215">
        <v>82.16</v>
      </c>
      <c r="C215">
        <v>80.58</v>
      </c>
      <c r="D215">
        <v>82.5</v>
      </c>
      <c r="E215">
        <v>80.56</v>
      </c>
      <c r="F215" t="s">
        <v>215</v>
      </c>
      <c r="G215" s="2">
        <v>1.9599999999999999E-2</v>
      </c>
      <c r="H215">
        <f t="shared" si="6"/>
        <v>1.9607843137254881E-2</v>
      </c>
      <c r="I215">
        <f t="shared" si="7"/>
        <v>1.9418085857101516E-2</v>
      </c>
    </row>
    <row r="216" spans="1:9" x14ac:dyDescent="0.75">
      <c r="A216" s="1">
        <v>45366</v>
      </c>
      <c r="B216">
        <v>80.58</v>
      </c>
      <c r="C216">
        <v>80.58</v>
      </c>
      <c r="D216">
        <v>80.89</v>
      </c>
      <c r="E216">
        <v>80.010000000000005</v>
      </c>
      <c r="F216" t="s">
        <v>216</v>
      </c>
      <c r="G216" s="2">
        <v>-2E-3</v>
      </c>
      <c r="H216">
        <f t="shared" si="6"/>
        <v>-1.9816695566013945E-3</v>
      </c>
      <c r="I216">
        <f t="shared" si="7"/>
        <v>-1.9836356615935084E-3</v>
      </c>
    </row>
    <row r="217" spans="1:9" x14ac:dyDescent="0.75">
      <c r="A217" s="1">
        <v>45365</v>
      </c>
      <c r="B217">
        <v>80.739999999999995</v>
      </c>
      <c r="C217">
        <v>79.239999999999995</v>
      </c>
      <c r="D217">
        <v>81.03</v>
      </c>
      <c r="E217">
        <v>79.150000000000006</v>
      </c>
      <c r="F217" t="s">
        <v>217</v>
      </c>
      <c r="G217" s="2">
        <v>1.8200000000000001E-2</v>
      </c>
      <c r="H217">
        <f t="shared" si="6"/>
        <v>1.8158890290037803E-2</v>
      </c>
      <c r="I217">
        <f t="shared" si="7"/>
        <v>1.7995986783992435E-2</v>
      </c>
    </row>
    <row r="218" spans="1:9" x14ac:dyDescent="0.75">
      <c r="A218" s="1">
        <v>45364</v>
      </c>
      <c r="B218">
        <v>79.3</v>
      </c>
      <c r="C218">
        <v>77.72</v>
      </c>
      <c r="D218">
        <v>79.459999999999994</v>
      </c>
      <c r="E218">
        <v>77.31</v>
      </c>
      <c r="F218" t="s">
        <v>218</v>
      </c>
      <c r="G218" s="2">
        <v>2.6499999999999999E-2</v>
      </c>
      <c r="H218">
        <f t="shared" si="6"/>
        <v>2.6537216828478927E-2</v>
      </c>
      <c r="I218">
        <f t="shared" si="7"/>
        <v>2.6191212862947476E-2</v>
      </c>
    </row>
    <row r="219" spans="1:9" x14ac:dyDescent="0.75">
      <c r="A219" s="1">
        <v>45363</v>
      </c>
      <c r="B219">
        <v>77.25</v>
      </c>
      <c r="C219">
        <v>77.709999999999994</v>
      </c>
      <c r="D219">
        <v>78.31</v>
      </c>
      <c r="E219">
        <v>77.010000000000005</v>
      </c>
      <c r="F219" t="s">
        <v>219</v>
      </c>
      <c r="G219" s="2">
        <v>-3.5999999999999999E-3</v>
      </c>
      <c r="H219">
        <f t="shared" si="6"/>
        <v>-3.6115052237843562E-3</v>
      </c>
      <c r="I219">
        <f t="shared" si="7"/>
        <v>-3.6180424530128609E-3</v>
      </c>
    </row>
    <row r="220" spans="1:9" x14ac:dyDescent="0.75">
      <c r="A220" s="1">
        <v>45362</v>
      </c>
      <c r="B220">
        <v>77.53</v>
      </c>
      <c r="C220">
        <v>77.239999999999995</v>
      </c>
      <c r="D220">
        <v>78.03</v>
      </c>
      <c r="E220">
        <v>76.430000000000007</v>
      </c>
      <c r="F220" t="s">
        <v>220</v>
      </c>
      <c r="G220" s="2">
        <v>4.0000000000000002E-4</v>
      </c>
      <c r="H220">
        <f t="shared" si="6"/>
        <v>3.8709677419356307E-4</v>
      </c>
      <c r="I220">
        <f t="shared" si="7"/>
        <v>3.870218715662541E-4</v>
      </c>
    </row>
    <row r="221" spans="1:9" x14ac:dyDescent="0.75">
      <c r="A221" s="1">
        <v>45359</v>
      </c>
      <c r="B221">
        <v>77.5</v>
      </c>
      <c r="C221">
        <v>78.77</v>
      </c>
      <c r="D221">
        <v>79.290000000000006</v>
      </c>
      <c r="E221">
        <v>77.05</v>
      </c>
      <c r="F221" t="s">
        <v>221</v>
      </c>
      <c r="G221" s="2">
        <v>-1.0500000000000001E-2</v>
      </c>
      <c r="H221">
        <f t="shared" si="6"/>
        <v>-1.046986721144016E-2</v>
      </c>
      <c r="I221">
        <f t="shared" si="7"/>
        <v>-1.0525061862953549E-2</v>
      </c>
    </row>
    <row r="222" spans="1:9" x14ac:dyDescent="0.75">
      <c r="A222" s="1">
        <v>45358</v>
      </c>
      <c r="B222">
        <v>78.319999999999993</v>
      </c>
      <c r="C222">
        <v>78.41</v>
      </c>
      <c r="D222">
        <v>78.89</v>
      </c>
      <c r="E222">
        <v>77.47</v>
      </c>
      <c r="F222" t="s">
        <v>222</v>
      </c>
      <c r="G222" s="2">
        <v>-1.1000000000000001E-3</v>
      </c>
      <c r="H222">
        <f t="shared" si="6"/>
        <v>-1.1478127789823162E-3</v>
      </c>
      <c r="I222">
        <f t="shared" si="7"/>
        <v>-1.1484720205757115E-3</v>
      </c>
    </row>
    <row r="223" spans="1:9" x14ac:dyDescent="0.75">
      <c r="A223" s="1">
        <v>45357</v>
      </c>
      <c r="B223">
        <v>78.41</v>
      </c>
      <c r="C223">
        <v>77.44</v>
      </c>
      <c r="D223">
        <v>79.69</v>
      </c>
      <c r="E223">
        <v>77.25</v>
      </c>
      <c r="F223" t="s">
        <v>223</v>
      </c>
      <c r="G223" s="2">
        <v>1.29E-2</v>
      </c>
      <c r="H223">
        <f t="shared" si="6"/>
        <v>1.291822761917065E-2</v>
      </c>
      <c r="I223">
        <f t="shared" si="7"/>
        <v>1.2835499026208487E-2</v>
      </c>
    </row>
    <row r="224" spans="1:9" x14ac:dyDescent="0.75">
      <c r="A224" s="1">
        <v>45356</v>
      </c>
      <c r="B224">
        <v>77.41</v>
      </c>
      <c r="C224">
        <v>78.19</v>
      </c>
      <c r="D224">
        <v>78.64</v>
      </c>
      <c r="E224">
        <v>77.05</v>
      </c>
      <c r="F224" t="s">
        <v>224</v>
      </c>
      <c r="G224" s="2">
        <v>-9.7000000000000003E-3</v>
      </c>
      <c r="H224">
        <f t="shared" si="6"/>
        <v>-9.7223998976590145E-3</v>
      </c>
      <c r="I224">
        <f t="shared" si="7"/>
        <v>-9.7699710156170533E-3</v>
      </c>
    </row>
    <row r="225" spans="1:9" x14ac:dyDescent="0.75">
      <c r="A225" s="1">
        <v>45355</v>
      </c>
      <c r="B225">
        <v>78.17</v>
      </c>
      <c r="C225">
        <v>79.239999999999995</v>
      </c>
      <c r="D225">
        <v>79.53</v>
      </c>
      <c r="E225">
        <v>77.930000000000007</v>
      </c>
      <c r="F225" t="s">
        <v>225</v>
      </c>
      <c r="G225" s="2">
        <v>-1.1599999999999999E-2</v>
      </c>
      <c r="H225">
        <f t="shared" si="6"/>
        <v>-1.1632317612846145E-2</v>
      </c>
      <c r="I225">
        <f t="shared" si="7"/>
        <v>-1.1700502299086793E-2</v>
      </c>
    </row>
    <row r="226" spans="1:9" x14ac:dyDescent="0.75">
      <c r="A226" s="1">
        <v>45352</v>
      </c>
      <c r="B226">
        <v>79.09</v>
      </c>
      <c r="C226">
        <v>77.489999999999995</v>
      </c>
      <c r="D226">
        <v>79.87</v>
      </c>
      <c r="E226">
        <v>77.3</v>
      </c>
      <c r="F226" t="s">
        <v>226</v>
      </c>
      <c r="G226" s="2">
        <v>2.12E-2</v>
      </c>
      <c r="H226">
        <f t="shared" si="6"/>
        <v>2.1174951581665599E-2</v>
      </c>
      <c r="I226">
        <f t="shared" si="7"/>
        <v>2.0953877668448129E-2</v>
      </c>
    </row>
    <row r="227" spans="1:9" x14ac:dyDescent="0.75">
      <c r="A227" s="1">
        <v>45351</v>
      </c>
      <c r="B227">
        <v>77.45</v>
      </c>
      <c r="C227">
        <v>77.5</v>
      </c>
      <c r="D227">
        <v>78.349999999999994</v>
      </c>
      <c r="E227">
        <v>77.2</v>
      </c>
      <c r="F227" t="s">
        <v>227</v>
      </c>
      <c r="G227" s="2">
        <v>-4.8999999999999998E-3</v>
      </c>
      <c r="H227">
        <f t="shared" si="6"/>
        <v>-4.8824360786328593E-3</v>
      </c>
      <c r="I227">
        <f t="shared" si="7"/>
        <v>-4.8943941084190583E-3</v>
      </c>
    </row>
    <row r="228" spans="1:9" x14ac:dyDescent="0.75">
      <c r="A228" s="1">
        <v>45350</v>
      </c>
      <c r="B228">
        <v>77.83</v>
      </c>
      <c r="C228">
        <v>77.88</v>
      </c>
      <c r="D228">
        <v>78.83</v>
      </c>
      <c r="E228">
        <v>77.17</v>
      </c>
      <c r="F228" t="s">
        <v>228</v>
      </c>
      <c r="G228" s="2">
        <v>-5.1000000000000004E-3</v>
      </c>
      <c r="H228">
        <f t="shared" si="6"/>
        <v>-5.1131279560271718E-3</v>
      </c>
      <c r="I228">
        <f t="shared" si="7"/>
        <v>-5.1262447256925012E-3</v>
      </c>
    </row>
    <row r="229" spans="1:9" x14ac:dyDescent="0.75">
      <c r="A229" s="1">
        <v>45349</v>
      </c>
      <c r="B229">
        <v>78.23</v>
      </c>
      <c r="C229">
        <v>77.11</v>
      </c>
      <c r="D229">
        <v>78.33</v>
      </c>
      <c r="E229">
        <v>76.67</v>
      </c>
      <c r="F229" t="s">
        <v>229</v>
      </c>
      <c r="G229" s="2">
        <v>1.4800000000000001E-2</v>
      </c>
      <c r="H229">
        <f t="shared" si="6"/>
        <v>1.4787910234790511E-2</v>
      </c>
      <c r="I229">
        <f t="shared" si="7"/>
        <v>1.4679635225818471E-2</v>
      </c>
    </row>
    <row r="230" spans="1:9" x14ac:dyDescent="0.75">
      <c r="A230" s="1">
        <v>45348</v>
      </c>
      <c r="B230">
        <v>77.09</v>
      </c>
      <c r="C230">
        <v>76.040000000000006</v>
      </c>
      <c r="D230">
        <v>77.55</v>
      </c>
      <c r="E230">
        <v>75.5</v>
      </c>
      <c r="F230" t="s">
        <v>230</v>
      </c>
      <c r="G230" s="2">
        <v>1.3299999999999999E-2</v>
      </c>
      <c r="H230">
        <f t="shared" si="6"/>
        <v>1.3275499474237713E-2</v>
      </c>
      <c r="I230">
        <f t="shared" si="7"/>
        <v>1.3188152234035983E-2</v>
      </c>
    </row>
    <row r="231" spans="1:9" x14ac:dyDescent="0.75">
      <c r="A231" s="1">
        <v>45345</v>
      </c>
      <c r="B231">
        <v>76.08</v>
      </c>
      <c r="C231">
        <v>77.709999999999994</v>
      </c>
      <c r="D231">
        <v>77.739999999999995</v>
      </c>
      <c r="E231">
        <v>75.89</v>
      </c>
      <c r="F231" t="s">
        <v>231</v>
      </c>
      <c r="G231" s="2">
        <v>-2.3699999999999999E-2</v>
      </c>
      <c r="H231">
        <f t="shared" si="6"/>
        <v>-2.3739253175927223E-2</v>
      </c>
      <c r="I231">
        <f t="shared" si="7"/>
        <v>-2.4025569618334765E-2</v>
      </c>
    </row>
    <row r="232" spans="1:9" x14ac:dyDescent="0.75">
      <c r="A232" s="1">
        <v>45344</v>
      </c>
      <c r="B232">
        <v>77.930000000000007</v>
      </c>
      <c r="C232">
        <v>77.459999999999994</v>
      </c>
      <c r="D232">
        <v>78.17</v>
      </c>
      <c r="E232">
        <v>76.62</v>
      </c>
      <c r="F232" t="s">
        <v>232</v>
      </c>
      <c r="G232" s="2">
        <v>8.0000000000000002E-3</v>
      </c>
      <c r="H232">
        <f t="shared" si="6"/>
        <v>8.0196611046437008E-3</v>
      </c>
      <c r="I232">
        <f t="shared" si="7"/>
        <v>7.9876745230862325E-3</v>
      </c>
    </row>
    <row r="233" spans="1:9" x14ac:dyDescent="0.75">
      <c r="A233" s="1">
        <v>45343</v>
      </c>
      <c r="B233">
        <v>77.31</v>
      </c>
      <c r="C233">
        <v>76.739999999999995</v>
      </c>
      <c r="D233">
        <v>77.45</v>
      </c>
      <c r="E233">
        <v>75.95</v>
      </c>
      <c r="F233" t="s">
        <v>233</v>
      </c>
      <c r="G233" s="2">
        <v>3.5000000000000001E-3</v>
      </c>
      <c r="H233">
        <f t="shared" si="6"/>
        <v>3.5046728971962096E-3</v>
      </c>
      <c r="I233">
        <f t="shared" si="7"/>
        <v>3.4985458425131457E-3</v>
      </c>
    </row>
    <row r="234" spans="1:9" x14ac:dyDescent="0.75">
      <c r="A234" s="1">
        <v>45342</v>
      </c>
      <c r="B234">
        <v>77.040000000000006</v>
      </c>
      <c r="C234">
        <v>78.34</v>
      </c>
      <c r="D234">
        <v>78.56</v>
      </c>
      <c r="E234">
        <v>76.8</v>
      </c>
      <c r="F234" t="s">
        <v>234</v>
      </c>
      <c r="G234" s="2">
        <v>-1.37E-2</v>
      </c>
      <c r="H234">
        <f t="shared" si="6"/>
        <v>-1.3698630136986214E-2</v>
      </c>
      <c r="I234">
        <f t="shared" si="7"/>
        <v>-1.3793322132335761E-2</v>
      </c>
    </row>
    <row r="235" spans="1:9" x14ac:dyDescent="0.75">
      <c r="A235" s="1">
        <v>45341</v>
      </c>
      <c r="B235">
        <v>78.11</v>
      </c>
      <c r="C235">
        <v>78.16</v>
      </c>
      <c r="D235">
        <v>78.56</v>
      </c>
      <c r="E235">
        <v>77.64</v>
      </c>
      <c r="G235" s="2">
        <v>-4.4999999999999997E-3</v>
      </c>
      <c r="H235">
        <f t="shared" si="6"/>
        <v>-4.4608717817995712E-3</v>
      </c>
      <c r="I235">
        <f t="shared" si="7"/>
        <v>-4.4708511592004736E-3</v>
      </c>
    </row>
    <row r="236" spans="1:9" x14ac:dyDescent="0.75">
      <c r="A236" s="1">
        <v>45338</v>
      </c>
      <c r="B236">
        <v>78.459999999999994</v>
      </c>
      <c r="C236">
        <v>77.63</v>
      </c>
      <c r="D236">
        <v>78.52</v>
      </c>
      <c r="E236">
        <v>76.69</v>
      </c>
      <c r="F236" t="s">
        <v>235</v>
      </c>
      <c r="G236" s="2">
        <v>1.12E-2</v>
      </c>
      <c r="H236">
        <f t="shared" si="6"/>
        <v>1.1212785152725741E-2</v>
      </c>
      <c r="I236">
        <f t="shared" si="7"/>
        <v>1.1150387875548465E-2</v>
      </c>
    </row>
    <row r="237" spans="1:9" x14ac:dyDescent="0.75">
      <c r="A237" s="1">
        <v>45337</v>
      </c>
      <c r="B237">
        <v>77.59</v>
      </c>
      <c r="C237">
        <v>76.33</v>
      </c>
      <c r="D237">
        <v>78.069999999999993</v>
      </c>
      <c r="E237">
        <v>75.52</v>
      </c>
      <c r="F237" t="s">
        <v>236</v>
      </c>
      <c r="G237" s="2">
        <v>1.61E-2</v>
      </c>
      <c r="H237">
        <f t="shared" si="6"/>
        <v>1.6107909900471503E-2</v>
      </c>
      <c r="I237">
        <f t="shared" si="7"/>
        <v>1.5979554048311088E-2</v>
      </c>
    </row>
    <row r="238" spans="1:9" x14ac:dyDescent="0.75">
      <c r="A238" s="1">
        <v>45336</v>
      </c>
      <c r="B238">
        <v>76.36</v>
      </c>
      <c r="C238">
        <v>77.48</v>
      </c>
      <c r="D238">
        <v>78.430000000000007</v>
      </c>
      <c r="E238">
        <v>76.12</v>
      </c>
      <c r="F238" t="s">
        <v>237</v>
      </c>
      <c r="G238" s="2">
        <v>-1.55E-2</v>
      </c>
      <c r="H238">
        <f t="shared" si="6"/>
        <v>-1.5471892728210455E-2</v>
      </c>
      <c r="I238">
        <f t="shared" si="7"/>
        <v>-1.5592831516904253E-2</v>
      </c>
    </row>
    <row r="239" spans="1:9" x14ac:dyDescent="0.75">
      <c r="A239" s="1">
        <v>45335</v>
      </c>
      <c r="B239">
        <v>77.56</v>
      </c>
      <c r="C239">
        <v>76.900000000000006</v>
      </c>
      <c r="D239">
        <v>78.099999999999994</v>
      </c>
      <c r="E239">
        <v>76.77</v>
      </c>
      <c r="F239" t="s">
        <v>238</v>
      </c>
      <c r="G239" s="2">
        <v>9.5999999999999992E-3</v>
      </c>
      <c r="H239">
        <f t="shared" si="6"/>
        <v>9.6329080968498987E-3</v>
      </c>
      <c r="I239">
        <f t="shared" si="7"/>
        <v>9.5868074566923395E-3</v>
      </c>
    </row>
    <row r="240" spans="1:9" x14ac:dyDescent="0.75">
      <c r="A240" s="1">
        <v>45334</v>
      </c>
      <c r="B240">
        <v>76.819999999999993</v>
      </c>
      <c r="C240">
        <v>76.540000000000006</v>
      </c>
      <c r="D240">
        <v>77</v>
      </c>
      <c r="E240">
        <v>75.489999999999995</v>
      </c>
      <c r="F240" t="s">
        <v>239</v>
      </c>
      <c r="G240" s="2">
        <v>6.9999999999999999E-4</v>
      </c>
      <c r="H240">
        <f t="shared" si="6"/>
        <v>6.5129607919756625E-4</v>
      </c>
      <c r="I240">
        <f t="shared" si="7"/>
        <v>6.5108407795156438E-4</v>
      </c>
    </row>
    <row r="241" spans="1:9" x14ac:dyDescent="0.75">
      <c r="A241" s="1">
        <v>45331</v>
      </c>
      <c r="B241">
        <v>76.77</v>
      </c>
      <c r="C241">
        <v>76.319999999999993</v>
      </c>
      <c r="D241">
        <v>77.17</v>
      </c>
      <c r="E241">
        <v>75.88</v>
      </c>
      <c r="F241" t="s">
        <v>240</v>
      </c>
      <c r="G241" s="2">
        <v>7.6E-3</v>
      </c>
      <c r="H241">
        <f t="shared" si="6"/>
        <v>7.6125475784223429E-3</v>
      </c>
      <c r="I241">
        <f t="shared" si="7"/>
        <v>7.5837183548888246E-3</v>
      </c>
    </row>
    <row r="242" spans="1:9" x14ac:dyDescent="0.75">
      <c r="A242" s="1">
        <v>45330</v>
      </c>
      <c r="B242">
        <v>76.19</v>
      </c>
      <c r="C242">
        <v>74.12</v>
      </c>
      <c r="D242">
        <v>76.489999999999995</v>
      </c>
      <c r="E242">
        <v>73.650000000000006</v>
      </c>
      <c r="F242" t="s">
        <v>241</v>
      </c>
      <c r="G242" s="2">
        <v>3.0800000000000001E-2</v>
      </c>
      <c r="H242">
        <f t="shared" si="6"/>
        <v>3.0848329048843205E-2</v>
      </c>
      <c r="I242">
        <f t="shared" si="7"/>
        <v>3.0382083688122972E-2</v>
      </c>
    </row>
    <row r="243" spans="1:9" x14ac:dyDescent="0.75">
      <c r="A243" s="1">
        <v>45329</v>
      </c>
      <c r="B243">
        <v>73.91</v>
      </c>
      <c r="C243">
        <v>73.53</v>
      </c>
      <c r="D243">
        <v>74.25</v>
      </c>
      <c r="E243">
        <v>73.290000000000006</v>
      </c>
      <c r="F243" t="s">
        <v>242</v>
      </c>
      <c r="G243" s="2">
        <v>7.4000000000000003E-3</v>
      </c>
      <c r="H243">
        <f t="shared" si="6"/>
        <v>7.359956385443533E-3</v>
      </c>
      <c r="I243">
        <f t="shared" si="7"/>
        <v>7.3330040708924713E-3</v>
      </c>
    </row>
    <row r="244" spans="1:9" x14ac:dyDescent="0.75">
      <c r="A244" s="1">
        <v>45328</v>
      </c>
      <c r="B244">
        <v>73.37</v>
      </c>
      <c r="C244">
        <v>72.81</v>
      </c>
      <c r="D244">
        <v>73.88</v>
      </c>
      <c r="E244">
        <v>72.48</v>
      </c>
      <c r="F244" t="s">
        <v>243</v>
      </c>
      <c r="G244" s="2">
        <v>7.1000000000000004E-3</v>
      </c>
      <c r="H244">
        <f t="shared" si="6"/>
        <v>7.1379547014414589E-3</v>
      </c>
      <c r="I244">
        <f t="shared" si="7"/>
        <v>7.112600084689143E-3</v>
      </c>
    </row>
    <row r="245" spans="1:9" x14ac:dyDescent="0.75">
      <c r="A245" s="1">
        <v>45327</v>
      </c>
      <c r="B245">
        <v>72.849999999999994</v>
      </c>
      <c r="C245">
        <v>72.7</v>
      </c>
      <c r="D245">
        <v>73.3</v>
      </c>
      <c r="E245">
        <v>71.489999999999995</v>
      </c>
      <c r="F245" t="s">
        <v>244</v>
      </c>
      <c r="G245" s="2">
        <v>7.6E-3</v>
      </c>
      <c r="H245">
        <f t="shared" si="6"/>
        <v>7.6071922544951199E-3</v>
      </c>
      <c r="I245">
        <f t="shared" si="7"/>
        <v>7.5784034764948098E-3</v>
      </c>
    </row>
    <row r="246" spans="1:9" x14ac:dyDescent="0.75">
      <c r="A246" s="1">
        <v>45324</v>
      </c>
      <c r="B246">
        <v>72.3</v>
      </c>
      <c r="C246">
        <v>73.900000000000006</v>
      </c>
      <c r="D246">
        <v>74.459999999999994</v>
      </c>
      <c r="E246">
        <v>71.84</v>
      </c>
      <c r="F246" t="s">
        <v>245</v>
      </c>
      <c r="G246" s="2">
        <v>-2.0199999999999999E-2</v>
      </c>
      <c r="H246">
        <f t="shared" si="6"/>
        <v>-2.0192437999729081E-2</v>
      </c>
      <c r="I246">
        <f t="shared" si="7"/>
        <v>-2.0399091905556343E-2</v>
      </c>
    </row>
    <row r="247" spans="1:9" x14ac:dyDescent="0.75">
      <c r="A247" s="1">
        <v>45323</v>
      </c>
      <c r="B247">
        <v>73.790000000000006</v>
      </c>
      <c r="C247">
        <v>75.540000000000006</v>
      </c>
      <c r="D247">
        <v>76.75</v>
      </c>
      <c r="E247">
        <v>73.680000000000007</v>
      </c>
      <c r="F247" t="s">
        <v>246</v>
      </c>
      <c r="G247" s="2">
        <v>-2.5399999999999999E-2</v>
      </c>
      <c r="H247">
        <f t="shared" si="6"/>
        <v>-2.5359926033548905E-2</v>
      </c>
      <c r="I247">
        <f t="shared" si="7"/>
        <v>-2.5687031044939773E-2</v>
      </c>
    </row>
    <row r="248" spans="1:9" x14ac:dyDescent="0.75">
      <c r="A248" s="1">
        <v>45322</v>
      </c>
      <c r="B248">
        <v>75.709999999999994</v>
      </c>
      <c r="C248">
        <v>77.66</v>
      </c>
      <c r="D248">
        <v>77.91</v>
      </c>
      <c r="E248">
        <v>75.38</v>
      </c>
      <c r="F248" t="s">
        <v>247</v>
      </c>
      <c r="G248" s="2">
        <v>-2.5000000000000001E-2</v>
      </c>
      <c r="H248">
        <f t="shared" si="6"/>
        <v>-2.4983902124919664E-2</v>
      </c>
      <c r="I248">
        <f t="shared" si="7"/>
        <v>-2.5301297479480941E-2</v>
      </c>
    </row>
    <row r="249" spans="1:9" x14ac:dyDescent="0.75">
      <c r="A249" s="1">
        <v>45321</v>
      </c>
      <c r="B249">
        <v>77.650000000000006</v>
      </c>
      <c r="C249">
        <v>76.75</v>
      </c>
      <c r="D249">
        <v>77.95</v>
      </c>
      <c r="E249">
        <v>75.73</v>
      </c>
      <c r="F249" t="s">
        <v>248</v>
      </c>
      <c r="G249" s="2">
        <v>1.2800000000000001E-2</v>
      </c>
      <c r="H249">
        <f t="shared" si="6"/>
        <v>1.2782052954219433E-2</v>
      </c>
      <c r="I249">
        <f t="shared" si="7"/>
        <v>1.2701052023893157E-2</v>
      </c>
    </row>
    <row r="250" spans="1:9" x14ac:dyDescent="0.75">
      <c r="A250" s="1">
        <v>45320</v>
      </c>
      <c r="B250">
        <v>76.67</v>
      </c>
      <c r="C250">
        <v>78.72</v>
      </c>
      <c r="D250">
        <v>79.09</v>
      </c>
      <c r="E250">
        <v>76.3</v>
      </c>
      <c r="F250" t="s">
        <v>249</v>
      </c>
      <c r="G250" s="2">
        <v>-1.5299999999999999E-2</v>
      </c>
      <c r="H250">
        <f t="shared" si="6"/>
        <v>-1.5283842794759797E-2</v>
      </c>
      <c r="I250">
        <f t="shared" si="7"/>
        <v>-1.540184461150659E-2</v>
      </c>
    </row>
    <row r="251" spans="1:9" x14ac:dyDescent="0.75">
      <c r="A251" s="1">
        <v>45317</v>
      </c>
      <c r="B251">
        <v>77.86</v>
      </c>
      <c r="C251">
        <v>77.099999999999994</v>
      </c>
      <c r="D251">
        <v>78.09</v>
      </c>
      <c r="E251">
        <v>75.92</v>
      </c>
      <c r="F251" t="s">
        <v>250</v>
      </c>
      <c r="G251" s="2">
        <v>8.6999999999999994E-3</v>
      </c>
      <c r="H251">
        <f t="shared" si="6"/>
        <v>8.6798808135769099E-3</v>
      </c>
      <c r="I251">
        <f t="shared" si="7"/>
        <v>8.6424272205471355E-3</v>
      </c>
    </row>
    <row r="252" spans="1:9" x14ac:dyDescent="0.75">
      <c r="A252" s="1">
        <v>45316</v>
      </c>
      <c r="B252">
        <v>77.19</v>
      </c>
      <c r="C252">
        <v>75.3</v>
      </c>
      <c r="D252">
        <v>77.319999999999993</v>
      </c>
      <c r="E252">
        <v>75.05</v>
      </c>
      <c r="F252" t="s">
        <v>251</v>
      </c>
      <c r="G252" s="2">
        <v>2.9499999999999998E-2</v>
      </c>
      <c r="H252">
        <f t="shared" si="6"/>
        <v>2.9474526540410693E-2</v>
      </c>
      <c r="I252">
        <f t="shared" si="7"/>
        <v>2.904850365399636E-2</v>
      </c>
    </row>
    <row r="253" spans="1:9" x14ac:dyDescent="0.75">
      <c r="A253" s="1">
        <v>45315</v>
      </c>
      <c r="B253">
        <v>74.98</v>
      </c>
      <c r="C253">
        <v>74.47</v>
      </c>
      <c r="D253">
        <v>75.7</v>
      </c>
      <c r="E253">
        <v>73.849999999999994</v>
      </c>
      <c r="F253" t="s">
        <v>252</v>
      </c>
      <c r="G253" s="2">
        <v>9.5999999999999992E-3</v>
      </c>
      <c r="H253">
        <f t="shared" si="6"/>
        <v>9.559714555002128E-3</v>
      </c>
      <c r="I253">
        <f t="shared" si="7"/>
        <v>9.5143096265610256E-3</v>
      </c>
    </row>
    <row r="254" spans="1:9" x14ac:dyDescent="0.75">
      <c r="A254" s="1">
        <v>45314</v>
      </c>
      <c r="B254">
        <v>74.27</v>
      </c>
      <c r="C254">
        <v>74.62</v>
      </c>
      <c r="D254">
        <v>75.099999999999994</v>
      </c>
      <c r="E254">
        <v>73.349999999999994</v>
      </c>
      <c r="F254" t="s">
        <v>253</v>
      </c>
      <c r="G254" s="2">
        <v>-6.6E-3</v>
      </c>
      <c r="H254">
        <f t="shared" si="6"/>
        <v>-6.5543071161049899E-3</v>
      </c>
      <c r="I254">
        <f t="shared" si="7"/>
        <v>-6.5758809061570852E-3</v>
      </c>
    </row>
    <row r="255" spans="1:9" x14ac:dyDescent="0.75">
      <c r="A255" s="1">
        <v>45313</v>
      </c>
      <c r="B255">
        <v>74.760000000000005</v>
      </c>
      <c r="C255">
        <v>73.599999999999994</v>
      </c>
      <c r="D255">
        <v>75.459999999999994</v>
      </c>
      <c r="E255">
        <v>72.56</v>
      </c>
      <c r="F255" t="s">
        <v>254</v>
      </c>
      <c r="G255" s="2">
        <v>2.06E-2</v>
      </c>
      <c r="H255">
        <f t="shared" si="6"/>
        <v>2.0614334470989832E-2</v>
      </c>
      <c r="I255">
        <f t="shared" si="7"/>
        <v>2.0404734690185559E-2</v>
      </c>
    </row>
    <row r="256" spans="1:9" x14ac:dyDescent="0.75">
      <c r="A256" s="1">
        <v>45310</v>
      </c>
      <c r="B256">
        <v>73.25</v>
      </c>
      <c r="C256">
        <v>73.92</v>
      </c>
      <c r="D256">
        <v>74.63</v>
      </c>
      <c r="E256">
        <v>72.989999999999995</v>
      </c>
      <c r="F256" t="s">
        <v>255</v>
      </c>
      <c r="G256" s="2">
        <v>-9.4999999999999998E-3</v>
      </c>
      <c r="H256">
        <f t="shared" si="6"/>
        <v>-9.4658553076403355E-3</v>
      </c>
      <c r="I256">
        <f t="shared" si="7"/>
        <v>-9.5109412596321458E-3</v>
      </c>
    </row>
    <row r="257" spans="1:9" x14ac:dyDescent="0.75">
      <c r="A257" s="1">
        <v>45309</v>
      </c>
      <c r="B257">
        <v>73.95</v>
      </c>
      <c r="C257">
        <v>72.73</v>
      </c>
      <c r="D257">
        <v>74.19</v>
      </c>
      <c r="E257">
        <v>72.099999999999994</v>
      </c>
      <c r="F257" t="s">
        <v>256</v>
      </c>
      <c r="G257" s="2">
        <v>2.0299999999999999E-2</v>
      </c>
      <c r="H257">
        <f t="shared" si="6"/>
        <v>2.0281456953642366E-2</v>
      </c>
      <c r="I257">
        <f t="shared" si="7"/>
        <v>2.0078527422085005E-2</v>
      </c>
    </row>
    <row r="258" spans="1:9" x14ac:dyDescent="0.75">
      <c r="A258" s="1">
        <v>45308</v>
      </c>
      <c r="B258">
        <v>72.48</v>
      </c>
      <c r="C258">
        <v>72.11</v>
      </c>
      <c r="D258">
        <v>72.86</v>
      </c>
      <c r="E258">
        <v>70.62</v>
      </c>
      <c r="F258" t="s">
        <v>257</v>
      </c>
      <c r="G258" s="2">
        <v>-5.9999999999999995E-4</v>
      </c>
      <c r="H258">
        <f t="shared" si="6"/>
        <v>-5.5157198014329904E-4</v>
      </c>
      <c r="I258">
        <f t="shared" si="7"/>
        <v>-5.5172415192633508E-4</v>
      </c>
    </row>
    <row r="259" spans="1:9" x14ac:dyDescent="0.75">
      <c r="A259" s="1">
        <v>45307</v>
      </c>
      <c r="B259">
        <v>72.52</v>
      </c>
      <c r="C259">
        <v>72.73</v>
      </c>
      <c r="D259">
        <v>73.680000000000007</v>
      </c>
      <c r="E259">
        <v>71.39</v>
      </c>
      <c r="F259" t="s">
        <v>258</v>
      </c>
      <c r="G259" s="2">
        <v>-3.7000000000000002E-3</v>
      </c>
      <c r="H259">
        <f t="shared" ref="H259:H322" si="8">(B259-B260)/B260</f>
        <v>-3.7093007281221351E-3</v>
      </c>
      <c r="I259">
        <f t="shared" ref="I259:I322" si="9">LN(B259/B260)</f>
        <v>-3.7161972435163903E-3</v>
      </c>
    </row>
    <row r="260" spans="1:9" x14ac:dyDescent="0.75">
      <c r="A260" s="1">
        <v>45306</v>
      </c>
      <c r="B260">
        <v>72.790000000000006</v>
      </c>
      <c r="C260">
        <v>72.69</v>
      </c>
      <c r="D260">
        <v>73.09</v>
      </c>
      <c r="E260">
        <v>71.41</v>
      </c>
      <c r="G260" s="2">
        <v>0</v>
      </c>
      <c r="H260">
        <f t="shared" si="8"/>
        <v>0</v>
      </c>
      <c r="I260">
        <f t="shared" si="9"/>
        <v>0</v>
      </c>
    </row>
    <row r="261" spans="1:9" x14ac:dyDescent="0.75">
      <c r="A261" s="1">
        <v>45303</v>
      </c>
      <c r="B261">
        <v>72.790000000000006</v>
      </c>
      <c r="C261">
        <v>73.16</v>
      </c>
      <c r="D261">
        <v>75.28</v>
      </c>
      <c r="E261">
        <v>72.48</v>
      </c>
      <c r="F261" t="s">
        <v>259</v>
      </c>
      <c r="G261" s="2">
        <v>9.7000000000000003E-3</v>
      </c>
      <c r="H261">
        <f t="shared" si="8"/>
        <v>9.710084616451696E-3</v>
      </c>
      <c r="I261">
        <f t="shared" si="9"/>
        <v>9.6632447136793826E-3</v>
      </c>
    </row>
    <row r="262" spans="1:9" x14ac:dyDescent="0.75">
      <c r="A262" s="1">
        <v>45302</v>
      </c>
      <c r="B262">
        <v>72.09</v>
      </c>
      <c r="C262">
        <v>71.349999999999994</v>
      </c>
      <c r="D262">
        <v>73.81</v>
      </c>
      <c r="E262">
        <v>71.239999999999995</v>
      </c>
      <c r="F262" t="s">
        <v>260</v>
      </c>
      <c r="G262" s="2">
        <v>9.1000000000000004E-3</v>
      </c>
      <c r="H262">
        <f t="shared" si="8"/>
        <v>9.0985442329228131E-3</v>
      </c>
      <c r="I262">
        <f t="shared" si="9"/>
        <v>9.0574018482436746E-3</v>
      </c>
    </row>
    <row r="263" spans="1:9" x14ac:dyDescent="0.75">
      <c r="A263" s="1">
        <v>45301</v>
      </c>
      <c r="B263">
        <v>71.44</v>
      </c>
      <c r="C263">
        <v>72.2</v>
      </c>
      <c r="D263">
        <v>73.55</v>
      </c>
      <c r="E263">
        <v>71.09</v>
      </c>
      <c r="F263" t="s">
        <v>261</v>
      </c>
      <c r="G263" s="2">
        <v>-1.18E-2</v>
      </c>
      <c r="H263">
        <f t="shared" si="8"/>
        <v>-1.1758196154378316E-2</v>
      </c>
      <c r="I263">
        <f t="shared" si="9"/>
        <v>-1.1827870443962307E-2</v>
      </c>
    </row>
    <row r="264" spans="1:9" x14ac:dyDescent="0.75">
      <c r="A264" s="1">
        <v>45300</v>
      </c>
      <c r="B264">
        <v>72.290000000000006</v>
      </c>
      <c r="C264">
        <v>70.92</v>
      </c>
      <c r="D264">
        <v>72.989999999999995</v>
      </c>
      <c r="E264">
        <v>70.63</v>
      </c>
      <c r="F264" t="s">
        <v>262</v>
      </c>
      <c r="G264" s="2">
        <v>1.9300000000000001E-2</v>
      </c>
      <c r="H264">
        <f t="shared" si="8"/>
        <v>1.9317540891145017E-2</v>
      </c>
      <c r="I264">
        <f t="shared" si="9"/>
        <v>1.9133325806198691E-2</v>
      </c>
    </row>
    <row r="265" spans="1:9" x14ac:dyDescent="0.75">
      <c r="A265" s="1">
        <v>45299</v>
      </c>
      <c r="B265">
        <v>70.92</v>
      </c>
      <c r="C265">
        <v>73.599999999999994</v>
      </c>
      <c r="D265">
        <v>73.98</v>
      </c>
      <c r="E265">
        <v>70.25</v>
      </c>
      <c r="F265" t="s">
        <v>263</v>
      </c>
      <c r="G265" s="2">
        <v>-3.9800000000000002E-2</v>
      </c>
      <c r="H265">
        <f t="shared" si="8"/>
        <v>-3.9805036555645788E-2</v>
      </c>
      <c r="I265">
        <f t="shared" si="9"/>
        <v>-4.0618928218410011E-2</v>
      </c>
    </row>
    <row r="266" spans="1:9" x14ac:dyDescent="0.75">
      <c r="A266" s="1">
        <v>45296</v>
      </c>
      <c r="B266">
        <v>73.86</v>
      </c>
      <c r="C266">
        <v>72.510000000000005</v>
      </c>
      <c r="D266">
        <v>74.3</v>
      </c>
      <c r="E266">
        <v>72.349999999999994</v>
      </c>
      <c r="F266" t="s">
        <v>264</v>
      </c>
      <c r="G266" s="2">
        <v>2.07E-2</v>
      </c>
      <c r="H266">
        <f t="shared" si="8"/>
        <v>2.0729684908789386E-2</v>
      </c>
      <c r="I266">
        <f t="shared" si="9"/>
        <v>2.0517748897322829E-2</v>
      </c>
    </row>
    <row r="267" spans="1:9" x14ac:dyDescent="0.75">
      <c r="A267" s="1">
        <v>45295</v>
      </c>
      <c r="B267">
        <v>72.36</v>
      </c>
      <c r="C267">
        <v>73.2</v>
      </c>
      <c r="D267">
        <v>74.12</v>
      </c>
      <c r="E267">
        <v>71.239999999999995</v>
      </c>
      <c r="F267" t="s">
        <v>265</v>
      </c>
      <c r="G267" s="2">
        <v>-7.3000000000000001E-3</v>
      </c>
      <c r="H267">
        <f t="shared" si="8"/>
        <v>-7.2712306214844438E-3</v>
      </c>
      <c r="I267">
        <f t="shared" si="9"/>
        <v>-7.2977948670272632E-3</v>
      </c>
    </row>
    <row r="268" spans="1:9" x14ac:dyDescent="0.75">
      <c r="A268" s="1">
        <v>45294</v>
      </c>
      <c r="B268">
        <v>72.89</v>
      </c>
      <c r="C268">
        <v>70.77</v>
      </c>
      <c r="D268">
        <v>73.36</v>
      </c>
      <c r="E268">
        <v>69.56</v>
      </c>
      <c r="F268" t="s">
        <v>266</v>
      </c>
      <c r="G268" s="2">
        <v>3.2099999999999997E-2</v>
      </c>
      <c r="H268">
        <f t="shared" si="8"/>
        <v>3.2143868592466665E-2</v>
      </c>
      <c r="I268">
        <f t="shared" si="9"/>
        <v>3.1638064893881164E-2</v>
      </c>
    </row>
    <row r="269" spans="1:9" x14ac:dyDescent="0.75">
      <c r="A269" s="1">
        <v>45293</v>
      </c>
      <c r="B269">
        <v>70.62</v>
      </c>
      <c r="C269">
        <v>71.900000000000006</v>
      </c>
      <c r="D269">
        <v>73.8</v>
      </c>
      <c r="E269">
        <v>70.319999999999993</v>
      </c>
      <c r="F269" t="s">
        <v>267</v>
      </c>
      <c r="G269" s="2">
        <v>-1.8800000000000001E-2</v>
      </c>
      <c r="H269">
        <f t="shared" si="8"/>
        <v>-1.8757815756565158E-2</v>
      </c>
      <c r="I269">
        <f t="shared" si="9"/>
        <v>-1.8935975019472522E-2</v>
      </c>
    </row>
    <row r="270" spans="1:9" x14ac:dyDescent="0.75">
      <c r="A270" s="1">
        <v>45292</v>
      </c>
      <c r="B270">
        <v>71.97</v>
      </c>
      <c r="C270">
        <v>71.67</v>
      </c>
      <c r="D270">
        <v>72.239999999999995</v>
      </c>
      <c r="E270">
        <v>71.67</v>
      </c>
      <c r="G270" s="2">
        <v>1.8E-3</v>
      </c>
      <c r="H270">
        <f t="shared" si="8"/>
        <v>1.8095768374164177E-3</v>
      </c>
      <c r="I270">
        <f t="shared" si="9"/>
        <v>1.8079415257687018E-3</v>
      </c>
    </row>
    <row r="271" spans="1:9" x14ac:dyDescent="0.75">
      <c r="A271" s="1">
        <v>45289</v>
      </c>
      <c r="B271">
        <v>71.84</v>
      </c>
      <c r="C271">
        <v>72.150000000000006</v>
      </c>
      <c r="D271">
        <v>72.8</v>
      </c>
      <c r="E271">
        <v>71.47</v>
      </c>
      <c r="F271" t="s">
        <v>268</v>
      </c>
      <c r="G271" s="2">
        <v>-1.8E-3</v>
      </c>
      <c r="H271">
        <f t="shared" si="8"/>
        <v>-1.806308183965478E-3</v>
      </c>
      <c r="I271">
        <f t="shared" si="9"/>
        <v>-1.8079415257686252E-3</v>
      </c>
    </row>
    <row r="272" spans="1:9" x14ac:dyDescent="0.75">
      <c r="A272" s="1">
        <v>45288</v>
      </c>
      <c r="B272">
        <v>71.97</v>
      </c>
      <c r="C272">
        <v>74.040000000000006</v>
      </c>
      <c r="D272">
        <v>74.62</v>
      </c>
      <c r="E272">
        <v>71.92</v>
      </c>
      <c r="F272" t="s">
        <v>269</v>
      </c>
      <c r="G272" s="2">
        <v>-3.1899999999999998E-2</v>
      </c>
      <c r="H272">
        <f t="shared" si="8"/>
        <v>-3.1880548829701434E-2</v>
      </c>
      <c r="I272">
        <f t="shared" si="9"/>
        <v>-3.2399799349393299E-2</v>
      </c>
    </row>
    <row r="273" spans="1:9" x14ac:dyDescent="0.75">
      <c r="A273" s="1">
        <v>45287</v>
      </c>
      <c r="B273">
        <v>74.34</v>
      </c>
      <c r="C273">
        <v>75.569999999999993</v>
      </c>
      <c r="D273">
        <v>75.81</v>
      </c>
      <c r="E273">
        <v>74.010000000000005</v>
      </c>
      <c r="F273" t="s">
        <v>270</v>
      </c>
      <c r="G273" s="2">
        <v>-1.8100000000000002E-2</v>
      </c>
      <c r="H273">
        <f t="shared" si="8"/>
        <v>-1.8095363888521867E-2</v>
      </c>
      <c r="I273">
        <f t="shared" si="9"/>
        <v>-1.8261087246109028E-2</v>
      </c>
    </row>
    <row r="274" spans="1:9" x14ac:dyDescent="0.75">
      <c r="A274" s="1">
        <v>45286</v>
      </c>
      <c r="B274">
        <v>75.709999999999994</v>
      </c>
      <c r="C274">
        <v>73.739999999999995</v>
      </c>
      <c r="D274">
        <v>76.31</v>
      </c>
      <c r="E274">
        <v>73.319999999999993</v>
      </c>
      <c r="F274" t="s">
        <v>271</v>
      </c>
      <c r="G274" s="2">
        <v>2.5999999999999999E-2</v>
      </c>
      <c r="H274">
        <f t="shared" si="8"/>
        <v>2.6019785878845202E-2</v>
      </c>
      <c r="I274">
        <f t="shared" si="9"/>
        <v>2.5687031044939742E-2</v>
      </c>
    </row>
    <row r="275" spans="1:9" x14ac:dyDescent="0.75">
      <c r="A275" s="1">
        <v>45285</v>
      </c>
      <c r="B275">
        <v>73.790000000000006</v>
      </c>
      <c r="C275">
        <v>73.489999999999995</v>
      </c>
      <c r="D275">
        <v>73.94</v>
      </c>
      <c r="E275">
        <v>73.48</v>
      </c>
      <c r="G275" s="2">
        <v>8.0000000000000004E-4</v>
      </c>
      <c r="H275">
        <f t="shared" si="8"/>
        <v>8.1378000813783085E-4</v>
      </c>
      <c r="I275">
        <f t="shared" si="9"/>
        <v>8.1344906871607411E-4</v>
      </c>
    </row>
    <row r="276" spans="1:9" x14ac:dyDescent="0.75">
      <c r="A276" s="1">
        <v>45282</v>
      </c>
      <c r="B276">
        <v>73.73</v>
      </c>
      <c r="C276">
        <v>74.069999999999993</v>
      </c>
      <c r="D276">
        <v>75.11</v>
      </c>
      <c r="E276">
        <v>73.55</v>
      </c>
      <c r="F276" t="s">
        <v>272</v>
      </c>
      <c r="G276" s="2">
        <v>-4.4999999999999997E-3</v>
      </c>
      <c r="H276">
        <f t="shared" si="8"/>
        <v>-4.4558466108560396E-3</v>
      </c>
      <c r="I276">
        <f t="shared" si="9"/>
        <v>-4.4658034839074271E-3</v>
      </c>
    </row>
    <row r="277" spans="1:9" x14ac:dyDescent="0.75">
      <c r="A277" s="1">
        <v>45281</v>
      </c>
      <c r="B277">
        <v>74.06</v>
      </c>
      <c r="C277">
        <v>73.989999999999995</v>
      </c>
      <c r="D277">
        <v>74.78</v>
      </c>
      <c r="E277">
        <v>72.650000000000006</v>
      </c>
      <c r="F277" t="s">
        <v>273</v>
      </c>
      <c r="G277" s="2">
        <v>-5.1999999999999998E-3</v>
      </c>
      <c r="H277">
        <f t="shared" si="8"/>
        <v>-5.238415043653466E-3</v>
      </c>
      <c r="I277">
        <f t="shared" si="9"/>
        <v>-5.2521836445514267E-3</v>
      </c>
    </row>
    <row r="278" spans="1:9" x14ac:dyDescent="0.75">
      <c r="A278" s="1">
        <v>45280</v>
      </c>
      <c r="B278">
        <v>74.45</v>
      </c>
      <c r="C278">
        <v>74.31</v>
      </c>
      <c r="D278">
        <v>75.56</v>
      </c>
      <c r="E278">
        <v>73.87</v>
      </c>
      <c r="F278" t="s">
        <v>274</v>
      </c>
      <c r="G278" s="2">
        <v>6.8999999999999999E-3</v>
      </c>
      <c r="H278">
        <f t="shared" si="8"/>
        <v>6.8974844468488658E-3</v>
      </c>
      <c r="I278">
        <f t="shared" si="9"/>
        <v>6.8738056215321298E-3</v>
      </c>
    </row>
    <row r="279" spans="1:9" x14ac:dyDescent="0.75">
      <c r="A279" s="1">
        <v>45279</v>
      </c>
      <c r="B279">
        <v>73.94</v>
      </c>
      <c r="C279">
        <v>72.930000000000007</v>
      </c>
      <c r="D279">
        <v>74.45</v>
      </c>
      <c r="E279">
        <v>72.14</v>
      </c>
      <c r="F279" t="s">
        <v>275</v>
      </c>
      <c r="G279" s="2">
        <v>1.54E-2</v>
      </c>
      <c r="H279">
        <f t="shared" si="8"/>
        <v>1.5380390002746562E-2</v>
      </c>
      <c r="I279">
        <f t="shared" si="9"/>
        <v>1.5263310761198462E-2</v>
      </c>
    </row>
    <row r="280" spans="1:9" x14ac:dyDescent="0.75">
      <c r="A280" s="1">
        <v>45278</v>
      </c>
      <c r="B280">
        <v>72.819999999999993</v>
      </c>
      <c r="C280">
        <v>72.05</v>
      </c>
      <c r="D280">
        <v>74.61</v>
      </c>
      <c r="E280">
        <v>70.989999999999995</v>
      </c>
      <c r="F280" t="s">
        <v>276</v>
      </c>
      <c r="G280" s="2">
        <v>1.4500000000000001E-2</v>
      </c>
      <c r="H280">
        <f t="shared" si="8"/>
        <v>1.4488715519643244E-2</v>
      </c>
      <c r="I280">
        <f t="shared" si="9"/>
        <v>1.4384757027825974E-2</v>
      </c>
    </row>
    <row r="281" spans="1:9" x14ac:dyDescent="0.75">
      <c r="A281" s="1">
        <v>45275</v>
      </c>
      <c r="B281">
        <v>71.78</v>
      </c>
      <c r="C281">
        <v>71.91</v>
      </c>
      <c r="D281">
        <v>72.56</v>
      </c>
      <c r="E281">
        <v>70.64</v>
      </c>
      <c r="F281" t="s">
        <v>277</v>
      </c>
      <c r="G281" s="2">
        <v>-1.8E-3</v>
      </c>
      <c r="H281">
        <f t="shared" si="8"/>
        <v>-1.8078153247113816E-3</v>
      </c>
      <c r="I281">
        <f t="shared" si="9"/>
        <v>-1.8094513949414438E-3</v>
      </c>
    </row>
    <row r="282" spans="1:9" x14ac:dyDescent="0.75">
      <c r="A282" s="1">
        <v>45274</v>
      </c>
      <c r="B282">
        <v>71.91</v>
      </c>
      <c r="C282">
        <v>70.08</v>
      </c>
      <c r="D282">
        <v>72.73</v>
      </c>
      <c r="E282">
        <v>69.819999999999993</v>
      </c>
      <c r="F282" t="s">
        <v>278</v>
      </c>
      <c r="G282" s="2">
        <v>3.1399999999999997E-2</v>
      </c>
      <c r="H282">
        <f t="shared" si="8"/>
        <v>3.1411359724612703E-2</v>
      </c>
      <c r="I282">
        <f t="shared" si="9"/>
        <v>3.0928116462582398E-2</v>
      </c>
    </row>
    <row r="283" spans="1:9" x14ac:dyDescent="0.75">
      <c r="A283" s="1">
        <v>45273</v>
      </c>
      <c r="B283">
        <v>69.72</v>
      </c>
      <c r="C283">
        <v>68.989999999999995</v>
      </c>
      <c r="D283">
        <v>70.150000000000006</v>
      </c>
      <c r="E283">
        <v>67.98</v>
      </c>
      <c r="F283" t="s">
        <v>279</v>
      </c>
      <c r="G283" s="2">
        <v>1.26E-2</v>
      </c>
      <c r="H283">
        <f t="shared" si="8"/>
        <v>1.2636165577342115E-2</v>
      </c>
      <c r="I283">
        <f t="shared" si="9"/>
        <v>1.255699547715642E-2</v>
      </c>
    </row>
    <row r="284" spans="1:9" x14ac:dyDescent="0.75">
      <c r="A284" s="1">
        <v>45272</v>
      </c>
      <c r="B284">
        <v>68.849999999999994</v>
      </c>
      <c r="C284">
        <v>71.67</v>
      </c>
      <c r="D284">
        <v>72.2</v>
      </c>
      <c r="E284">
        <v>68.489999999999995</v>
      </c>
      <c r="F284" t="s">
        <v>280</v>
      </c>
      <c r="G284" s="2">
        <v>-3.7900000000000003E-2</v>
      </c>
      <c r="H284">
        <f t="shared" si="8"/>
        <v>-3.7870318613750807E-2</v>
      </c>
      <c r="I284">
        <f t="shared" si="9"/>
        <v>-3.8606033465854651E-2</v>
      </c>
    </row>
    <row r="285" spans="1:9" x14ac:dyDescent="0.75">
      <c r="A285" s="1">
        <v>45271</v>
      </c>
      <c r="B285">
        <v>71.56</v>
      </c>
      <c r="C285">
        <v>71.36</v>
      </c>
      <c r="D285">
        <v>72.03</v>
      </c>
      <c r="E285">
        <v>70.61</v>
      </c>
      <c r="F285" t="s">
        <v>281</v>
      </c>
      <c r="G285" s="2">
        <v>1.6999999999999999E-3</v>
      </c>
      <c r="H285">
        <f t="shared" si="8"/>
        <v>1.6797312430011835E-3</v>
      </c>
      <c r="I285">
        <f t="shared" si="9"/>
        <v>1.6783220722749316E-3</v>
      </c>
    </row>
    <row r="286" spans="1:9" x14ac:dyDescent="0.75">
      <c r="A286" s="1">
        <v>45268</v>
      </c>
      <c r="B286">
        <v>71.44</v>
      </c>
      <c r="C286">
        <v>70</v>
      </c>
      <c r="D286">
        <v>71.81</v>
      </c>
      <c r="E286">
        <v>69.75</v>
      </c>
      <c r="F286" t="s">
        <v>282</v>
      </c>
      <c r="G286" s="2">
        <v>2.6599999999999999E-2</v>
      </c>
      <c r="H286">
        <f t="shared" si="8"/>
        <v>2.6584279350481309E-2</v>
      </c>
      <c r="I286">
        <f t="shared" si="9"/>
        <v>2.6237057711484886E-2</v>
      </c>
    </row>
    <row r="287" spans="1:9" x14ac:dyDescent="0.75">
      <c r="A287" s="1">
        <v>45267</v>
      </c>
      <c r="B287">
        <v>69.59</v>
      </c>
      <c r="C287">
        <v>69.569999999999993</v>
      </c>
      <c r="D287">
        <v>70.7</v>
      </c>
      <c r="E287">
        <v>69.08</v>
      </c>
      <c r="F287" t="s">
        <v>283</v>
      </c>
      <c r="G287" s="2">
        <v>-8.9999999999999998E-4</v>
      </c>
      <c r="H287">
        <f t="shared" si="8"/>
        <v>-8.61450107681296E-4</v>
      </c>
      <c r="I287">
        <f t="shared" si="9"/>
        <v>-8.6182136905610916E-4</v>
      </c>
    </row>
    <row r="288" spans="1:9" x14ac:dyDescent="0.75">
      <c r="A288" s="1">
        <v>45266</v>
      </c>
      <c r="B288">
        <v>69.650000000000006</v>
      </c>
      <c r="C288">
        <v>72.33</v>
      </c>
      <c r="D288">
        <v>72.84</v>
      </c>
      <c r="E288">
        <v>69.39</v>
      </c>
      <c r="F288" t="s">
        <v>284</v>
      </c>
      <c r="G288" s="2">
        <v>-3.9699999999999999E-2</v>
      </c>
      <c r="H288">
        <f t="shared" si="8"/>
        <v>-3.9707707155659661E-2</v>
      </c>
      <c r="I288">
        <f t="shared" si="9"/>
        <v>-4.0517569149506209E-2</v>
      </c>
    </row>
    <row r="289" spans="1:9" x14ac:dyDescent="0.75">
      <c r="A289" s="1">
        <v>45265</v>
      </c>
      <c r="B289">
        <v>72.53</v>
      </c>
      <c r="C289">
        <v>73.59</v>
      </c>
      <c r="D289">
        <v>74.34</v>
      </c>
      <c r="E289">
        <v>72.239999999999995</v>
      </c>
      <c r="F289" t="s">
        <v>285</v>
      </c>
      <c r="G289" s="2">
        <v>-1.0800000000000001E-2</v>
      </c>
      <c r="H289">
        <f t="shared" si="8"/>
        <v>-1.0774686306601092E-2</v>
      </c>
      <c r="I289">
        <f t="shared" si="9"/>
        <v>-1.0833153596183105E-2</v>
      </c>
    </row>
    <row r="290" spans="1:9" x14ac:dyDescent="0.75">
      <c r="A290" s="1">
        <v>45264</v>
      </c>
      <c r="B290">
        <v>73.319999999999993</v>
      </c>
      <c r="C290">
        <v>74.760000000000005</v>
      </c>
      <c r="D290">
        <v>75.2</v>
      </c>
      <c r="E290">
        <v>72.87</v>
      </c>
      <c r="F290" t="s">
        <v>286</v>
      </c>
      <c r="G290" s="2">
        <v>-1.2500000000000001E-2</v>
      </c>
      <c r="H290">
        <f t="shared" si="8"/>
        <v>-1.2525252525252616E-2</v>
      </c>
      <c r="I290">
        <f t="shared" si="9"/>
        <v>-1.2604354711304815E-2</v>
      </c>
    </row>
    <row r="291" spans="1:9" x14ac:dyDescent="0.75">
      <c r="A291" s="1">
        <v>45261</v>
      </c>
      <c r="B291">
        <v>74.25</v>
      </c>
      <c r="C291">
        <v>75.709999999999994</v>
      </c>
      <c r="D291">
        <v>76.81</v>
      </c>
      <c r="E291">
        <v>74.13</v>
      </c>
      <c r="F291" t="s">
        <v>287</v>
      </c>
      <c r="G291" s="2">
        <v>-2.3699999999999999E-2</v>
      </c>
      <c r="H291">
        <f t="shared" si="8"/>
        <v>-2.3668639053254403E-2</v>
      </c>
      <c r="I291">
        <f t="shared" si="9"/>
        <v>-2.3953241022492872E-2</v>
      </c>
    </row>
    <row r="292" spans="1:9" x14ac:dyDescent="0.75">
      <c r="A292" s="1">
        <v>45260</v>
      </c>
      <c r="B292">
        <v>76.05</v>
      </c>
      <c r="C292">
        <v>77.790000000000006</v>
      </c>
      <c r="D292">
        <v>79.67</v>
      </c>
      <c r="E292">
        <v>75.16</v>
      </c>
      <c r="F292" t="s">
        <v>288</v>
      </c>
      <c r="G292" s="2">
        <v>-2.4899999999999999E-2</v>
      </c>
      <c r="H292">
        <f t="shared" si="8"/>
        <v>-2.4874983972304116E-2</v>
      </c>
      <c r="I292">
        <f t="shared" si="9"/>
        <v>-2.5189594637104816E-2</v>
      </c>
    </row>
    <row r="293" spans="1:9" x14ac:dyDescent="0.75">
      <c r="A293" s="1">
        <v>45259</v>
      </c>
      <c r="B293">
        <v>77.989999999999995</v>
      </c>
      <c r="C293">
        <v>76.67</v>
      </c>
      <c r="D293">
        <v>78.180000000000007</v>
      </c>
      <c r="E293">
        <v>75.87</v>
      </c>
      <c r="F293" t="s">
        <v>289</v>
      </c>
      <c r="G293" s="2">
        <v>1.83E-2</v>
      </c>
      <c r="H293">
        <f t="shared" si="8"/>
        <v>1.8279148713931211E-2</v>
      </c>
      <c r="I293">
        <f t="shared" si="9"/>
        <v>1.8114093420904309E-2</v>
      </c>
    </row>
    <row r="294" spans="1:9" x14ac:dyDescent="0.75">
      <c r="A294" s="1">
        <v>45258</v>
      </c>
      <c r="B294">
        <v>76.59</v>
      </c>
      <c r="C294">
        <v>75.319999999999993</v>
      </c>
      <c r="D294">
        <v>77.13</v>
      </c>
      <c r="E294">
        <v>74.88</v>
      </c>
      <c r="F294" t="s">
        <v>290</v>
      </c>
      <c r="G294" s="2">
        <v>0.02</v>
      </c>
      <c r="H294">
        <f t="shared" si="8"/>
        <v>1.9976028765481421E-2</v>
      </c>
      <c r="I294">
        <f t="shared" si="9"/>
        <v>1.9779125809709516E-2</v>
      </c>
    </row>
    <row r="295" spans="1:9" x14ac:dyDescent="0.75">
      <c r="A295" s="1">
        <v>45257</v>
      </c>
      <c r="B295">
        <v>75.09</v>
      </c>
      <c r="C295">
        <v>75.569999999999993</v>
      </c>
      <c r="D295">
        <v>76.42</v>
      </c>
      <c r="E295">
        <v>74.349999999999994</v>
      </c>
      <c r="F295" t="s">
        <v>291</v>
      </c>
      <c r="G295" s="2">
        <v>-8.9999999999999993E-3</v>
      </c>
      <c r="H295">
        <f t="shared" si="8"/>
        <v>-8.974528177378812E-3</v>
      </c>
      <c r="I295">
        <f t="shared" si="9"/>
        <v>-9.0150418314893267E-3</v>
      </c>
    </row>
    <row r="296" spans="1:9" x14ac:dyDescent="0.75">
      <c r="A296" s="1">
        <v>45254</v>
      </c>
      <c r="B296">
        <v>75.77</v>
      </c>
      <c r="C296">
        <v>76.94</v>
      </c>
      <c r="D296">
        <v>77.25</v>
      </c>
      <c r="E296">
        <v>75.319999999999993</v>
      </c>
      <c r="F296" t="s">
        <v>292</v>
      </c>
      <c r="G296" s="2">
        <v>-7.4999999999999997E-3</v>
      </c>
      <c r="H296">
        <f t="shared" si="8"/>
        <v>-7.4665968037726923E-3</v>
      </c>
      <c r="I296">
        <f t="shared" si="9"/>
        <v>-7.4946113738017734E-3</v>
      </c>
    </row>
    <row r="297" spans="1:9" x14ac:dyDescent="0.75">
      <c r="A297" s="1">
        <v>45253</v>
      </c>
      <c r="B297">
        <v>76.34</v>
      </c>
      <c r="C297">
        <v>76.69</v>
      </c>
      <c r="D297">
        <v>76.81</v>
      </c>
      <c r="E297">
        <v>75.31</v>
      </c>
      <c r="G297" s="2">
        <v>-1.18E-2</v>
      </c>
      <c r="H297">
        <f t="shared" si="8"/>
        <v>-1.1779935275080863E-2</v>
      </c>
      <c r="I297">
        <f t="shared" si="9"/>
        <v>-1.1849868460771068E-2</v>
      </c>
    </row>
    <row r="298" spans="1:9" x14ac:dyDescent="0.75">
      <c r="A298" s="1">
        <v>45252</v>
      </c>
      <c r="B298">
        <v>77.25</v>
      </c>
      <c r="C298">
        <v>77.92</v>
      </c>
      <c r="D298">
        <v>78.11</v>
      </c>
      <c r="E298">
        <v>73.98</v>
      </c>
      <c r="F298" t="s">
        <v>293</v>
      </c>
      <c r="G298" s="2">
        <v>-8.6E-3</v>
      </c>
      <c r="H298">
        <f t="shared" si="8"/>
        <v>-8.5985626283367773E-3</v>
      </c>
      <c r="I298">
        <f t="shared" si="9"/>
        <v>-8.6357435564248658E-3</v>
      </c>
    </row>
    <row r="299" spans="1:9" x14ac:dyDescent="0.75">
      <c r="A299" s="1">
        <v>45251</v>
      </c>
      <c r="B299">
        <v>77.92</v>
      </c>
      <c r="C299">
        <v>77.69</v>
      </c>
      <c r="D299">
        <v>78.040000000000006</v>
      </c>
      <c r="E299">
        <v>77.040000000000006</v>
      </c>
      <c r="F299" t="s">
        <v>294</v>
      </c>
      <c r="G299" s="2">
        <v>1.1999999999999999E-3</v>
      </c>
      <c r="H299">
        <f t="shared" si="8"/>
        <v>1.1563664396762611E-3</v>
      </c>
      <c r="I299">
        <f t="shared" si="9"/>
        <v>1.1556983629829557E-3</v>
      </c>
    </row>
    <row r="300" spans="1:9" x14ac:dyDescent="0.75">
      <c r="A300" s="1">
        <v>45250</v>
      </c>
      <c r="B300">
        <v>77.83</v>
      </c>
      <c r="C300">
        <v>75.8</v>
      </c>
      <c r="D300">
        <v>78.459999999999994</v>
      </c>
      <c r="E300">
        <v>75.41</v>
      </c>
      <c r="F300" t="s">
        <v>295</v>
      </c>
      <c r="G300" s="2">
        <v>2.35E-2</v>
      </c>
      <c r="H300">
        <f t="shared" si="8"/>
        <v>2.3540241977906259E-2</v>
      </c>
      <c r="I300">
        <f t="shared" si="9"/>
        <v>2.3267443351068302E-2</v>
      </c>
    </row>
    <row r="301" spans="1:9" x14ac:dyDescent="0.75">
      <c r="A301" s="1">
        <v>45247</v>
      </c>
      <c r="B301">
        <v>76.040000000000006</v>
      </c>
      <c r="C301">
        <v>73.11</v>
      </c>
      <c r="D301">
        <v>76.19</v>
      </c>
      <c r="E301">
        <v>72.91</v>
      </c>
      <c r="F301" t="s">
        <v>296</v>
      </c>
      <c r="G301" s="2">
        <v>4.0399999999999998E-2</v>
      </c>
      <c r="H301">
        <f t="shared" si="8"/>
        <v>4.0361198522369718E-2</v>
      </c>
      <c r="I301">
        <f t="shared" si="9"/>
        <v>3.9567959127928133E-2</v>
      </c>
    </row>
    <row r="302" spans="1:9" x14ac:dyDescent="0.75">
      <c r="A302" s="1">
        <v>45246</v>
      </c>
      <c r="B302">
        <v>73.09</v>
      </c>
      <c r="C302">
        <v>76.709999999999994</v>
      </c>
      <c r="D302">
        <v>76.8</v>
      </c>
      <c r="E302">
        <v>72.37</v>
      </c>
      <c r="F302" t="s">
        <v>297</v>
      </c>
      <c r="G302" s="2">
        <v>-4.82E-2</v>
      </c>
      <c r="H302">
        <f t="shared" si="8"/>
        <v>-4.8183357207969818E-2</v>
      </c>
      <c r="I302">
        <f t="shared" si="9"/>
        <v>-4.9382864850151906E-2</v>
      </c>
    </row>
    <row r="303" spans="1:9" x14ac:dyDescent="0.75">
      <c r="A303" s="1">
        <v>45245</v>
      </c>
      <c r="B303">
        <v>76.790000000000006</v>
      </c>
      <c r="C303">
        <v>78.099999999999994</v>
      </c>
      <c r="D303">
        <v>78.69</v>
      </c>
      <c r="E303">
        <v>76.45</v>
      </c>
      <c r="F303" t="s">
        <v>298</v>
      </c>
      <c r="G303" s="2">
        <v>-1.77E-2</v>
      </c>
      <c r="H303">
        <f t="shared" si="8"/>
        <v>-1.7653831393117506E-2</v>
      </c>
      <c r="I303">
        <f t="shared" si="9"/>
        <v>-1.7811518889786798E-2</v>
      </c>
    </row>
    <row r="304" spans="1:9" x14ac:dyDescent="0.75">
      <c r="A304" s="1">
        <v>45244</v>
      </c>
      <c r="B304">
        <v>78.17</v>
      </c>
      <c r="C304">
        <v>78.48</v>
      </c>
      <c r="D304">
        <v>79.650000000000006</v>
      </c>
      <c r="E304">
        <v>77.73</v>
      </c>
      <c r="F304" t="s">
        <v>299</v>
      </c>
      <c r="G304" s="2">
        <v>-2.9999999999999997E-4</v>
      </c>
      <c r="H304">
        <f t="shared" si="8"/>
        <v>-2.5578718506197751E-4</v>
      </c>
      <c r="I304">
        <f t="shared" si="9"/>
        <v>-2.5581990418358983E-4</v>
      </c>
    </row>
    <row r="305" spans="1:9" x14ac:dyDescent="0.75">
      <c r="A305" s="1">
        <v>45243</v>
      </c>
      <c r="B305">
        <v>78.19</v>
      </c>
      <c r="C305">
        <v>77.180000000000007</v>
      </c>
      <c r="D305">
        <v>78.540000000000006</v>
      </c>
      <c r="E305">
        <v>76.19</v>
      </c>
      <c r="F305" t="s">
        <v>300</v>
      </c>
      <c r="G305" s="2">
        <v>1.35E-2</v>
      </c>
      <c r="H305">
        <f t="shared" si="8"/>
        <v>1.348023331173029E-2</v>
      </c>
      <c r="I305">
        <f t="shared" si="9"/>
        <v>1.3390183327252721E-2</v>
      </c>
    </row>
    <row r="306" spans="1:9" x14ac:dyDescent="0.75">
      <c r="A306" s="1">
        <v>45240</v>
      </c>
      <c r="B306">
        <v>77.150000000000006</v>
      </c>
      <c r="C306">
        <v>75.650000000000006</v>
      </c>
      <c r="D306">
        <v>77.709999999999994</v>
      </c>
      <c r="E306">
        <v>75.36</v>
      </c>
      <c r="F306" t="s">
        <v>301</v>
      </c>
      <c r="G306" s="2">
        <v>1.8499999999999999E-2</v>
      </c>
      <c r="H306">
        <f t="shared" si="8"/>
        <v>1.8481848184818558E-2</v>
      </c>
      <c r="I306">
        <f t="shared" si="9"/>
        <v>1.8313134419691412E-2</v>
      </c>
    </row>
    <row r="307" spans="1:9" x14ac:dyDescent="0.75">
      <c r="A307" s="1">
        <v>45239</v>
      </c>
      <c r="B307">
        <v>75.75</v>
      </c>
      <c r="C307">
        <v>75.63</v>
      </c>
      <c r="D307">
        <v>77.12</v>
      </c>
      <c r="E307">
        <v>75.180000000000007</v>
      </c>
      <c r="F307" t="s">
        <v>302</v>
      </c>
      <c r="G307" s="2">
        <v>5.7999999999999996E-3</v>
      </c>
      <c r="H307">
        <f t="shared" si="8"/>
        <v>5.8425175939449967E-3</v>
      </c>
      <c r="I307">
        <f t="shared" si="9"/>
        <v>5.8255162762180868E-3</v>
      </c>
    </row>
    <row r="308" spans="1:9" x14ac:dyDescent="0.75">
      <c r="A308" s="1">
        <v>45238</v>
      </c>
      <c r="B308">
        <v>75.31</v>
      </c>
      <c r="C308">
        <v>77.03</v>
      </c>
      <c r="D308">
        <v>77.430000000000007</v>
      </c>
      <c r="E308">
        <v>74.92</v>
      </c>
      <c r="F308" t="s">
        <v>303</v>
      </c>
      <c r="G308" s="2">
        <v>-2.46E-2</v>
      </c>
      <c r="H308">
        <f t="shared" si="8"/>
        <v>-2.4608211371583883E-2</v>
      </c>
      <c r="I308">
        <f t="shared" si="9"/>
        <v>-2.4916054207463928E-2</v>
      </c>
    </row>
    <row r="309" spans="1:9" x14ac:dyDescent="0.75">
      <c r="A309" s="1">
        <v>45237</v>
      </c>
      <c r="B309">
        <v>77.209999999999994</v>
      </c>
      <c r="C309">
        <v>80.69</v>
      </c>
      <c r="D309">
        <v>80.790000000000006</v>
      </c>
      <c r="E309">
        <v>76.989999999999995</v>
      </c>
      <c r="F309" t="s">
        <v>304</v>
      </c>
      <c r="G309" s="2">
        <v>-4.2099999999999999E-2</v>
      </c>
      <c r="H309">
        <f t="shared" si="8"/>
        <v>-4.205955334987594E-2</v>
      </c>
      <c r="I309">
        <f t="shared" si="9"/>
        <v>-4.2969667191858262E-2</v>
      </c>
    </row>
    <row r="310" spans="1:9" x14ac:dyDescent="0.75">
      <c r="A310" s="1">
        <v>45236</v>
      </c>
      <c r="B310">
        <v>80.599999999999994</v>
      </c>
      <c r="C310">
        <v>80.760000000000005</v>
      </c>
      <c r="D310">
        <v>81.900000000000006</v>
      </c>
      <c r="E310">
        <v>80.33</v>
      </c>
      <c r="F310" t="s">
        <v>305</v>
      </c>
      <c r="G310" s="2">
        <v>4.5999999999999999E-3</v>
      </c>
      <c r="H310">
        <f t="shared" si="8"/>
        <v>4.6117412439235983E-3</v>
      </c>
      <c r="I310">
        <f t="shared" si="9"/>
        <v>4.6011397470177625E-3</v>
      </c>
    </row>
    <row r="311" spans="1:9" x14ac:dyDescent="0.75">
      <c r="A311" s="1">
        <v>45233</v>
      </c>
      <c r="B311">
        <v>80.23</v>
      </c>
      <c r="C311">
        <v>82.25</v>
      </c>
      <c r="D311">
        <v>83.2</v>
      </c>
      <c r="E311">
        <v>79.84</v>
      </c>
      <c r="F311" t="s">
        <v>306</v>
      </c>
      <c r="G311" s="2">
        <v>-2.35E-2</v>
      </c>
      <c r="H311">
        <f t="shared" si="8"/>
        <v>-2.3490749756572452E-2</v>
      </c>
      <c r="I311">
        <f t="shared" si="9"/>
        <v>-2.377105585473813E-2</v>
      </c>
    </row>
    <row r="312" spans="1:9" x14ac:dyDescent="0.75">
      <c r="A312" s="1">
        <v>45232</v>
      </c>
      <c r="B312">
        <v>82.16</v>
      </c>
      <c r="C312">
        <v>80.44</v>
      </c>
      <c r="D312">
        <v>82.44</v>
      </c>
      <c r="E312">
        <v>80.010000000000005</v>
      </c>
      <c r="F312" t="s">
        <v>307</v>
      </c>
      <c r="G312" s="2">
        <v>2.5700000000000001E-2</v>
      </c>
      <c r="H312">
        <f t="shared" si="8"/>
        <v>2.5717852684144848E-2</v>
      </c>
      <c r="I312">
        <f t="shared" si="9"/>
        <v>2.5392711545989273E-2</v>
      </c>
    </row>
    <row r="313" spans="1:9" x14ac:dyDescent="0.75">
      <c r="A313" s="1">
        <v>45231</v>
      </c>
      <c r="B313">
        <v>80.099999999999994</v>
      </c>
      <c r="C313">
        <v>80.98</v>
      </c>
      <c r="D313">
        <v>82.82</v>
      </c>
      <c r="E313">
        <v>79.959999999999994</v>
      </c>
      <c r="F313" t="s">
        <v>308</v>
      </c>
      <c r="G313" s="2">
        <v>-5.0000000000000001E-3</v>
      </c>
      <c r="H313">
        <f t="shared" si="8"/>
        <v>-4.9689440993789524E-3</v>
      </c>
      <c r="I313">
        <f t="shared" si="9"/>
        <v>-4.9813303502042484E-3</v>
      </c>
    </row>
    <row r="314" spans="1:9" x14ac:dyDescent="0.75">
      <c r="A314" s="1">
        <v>45230</v>
      </c>
      <c r="B314">
        <v>80.5</v>
      </c>
      <c r="C314">
        <v>81.96</v>
      </c>
      <c r="D314">
        <v>82.77</v>
      </c>
      <c r="E314">
        <v>80.260000000000005</v>
      </c>
      <c r="F314" t="s">
        <v>309</v>
      </c>
      <c r="G314" s="2">
        <v>-1.44E-2</v>
      </c>
      <c r="H314">
        <f t="shared" si="8"/>
        <v>-1.4446620959843373E-2</v>
      </c>
      <c r="I314">
        <f t="shared" si="9"/>
        <v>-1.4551989431892532E-2</v>
      </c>
    </row>
    <row r="315" spans="1:9" x14ac:dyDescent="0.75">
      <c r="A315" s="1">
        <v>45229</v>
      </c>
      <c r="B315">
        <v>81.680000000000007</v>
      </c>
      <c r="C315">
        <v>84.25</v>
      </c>
      <c r="D315">
        <v>84.39</v>
      </c>
      <c r="E315">
        <v>81.16</v>
      </c>
      <c r="F315" t="s">
        <v>310</v>
      </c>
      <c r="G315" s="2">
        <v>-3.5700000000000003E-2</v>
      </c>
      <c r="H315">
        <f t="shared" si="8"/>
        <v>-3.5655253837071972E-2</v>
      </c>
      <c r="I315">
        <f t="shared" si="9"/>
        <v>-3.6306427801598595E-2</v>
      </c>
    </row>
    <row r="316" spans="1:9" x14ac:dyDescent="0.75">
      <c r="A316" s="1">
        <v>45226</v>
      </c>
      <c r="B316">
        <v>84.7</v>
      </c>
      <c r="C316">
        <v>82.88</v>
      </c>
      <c r="D316">
        <v>85</v>
      </c>
      <c r="E316">
        <v>82.41</v>
      </c>
      <c r="F316" t="s">
        <v>311</v>
      </c>
      <c r="G316" s="2">
        <v>2.6200000000000001E-2</v>
      </c>
      <c r="H316">
        <f t="shared" si="8"/>
        <v>2.6169130118730271E-2</v>
      </c>
      <c r="I316">
        <f t="shared" si="9"/>
        <v>2.5832577333572981E-2</v>
      </c>
    </row>
    <row r="317" spans="1:9" x14ac:dyDescent="0.75">
      <c r="A317" s="1">
        <v>45225</v>
      </c>
      <c r="B317">
        <v>82.54</v>
      </c>
      <c r="C317">
        <v>84.58</v>
      </c>
      <c r="D317">
        <v>84.85</v>
      </c>
      <c r="E317">
        <v>81.97</v>
      </c>
      <c r="F317" t="s">
        <v>312</v>
      </c>
      <c r="G317" s="2">
        <v>-2.5399999999999999E-2</v>
      </c>
      <c r="H317">
        <f t="shared" si="8"/>
        <v>-2.5386704451529005E-2</v>
      </c>
      <c r="I317">
        <f t="shared" si="9"/>
        <v>-2.5714506609071801E-2</v>
      </c>
    </row>
    <row r="318" spans="1:9" x14ac:dyDescent="0.75">
      <c r="A318" s="1">
        <v>45224</v>
      </c>
      <c r="B318">
        <v>84.69</v>
      </c>
      <c r="C318">
        <v>82.99</v>
      </c>
      <c r="D318">
        <v>84.85</v>
      </c>
      <c r="E318">
        <v>81.44</v>
      </c>
      <c r="F318" t="s">
        <v>313</v>
      </c>
      <c r="G318" s="2">
        <v>2.07E-2</v>
      </c>
      <c r="H318">
        <f t="shared" si="8"/>
        <v>2.0730384476316727E-2</v>
      </c>
      <c r="I318">
        <f t="shared" si="9"/>
        <v>2.0518434257313683E-2</v>
      </c>
    </row>
    <row r="319" spans="1:9" x14ac:dyDescent="0.75">
      <c r="A319" s="1">
        <v>45223</v>
      </c>
      <c r="B319">
        <v>82.97</v>
      </c>
      <c r="C319">
        <v>85.05</v>
      </c>
      <c r="D319">
        <v>85.22</v>
      </c>
      <c r="E319">
        <v>82.16</v>
      </c>
      <c r="F319" t="s">
        <v>314</v>
      </c>
      <c r="G319" s="2">
        <v>-1.72E-2</v>
      </c>
      <c r="H319">
        <f t="shared" si="8"/>
        <v>-1.7176024638711238E-2</v>
      </c>
      <c r="I319">
        <f t="shared" si="9"/>
        <v>-1.7325243678158821E-2</v>
      </c>
    </row>
    <row r="320" spans="1:9" x14ac:dyDescent="0.75">
      <c r="A320" s="1">
        <v>45222</v>
      </c>
      <c r="B320">
        <v>84.42</v>
      </c>
      <c r="C320">
        <v>86.69</v>
      </c>
      <c r="D320">
        <v>87</v>
      </c>
      <c r="E320">
        <v>84.3</v>
      </c>
      <c r="F320" t="s">
        <v>315</v>
      </c>
      <c r="G320" s="2">
        <v>-4.1599999999999998E-2</v>
      </c>
      <c r="H320">
        <f t="shared" si="8"/>
        <v>-4.1553133514986337E-2</v>
      </c>
      <c r="I320">
        <f t="shared" si="9"/>
        <v>-4.2441152060071811E-2</v>
      </c>
    </row>
    <row r="321" spans="1:9" x14ac:dyDescent="0.75">
      <c r="A321" s="1">
        <v>45219</v>
      </c>
      <c r="B321">
        <v>88.08</v>
      </c>
      <c r="C321">
        <v>89.09</v>
      </c>
      <c r="D321">
        <v>89.85</v>
      </c>
      <c r="E321">
        <v>87.53</v>
      </c>
      <c r="F321" t="s">
        <v>316</v>
      </c>
      <c r="G321" s="2">
        <v>-3.3E-3</v>
      </c>
      <c r="H321">
        <f t="shared" si="8"/>
        <v>-3.2816566708159583E-3</v>
      </c>
      <c r="I321">
        <f t="shared" si="9"/>
        <v>-3.2870531154885691E-3</v>
      </c>
    </row>
    <row r="322" spans="1:9" x14ac:dyDescent="0.75">
      <c r="A322" s="1">
        <v>45218</v>
      </c>
      <c r="B322">
        <v>88.37</v>
      </c>
      <c r="C322">
        <v>87.22</v>
      </c>
      <c r="D322">
        <v>89.54</v>
      </c>
      <c r="E322">
        <v>85.44</v>
      </c>
      <c r="F322" t="s">
        <v>317</v>
      </c>
      <c r="G322" s="2">
        <v>1.26E-2</v>
      </c>
      <c r="H322">
        <f t="shared" si="8"/>
        <v>1.260456055918424E-2</v>
      </c>
      <c r="I322">
        <f t="shared" si="9"/>
        <v>1.2525784354693198E-2</v>
      </c>
    </row>
    <row r="323" spans="1:9" x14ac:dyDescent="0.75">
      <c r="A323" s="1">
        <v>45217</v>
      </c>
      <c r="B323">
        <v>87.27</v>
      </c>
      <c r="C323">
        <v>86.41</v>
      </c>
      <c r="D323">
        <v>88.57</v>
      </c>
      <c r="E323">
        <v>86.25</v>
      </c>
      <c r="F323" t="s">
        <v>318</v>
      </c>
      <c r="G323" s="2">
        <v>2.1399999999999999E-2</v>
      </c>
      <c r="H323">
        <f t="shared" ref="H323:H386" si="10">(B323-B324)/B324</f>
        <v>2.1418539325842676E-2</v>
      </c>
      <c r="I323">
        <f t="shared" ref="I323:I386" si="11">LN(B323/B324)</f>
        <v>2.1192385963335142E-2</v>
      </c>
    </row>
    <row r="324" spans="1:9" x14ac:dyDescent="0.75">
      <c r="A324" s="1">
        <v>45216</v>
      </c>
      <c r="B324">
        <v>85.44</v>
      </c>
      <c r="C324">
        <v>85.69</v>
      </c>
      <c r="D324">
        <v>86.44</v>
      </c>
      <c r="E324">
        <v>84.39</v>
      </c>
      <c r="F324" t="s">
        <v>319</v>
      </c>
      <c r="G324" s="2">
        <v>2.0999999999999999E-3</v>
      </c>
      <c r="H324">
        <f t="shared" si="10"/>
        <v>2.1111893033074433E-3</v>
      </c>
      <c r="I324">
        <f t="shared" si="11"/>
        <v>2.1089638748203569E-3</v>
      </c>
    </row>
    <row r="325" spans="1:9" x14ac:dyDescent="0.75">
      <c r="A325" s="1">
        <v>45215</v>
      </c>
      <c r="B325">
        <v>85.26</v>
      </c>
      <c r="C325">
        <v>86.37</v>
      </c>
      <c r="D325">
        <v>86.94</v>
      </c>
      <c r="E325">
        <v>85</v>
      </c>
      <c r="F325" t="s">
        <v>320</v>
      </c>
      <c r="G325" s="2">
        <v>-1.26E-2</v>
      </c>
      <c r="H325">
        <f t="shared" si="10"/>
        <v>-1.2623045744064728E-2</v>
      </c>
      <c r="I325">
        <f t="shared" si="11"/>
        <v>-1.2703393255623181E-2</v>
      </c>
    </row>
    <row r="326" spans="1:9" x14ac:dyDescent="0.75">
      <c r="A326" s="1">
        <v>45212</v>
      </c>
      <c r="B326">
        <v>86.35</v>
      </c>
      <c r="C326">
        <v>82.27</v>
      </c>
      <c r="D326">
        <v>86.51</v>
      </c>
      <c r="E326">
        <v>82.17</v>
      </c>
      <c r="F326" t="s">
        <v>321</v>
      </c>
      <c r="G326" s="2">
        <v>5.5599999999999997E-2</v>
      </c>
      <c r="H326">
        <f t="shared" si="10"/>
        <v>5.5623471882640552E-2</v>
      </c>
      <c r="I326">
        <f t="shared" si="11"/>
        <v>5.4131560983986152E-2</v>
      </c>
    </row>
    <row r="327" spans="1:9" x14ac:dyDescent="0.75">
      <c r="A327" s="1">
        <v>45211</v>
      </c>
      <c r="B327">
        <v>81.8</v>
      </c>
      <c r="C327">
        <v>81.84</v>
      </c>
      <c r="D327">
        <v>83.75</v>
      </c>
      <c r="E327">
        <v>81.31</v>
      </c>
      <c r="F327" t="s">
        <v>322</v>
      </c>
      <c r="G327" s="2">
        <v>-3.3E-3</v>
      </c>
      <c r="H327">
        <f t="shared" si="10"/>
        <v>-3.2898744973802367E-3</v>
      </c>
      <c r="I327">
        <f t="shared" si="11"/>
        <v>-3.2952980329189014E-3</v>
      </c>
    </row>
    <row r="328" spans="1:9" x14ac:dyDescent="0.75">
      <c r="A328" s="1">
        <v>45210</v>
      </c>
      <c r="B328">
        <v>82.07</v>
      </c>
      <c r="C328">
        <v>84.16</v>
      </c>
      <c r="D328">
        <v>84.72</v>
      </c>
      <c r="E328">
        <v>81.63</v>
      </c>
      <c r="F328" t="s">
        <v>323</v>
      </c>
      <c r="G328" s="2">
        <v>-2.4500000000000001E-2</v>
      </c>
      <c r="H328">
        <f t="shared" si="10"/>
        <v>-2.4485914655889722E-2</v>
      </c>
      <c r="I328">
        <f t="shared" si="11"/>
        <v>-2.479067992110191E-2</v>
      </c>
    </row>
    <row r="329" spans="1:9" x14ac:dyDescent="0.75">
      <c r="A329" s="1">
        <v>45209</v>
      </c>
      <c r="B329">
        <v>84.13</v>
      </c>
      <c r="C329">
        <v>84.7</v>
      </c>
      <c r="D329">
        <v>84.94</v>
      </c>
      <c r="E329">
        <v>83.39</v>
      </c>
      <c r="F329" t="s">
        <v>324</v>
      </c>
      <c r="G329" s="2">
        <v>-5.5999999999999999E-3</v>
      </c>
      <c r="H329">
        <f t="shared" si="10"/>
        <v>-5.5555555555555428E-3</v>
      </c>
      <c r="I329">
        <f t="shared" si="11"/>
        <v>-5.5710450494553601E-3</v>
      </c>
    </row>
    <row r="330" spans="1:9" x14ac:dyDescent="0.75">
      <c r="A330" s="1">
        <v>45208</v>
      </c>
      <c r="B330">
        <v>84.6</v>
      </c>
      <c r="C330">
        <v>83.2</v>
      </c>
      <c r="D330">
        <v>85.56</v>
      </c>
      <c r="E330">
        <v>82.95</v>
      </c>
      <c r="F330" t="s">
        <v>325</v>
      </c>
      <c r="G330" s="2">
        <v>4.0800000000000003E-2</v>
      </c>
      <c r="H330">
        <f t="shared" si="10"/>
        <v>4.0846456692913299E-2</v>
      </c>
      <c r="I330">
        <f t="shared" si="11"/>
        <v>4.0034282782005659E-2</v>
      </c>
    </row>
    <row r="331" spans="1:9" x14ac:dyDescent="0.75">
      <c r="A331" s="1">
        <v>45205</v>
      </c>
      <c r="B331">
        <v>81.28</v>
      </c>
      <c r="C331">
        <v>81.05</v>
      </c>
      <c r="D331">
        <v>81.69</v>
      </c>
      <c r="E331">
        <v>80.2</v>
      </c>
      <c r="F331" t="s">
        <v>326</v>
      </c>
      <c r="G331" s="2">
        <v>5.7999999999999996E-3</v>
      </c>
      <c r="H331">
        <f t="shared" si="10"/>
        <v>5.8161118673431362E-3</v>
      </c>
      <c r="I331">
        <f t="shared" si="11"/>
        <v>5.7992635848155517E-3</v>
      </c>
    </row>
    <row r="332" spans="1:9" x14ac:dyDescent="0.75">
      <c r="A332" s="1">
        <v>45204</v>
      </c>
      <c r="B332">
        <v>80.81</v>
      </c>
      <c r="C332">
        <v>82.85</v>
      </c>
      <c r="D332">
        <v>83.23</v>
      </c>
      <c r="E332">
        <v>80.61</v>
      </c>
      <c r="F332" t="s">
        <v>327</v>
      </c>
      <c r="G332" s="2">
        <v>-2.1100000000000001E-2</v>
      </c>
      <c r="H332">
        <f t="shared" si="10"/>
        <v>-2.1078134463961173E-2</v>
      </c>
      <c r="I332">
        <f t="shared" si="11"/>
        <v>-2.1303450120780741E-2</v>
      </c>
    </row>
    <row r="333" spans="1:9" x14ac:dyDescent="0.75">
      <c r="A333" s="1">
        <v>45203</v>
      </c>
      <c r="B333">
        <v>82.55</v>
      </c>
      <c r="C333">
        <v>87.44</v>
      </c>
      <c r="D333">
        <v>87.76</v>
      </c>
      <c r="E333">
        <v>82.5</v>
      </c>
      <c r="F333" t="s">
        <v>328</v>
      </c>
      <c r="G333" s="2">
        <v>-5.5899999999999998E-2</v>
      </c>
      <c r="H333">
        <f t="shared" si="10"/>
        <v>-5.5924062214089666E-2</v>
      </c>
      <c r="I333">
        <f t="shared" si="11"/>
        <v>-5.7548673502146076E-2</v>
      </c>
    </row>
    <row r="334" spans="1:9" x14ac:dyDescent="0.75">
      <c r="A334" s="1">
        <v>45202</v>
      </c>
      <c r="B334">
        <v>87.44</v>
      </c>
      <c r="C334">
        <v>87.01</v>
      </c>
      <c r="D334">
        <v>88.25</v>
      </c>
      <c r="E334">
        <v>86.17</v>
      </c>
      <c r="F334" t="s">
        <v>329</v>
      </c>
      <c r="G334" s="2">
        <v>3.0999999999999999E-3</v>
      </c>
      <c r="H334">
        <f t="shared" si="10"/>
        <v>3.0973958930824367E-3</v>
      </c>
      <c r="I334">
        <f t="shared" si="11"/>
        <v>3.0926088447984119E-3</v>
      </c>
    </row>
    <row r="335" spans="1:9" x14ac:dyDescent="0.75">
      <c r="A335" s="1">
        <v>45201</v>
      </c>
      <c r="B335">
        <v>87.17</v>
      </c>
      <c r="C335">
        <v>88.83</v>
      </c>
      <c r="D335">
        <v>89.89</v>
      </c>
      <c r="E335">
        <v>86.83</v>
      </c>
      <c r="F335" t="s">
        <v>330</v>
      </c>
      <c r="G335" s="2">
        <v>-1.84E-2</v>
      </c>
      <c r="H335">
        <f t="shared" si="10"/>
        <v>-1.8355855855855804E-2</v>
      </c>
      <c r="I335">
        <f t="shared" si="11"/>
        <v>-1.8526414974639603E-2</v>
      </c>
    </row>
    <row r="336" spans="1:9" x14ac:dyDescent="0.75">
      <c r="A336" s="1">
        <v>45198</v>
      </c>
      <c r="B336">
        <v>88.8</v>
      </c>
      <c r="C336">
        <v>89.7</v>
      </c>
      <c r="D336">
        <v>90.96</v>
      </c>
      <c r="E336">
        <v>88.45</v>
      </c>
      <c r="F336" t="s">
        <v>331</v>
      </c>
      <c r="G336" s="2">
        <v>-8.8000000000000005E-3</v>
      </c>
      <c r="H336">
        <f t="shared" si="10"/>
        <v>-8.8179484317446842E-3</v>
      </c>
      <c r="I336">
        <f t="shared" si="11"/>
        <v>-8.8570566113627038E-3</v>
      </c>
    </row>
    <row r="337" spans="1:9" x14ac:dyDescent="0.75">
      <c r="A337" s="1">
        <v>45197</v>
      </c>
      <c r="B337">
        <v>89.59</v>
      </c>
      <c r="C337">
        <v>91.44</v>
      </c>
      <c r="D337">
        <v>92.48</v>
      </c>
      <c r="E337">
        <v>89.31</v>
      </c>
      <c r="F337" t="s">
        <v>332</v>
      </c>
      <c r="G337" s="2">
        <v>-1.8700000000000001E-2</v>
      </c>
      <c r="H337">
        <f t="shared" si="10"/>
        <v>-1.8729463307776494E-2</v>
      </c>
      <c r="I337">
        <f t="shared" si="11"/>
        <v>-1.8907080991435656E-2</v>
      </c>
    </row>
    <row r="338" spans="1:9" x14ac:dyDescent="0.75">
      <c r="A338" s="1">
        <v>45196</v>
      </c>
      <c r="B338">
        <v>91.3</v>
      </c>
      <c r="C338">
        <v>88.92</v>
      </c>
      <c r="D338">
        <v>91.73</v>
      </c>
      <c r="E338">
        <v>88.8</v>
      </c>
      <c r="F338" t="s">
        <v>333</v>
      </c>
      <c r="G338" s="2">
        <v>2.8400000000000002E-2</v>
      </c>
      <c r="H338">
        <f t="shared" si="10"/>
        <v>2.8384771344897454E-2</v>
      </c>
      <c r="I338">
        <f t="shared" si="11"/>
        <v>2.7989388195033577E-2</v>
      </c>
    </row>
    <row r="339" spans="1:9" x14ac:dyDescent="0.75">
      <c r="A339" s="1">
        <v>45195</v>
      </c>
      <c r="B339">
        <v>88.78</v>
      </c>
      <c r="C339">
        <v>88.3</v>
      </c>
      <c r="D339">
        <v>89.09</v>
      </c>
      <c r="E339">
        <v>86.74</v>
      </c>
      <c r="F339" t="s">
        <v>334</v>
      </c>
      <c r="G339" s="2">
        <v>6.8999999999999999E-3</v>
      </c>
      <c r="H339">
        <f t="shared" si="10"/>
        <v>6.9184529885448496E-3</v>
      </c>
      <c r="I339">
        <f t="shared" si="11"/>
        <v>6.8946303069535274E-3</v>
      </c>
    </row>
    <row r="340" spans="1:9" x14ac:dyDescent="0.75">
      <c r="A340" s="1">
        <v>45194</v>
      </c>
      <c r="B340">
        <v>88.17</v>
      </c>
      <c r="C340">
        <v>88.83</v>
      </c>
      <c r="D340">
        <v>89.07</v>
      </c>
      <c r="E340">
        <v>87.52</v>
      </c>
      <c r="F340" t="s">
        <v>335</v>
      </c>
      <c r="G340" s="2">
        <v>-2E-3</v>
      </c>
      <c r="H340">
        <f t="shared" si="10"/>
        <v>-2.0373514431238555E-3</v>
      </c>
      <c r="I340">
        <f t="shared" si="11"/>
        <v>-2.03942966676968E-3</v>
      </c>
    </row>
    <row r="341" spans="1:9" x14ac:dyDescent="0.75">
      <c r="A341" s="1">
        <v>45191</v>
      </c>
      <c r="B341">
        <v>88.35</v>
      </c>
      <c r="C341">
        <v>88.27</v>
      </c>
      <c r="D341">
        <v>89.65</v>
      </c>
      <c r="E341">
        <v>87.82</v>
      </c>
      <c r="F341" t="s">
        <v>336</v>
      </c>
      <c r="G341" s="2">
        <v>2.9999999999999997E-4</v>
      </c>
      <c r="H341">
        <f t="shared" si="10"/>
        <v>3.3967391304349115E-4</v>
      </c>
      <c r="I341">
        <f t="shared" si="11"/>
        <v>3.3961623692020453E-4</v>
      </c>
    </row>
    <row r="342" spans="1:9" x14ac:dyDescent="0.75">
      <c r="A342" s="1">
        <v>45190</v>
      </c>
      <c r="B342">
        <v>88.32</v>
      </c>
      <c r="C342">
        <v>88.07</v>
      </c>
      <c r="D342">
        <v>89.5</v>
      </c>
      <c r="E342">
        <v>87.15</v>
      </c>
      <c r="F342" t="s">
        <v>337</v>
      </c>
      <c r="G342" s="2">
        <v>-1.49E-2</v>
      </c>
      <c r="H342">
        <f t="shared" si="10"/>
        <v>-1.4945349096587145E-2</v>
      </c>
      <c r="I342">
        <f t="shared" si="11"/>
        <v>-1.5058156198508331E-2</v>
      </c>
    </row>
    <row r="343" spans="1:9" x14ac:dyDescent="0.75">
      <c r="A343" s="1">
        <v>45189</v>
      </c>
      <c r="B343">
        <v>89.66</v>
      </c>
      <c r="C343">
        <v>90.63</v>
      </c>
      <c r="D343">
        <v>91.07</v>
      </c>
      <c r="E343">
        <v>88.97</v>
      </c>
      <c r="F343" t="s">
        <v>338</v>
      </c>
      <c r="G343" s="2">
        <v>-9.1000000000000004E-3</v>
      </c>
      <c r="H343">
        <f t="shared" si="10"/>
        <v>-9.0627763041556952E-3</v>
      </c>
      <c r="I343">
        <f t="shared" si="11"/>
        <v>-9.1040930805717148E-3</v>
      </c>
    </row>
    <row r="344" spans="1:9" x14ac:dyDescent="0.75">
      <c r="A344" s="1">
        <v>45188</v>
      </c>
      <c r="B344">
        <v>90.48</v>
      </c>
      <c r="C344">
        <v>90.97</v>
      </c>
      <c r="D344">
        <v>92.43</v>
      </c>
      <c r="E344">
        <v>90.31</v>
      </c>
      <c r="F344" t="s">
        <v>339</v>
      </c>
      <c r="G344" s="2">
        <v>-1.1000000000000001E-3</v>
      </c>
      <c r="H344">
        <f t="shared" si="10"/>
        <v>-1.1039964672112422E-3</v>
      </c>
      <c r="I344">
        <f t="shared" si="11"/>
        <v>-1.1046063202027571E-3</v>
      </c>
    </row>
    <row r="345" spans="1:9" x14ac:dyDescent="0.75">
      <c r="A345" s="1">
        <v>45187</v>
      </c>
      <c r="B345">
        <v>90.58</v>
      </c>
      <c r="C345">
        <v>90.41</v>
      </c>
      <c r="D345">
        <v>91.36</v>
      </c>
      <c r="E345">
        <v>89.91</v>
      </c>
      <c r="F345" t="s">
        <v>340</v>
      </c>
      <c r="G345" s="2">
        <v>6.1999999999999998E-3</v>
      </c>
      <c r="H345">
        <f t="shared" si="10"/>
        <v>6.2208398133748307E-3</v>
      </c>
      <c r="I345">
        <f t="shared" si="11"/>
        <v>6.201570263281107E-3</v>
      </c>
    </row>
    <row r="346" spans="1:9" x14ac:dyDescent="0.75">
      <c r="A346" s="1">
        <v>45184</v>
      </c>
      <c r="B346">
        <v>90.02</v>
      </c>
      <c r="C346">
        <v>90.07</v>
      </c>
      <c r="D346">
        <v>90.56</v>
      </c>
      <c r="E346">
        <v>88.65</v>
      </c>
      <c r="F346" t="s">
        <v>341</v>
      </c>
      <c r="G346" s="2">
        <v>4.5999999999999999E-3</v>
      </c>
      <c r="H346">
        <f t="shared" si="10"/>
        <v>4.5753822118066801E-3</v>
      </c>
      <c r="I346">
        <f t="shared" si="11"/>
        <v>4.5649469686584393E-3</v>
      </c>
    </row>
    <row r="347" spans="1:9" x14ac:dyDescent="0.75">
      <c r="A347" s="1">
        <v>45183</v>
      </c>
      <c r="B347">
        <v>89.61</v>
      </c>
      <c r="C347">
        <v>88.19</v>
      </c>
      <c r="D347">
        <v>90.2</v>
      </c>
      <c r="E347">
        <v>88.04</v>
      </c>
      <c r="F347" t="s">
        <v>342</v>
      </c>
      <c r="G347" s="2">
        <v>1.9699999999999999E-2</v>
      </c>
      <c r="H347">
        <f t="shared" si="10"/>
        <v>1.9685935366408787E-2</v>
      </c>
      <c r="I347">
        <f t="shared" si="11"/>
        <v>1.9494673379718649E-2</v>
      </c>
    </row>
    <row r="348" spans="1:9" x14ac:dyDescent="0.75">
      <c r="A348" s="1">
        <v>45182</v>
      </c>
      <c r="B348">
        <v>87.88</v>
      </c>
      <c r="C348">
        <v>88.07</v>
      </c>
      <c r="D348">
        <v>88.92</v>
      </c>
      <c r="E348">
        <v>87.66</v>
      </c>
      <c r="F348" t="s">
        <v>343</v>
      </c>
      <c r="G348" s="2">
        <v>-3.2000000000000002E-3</v>
      </c>
      <c r="H348">
        <f t="shared" si="10"/>
        <v>-3.1760435571687971E-3</v>
      </c>
      <c r="I348">
        <f t="shared" si="11"/>
        <v>-3.1810978881949424E-3</v>
      </c>
    </row>
    <row r="349" spans="1:9" x14ac:dyDescent="0.75">
      <c r="A349" s="1">
        <v>45181</v>
      </c>
      <c r="B349">
        <v>88.16</v>
      </c>
      <c r="C349">
        <v>86.62</v>
      </c>
      <c r="D349">
        <v>88.62</v>
      </c>
      <c r="E349">
        <v>86.58</v>
      </c>
      <c r="F349" t="s">
        <v>344</v>
      </c>
      <c r="G349" s="2">
        <v>1.7299999999999999E-2</v>
      </c>
      <c r="H349">
        <f t="shared" si="10"/>
        <v>1.7309023771059313E-2</v>
      </c>
      <c r="I349">
        <f t="shared" si="11"/>
        <v>1.7160929092841056E-2</v>
      </c>
    </row>
    <row r="350" spans="1:9" x14ac:dyDescent="0.75">
      <c r="A350" s="1">
        <v>45180</v>
      </c>
      <c r="B350">
        <v>86.66</v>
      </c>
      <c r="C350">
        <v>86.74</v>
      </c>
      <c r="D350">
        <v>87.49</v>
      </c>
      <c r="E350">
        <v>86.12</v>
      </c>
      <c r="F350" t="s">
        <v>345</v>
      </c>
      <c r="G350" s="2">
        <v>-1.6999999999999999E-3</v>
      </c>
      <c r="H350">
        <f t="shared" si="10"/>
        <v>-1.7279115309296819E-3</v>
      </c>
      <c r="I350">
        <f t="shared" si="11"/>
        <v>-1.7294060919533039E-3</v>
      </c>
    </row>
    <row r="351" spans="1:9" x14ac:dyDescent="0.75">
      <c r="A351" s="1">
        <v>45177</v>
      </c>
      <c r="B351">
        <v>86.81</v>
      </c>
      <c r="C351">
        <v>86.01</v>
      </c>
      <c r="D351">
        <v>87.2</v>
      </c>
      <c r="E351">
        <v>85.49</v>
      </c>
      <c r="F351" t="s">
        <v>346</v>
      </c>
      <c r="G351" s="2">
        <v>7.7000000000000002E-3</v>
      </c>
      <c r="H351">
        <f t="shared" si="10"/>
        <v>7.661056297156083E-3</v>
      </c>
      <c r="I351">
        <f t="shared" si="11"/>
        <v>7.6318594297780451E-3</v>
      </c>
    </row>
    <row r="352" spans="1:9" x14ac:dyDescent="0.75">
      <c r="A352" s="1">
        <v>45176</v>
      </c>
      <c r="B352">
        <v>86.15</v>
      </c>
      <c r="C352">
        <v>86.8</v>
      </c>
      <c r="D352">
        <v>86.99</v>
      </c>
      <c r="E352">
        <v>85.68</v>
      </c>
      <c r="F352" t="s">
        <v>347</v>
      </c>
      <c r="G352" s="2">
        <v>-7.4000000000000003E-3</v>
      </c>
      <c r="H352">
        <f t="shared" si="10"/>
        <v>-7.3741214425625135E-3</v>
      </c>
      <c r="I352">
        <f t="shared" si="11"/>
        <v>-7.4014446822148368E-3</v>
      </c>
    </row>
    <row r="353" spans="1:9" x14ac:dyDescent="0.75">
      <c r="A353" s="1">
        <v>45175</v>
      </c>
      <c r="B353">
        <v>86.79</v>
      </c>
      <c r="C353">
        <v>86.02</v>
      </c>
      <c r="D353">
        <v>87.27</v>
      </c>
      <c r="E353">
        <v>85.31</v>
      </c>
      <c r="F353" t="s">
        <v>348</v>
      </c>
      <c r="G353" s="2">
        <v>9.1000000000000004E-3</v>
      </c>
      <c r="H353">
        <f t="shared" si="10"/>
        <v>9.0687129403557859E-3</v>
      </c>
      <c r="I353">
        <f t="shared" si="11"/>
        <v>9.0278390927652045E-3</v>
      </c>
    </row>
    <row r="354" spans="1:9" x14ac:dyDescent="0.75">
      <c r="A354" s="1">
        <v>45174</v>
      </c>
      <c r="B354">
        <v>86.01</v>
      </c>
      <c r="C354">
        <v>85.19</v>
      </c>
      <c r="D354">
        <v>87.25</v>
      </c>
      <c r="E354">
        <v>84.29</v>
      </c>
      <c r="F354" t="s">
        <v>349</v>
      </c>
      <c r="G354" s="2">
        <v>2.2000000000000001E-3</v>
      </c>
      <c r="H354">
        <f t="shared" si="10"/>
        <v>2.2139361454207871E-3</v>
      </c>
      <c r="I354">
        <f t="shared" si="11"/>
        <v>2.2114890000096235E-3</v>
      </c>
    </row>
    <row r="355" spans="1:9" x14ac:dyDescent="0.75">
      <c r="A355" s="1">
        <v>45173</v>
      </c>
      <c r="B355">
        <v>85.82</v>
      </c>
      <c r="C355">
        <v>85.85</v>
      </c>
      <c r="D355">
        <v>86.14</v>
      </c>
      <c r="E355">
        <v>85.28</v>
      </c>
      <c r="G355" s="2">
        <v>-2.9999999999999997E-4</v>
      </c>
      <c r="H355">
        <f t="shared" si="10"/>
        <v>-3.4944670937683332E-4</v>
      </c>
      <c r="I355">
        <f t="shared" si="11"/>
        <v>-3.4950778010593779E-4</v>
      </c>
    </row>
    <row r="356" spans="1:9" x14ac:dyDescent="0.75">
      <c r="A356" s="1">
        <v>45172</v>
      </c>
      <c r="B356">
        <v>85.85</v>
      </c>
      <c r="C356">
        <v>86.06</v>
      </c>
      <c r="D356">
        <v>86.06</v>
      </c>
      <c r="E356">
        <v>85.73</v>
      </c>
      <c r="G356" s="2">
        <v>1.2999999999999999E-2</v>
      </c>
      <c r="H356">
        <f t="shared" si="10"/>
        <v>1.297935103244831E-2</v>
      </c>
      <c r="I356">
        <f t="shared" si="11"/>
        <v>1.2895841082924814E-2</v>
      </c>
    </row>
    <row r="357" spans="1:9" x14ac:dyDescent="0.75">
      <c r="A357" s="1">
        <v>45170</v>
      </c>
      <c r="B357">
        <v>84.75</v>
      </c>
      <c r="C357">
        <v>82.9</v>
      </c>
      <c r="D357">
        <v>85.19</v>
      </c>
      <c r="E357">
        <v>82.78</v>
      </c>
      <c r="F357" t="s">
        <v>350</v>
      </c>
      <c r="G357" s="2">
        <v>2.1600000000000001E-2</v>
      </c>
      <c r="H357">
        <f t="shared" si="10"/>
        <v>2.1576663452266231E-2</v>
      </c>
      <c r="I357">
        <f t="shared" si="11"/>
        <v>2.1347182339287871E-2</v>
      </c>
    </row>
    <row r="358" spans="1:9" x14ac:dyDescent="0.75">
      <c r="A358" s="1">
        <v>45169</v>
      </c>
      <c r="B358">
        <v>82.96</v>
      </c>
      <c r="C358">
        <v>81.14</v>
      </c>
      <c r="D358">
        <v>83.02</v>
      </c>
      <c r="E358">
        <v>81</v>
      </c>
      <c r="F358" t="s">
        <v>351</v>
      </c>
      <c r="G358" s="2">
        <v>2.2700000000000001E-2</v>
      </c>
      <c r="H358">
        <f t="shared" si="10"/>
        <v>2.2682445759368702E-2</v>
      </c>
      <c r="I358">
        <f t="shared" si="11"/>
        <v>2.2429024078398644E-2</v>
      </c>
    </row>
    <row r="359" spans="1:9" x14ac:dyDescent="0.75">
      <c r="A359" s="1">
        <v>45168</v>
      </c>
      <c r="B359">
        <v>81.12</v>
      </c>
      <c r="C359">
        <v>80.78</v>
      </c>
      <c r="D359">
        <v>81.540000000000006</v>
      </c>
      <c r="E359">
        <v>80.430000000000007</v>
      </c>
      <c r="F359" t="s">
        <v>352</v>
      </c>
      <c r="G359" s="2">
        <v>5.4999999999999997E-3</v>
      </c>
      <c r="H359">
        <f t="shared" si="10"/>
        <v>5.4536440257808337E-3</v>
      </c>
      <c r="I359">
        <f t="shared" si="11"/>
        <v>5.4388267568620044E-3</v>
      </c>
    </row>
    <row r="360" spans="1:9" x14ac:dyDescent="0.75">
      <c r="A360" s="1">
        <v>45167</v>
      </c>
      <c r="B360">
        <v>80.680000000000007</v>
      </c>
      <c r="C360">
        <v>79.55</v>
      </c>
      <c r="D360">
        <v>80.91</v>
      </c>
      <c r="E360">
        <v>78.94</v>
      </c>
      <c r="F360" t="s">
        <v>353</v>
      </c>
      <c r="G360" s="2">
        <v>1.2699999999999999E-2</v>
      </c>
      <c r="H360">
        <f t="shared" si="10"/>
        <v>1.267729383707801E-2</v>
      </c>
      <c r="I360">
        <f t="shared" si="11"/>
        <v>1.2597609693736451E-2</v>
      </c>
    </row>
    <row r="361" spans="1:9" x14ac:dyDescent="0.75">
      <c r="A361" s="1">
        <v>45166</v>
      </c>
      <c r="B361">
        <v>79.67</v>
      </c>
      <c r="C361">
        <v>79.69</v>
      </c>
      <c r="D361">
        <v>80.44</v>
      </c>
      <c r="E361">
        <v>79.25</v>
      </c>
      <c r="F361" t="s">
        <v>354</v>
      </c>
      <c r="G361" s="2">
        <v>2.3E-3</v>
      </c>
      <c r="H361">
        <f t="shared" si="10"/>
        <v>2.2644357780853795E-3</v>
      </c>
      <c r="I361">
        <f t="shared" si="11"/>
        <v>2.2618758072535496E-3</v>
      </c>
    </row>
    <row r="362" spans="1:9" x14ac:dyDescent="0.75">
      <c r="A362" s="1">
        <v>45163</v>
      </c>
      <c r="B362">
        <v>79.489999999999995</v>
      </c>
      <c r="C362">
        <v>78.489999999999995</v>
      </c>
      <c r="D362">
        <v>79.98</v>
      </c>
      <c r="E362">
        <v>77.819999999999993</v>
      </c>
      <c r="F362" t="s">
        <v>355</v>
      </c>
      <c r="G362" s="2">
        <v>1.06E-2</v>
      </c>
      <c r="H362">
        <f t="shared" si="10"/>
        <v>1.0551741673023116E-2</v>
      </c>
      <c r="I362">
        <f t="shared" si="11"/>
        <v>1.0496460581357855E-2</v>
      </c>
    </row>
    <row r="363" spans="1:9" x14ac:dyDescent="0.75">
      <c r="A363" s="1">
        <v>45162</v>
      </c>
      <c r="B363">
        <v>78.66</v>
      </c>
      <c r="C363">
        <v>78.3</v>
      </c>
      <c r="D363">
        <v>78.95</v>
      </c>
      <c r="E363">
        <v>77.319999999999993</v>
      </c>
      <c r="F363" t="s">
        <v>356</v>
      </c>
      <c r="G363" s="2">
        <v>8.9999999999999998E-4</v>
      </c>
      <c r="H363">
        <f t="shared" si="10"/>
        <v>8.9069856215794854E-4</v>
      </c>
      <c r="I363">
        <f t="shared" si="11"/>
        <v>8.9030212557983488E-4</v>
      </c>
    </row>
    <row r="364" spans="1:9" x14ac:dyDescent="0.75">
      <c r="A364" s="1">
        <v>45161</v>
      </c>
      <c r="B364">
        <v>78.59</v>
      </c>
      <c r="C364">
        <v>79.349999999999994</v>
      </c>
      <c r="D364">
        <v>79.599999999999994</v>
      </c>
      <c r="E364">
        <v>77.34</v>
      </c>
      <c r="F364" t="s">
        <v>357</v>
      </c>
      <c r="G364" s="2">
        <v>-1.32E-2</v>
      </c>
      <c r="H364">
        <f t="shared" si="10"/>
        <v>-1.3184329482671989E-2</v>
      </c>
      <c r="I364">
        <f t="shared" si="11"/>
        <v>-1.3272014317911966E-2</v>
      </c>
    </row>
    <row r="365" spans="1:9" x14ac:dyDescent="0.75">
      <c r="A365" s="1">
        <v>45160</v>
      </c>
      <c r="B365">
        <v>79.64</v>
      </c>
      <c r="C365">
        <v>80.25</v>
      </c>
      <c r="D365">
        <v>80.37</v>
      </c>
      <c r="E365">
        <v>79.459999999999994</v>
      </c>
      <c r="F365" t="s">
        <v>358</v>
      </c>
      <c r="G365" s="2">
        <v>-6.0000000000000001E-3</v>
      </c>
      <c r="H365">
        <f t="shared" si="10"/>
        <v>-5.9910134797803785E-3</v>
      </c>
      <c r="I365">
        <f t="shared" si="11"/>
        <v>-6.0090316016220046E-3</v>
      </c>
    </row>
    <row r="366" spans="1:9" x14ac:dyDescent="0.75">
      <c r="A366" s="1">
        <v>45159</v>
      </c>
      <c r="B366">
        <v>80.12</v>
      </c>
      <c r="C366">
        <v>80.760000000000005</v>
      </c>
      <c r="D366">
        <v>81.75</v>
      </c>
      <c r="E366">
        <v>79.97</v>
      </c>
      <c r="F366" t="s">
        <v>359</v>
      </c>
      <c r="G366" s="2">
        <v>-6.7000000000000002E-3</v>
      </c>
      <c r="H366">
        <f t="shared" si="10"/>
        <v>-6.6947681626579724E-3</v>
      </c>
      <c r="I366">
        <f t="shared" si="11"/>
        <v>-6.7172786476045266E-3</v>
      </c>
    </row>
    <row r="367" spans="1:9" x14ac:dyDescent="0.75">
      <c r="A367" s="1">
        <v>45156</v>
      </c>
      <c r="B367">
        <v>80.66</v>
      </c>
      <c r="C367">
        <v>79.58</v>
      </c>
      <c r="D367">
        <v>80.97</v>
      </c>
      <c r="E367">
        <v>79.02</v>
      </c>
      <c r="F367" t="s">
        <v>360</v>
      </c>
      <c r="G367" s="2">
        <v>9.4999999999999998E-3</v>
      </c>
      <c r="H367">
        <f t="shared" si="10"/>
        <v>9.511889862327795E-3</v>
      </c>
      <c r="I367">
        <f t="shared" si="11"/>
        <v>9.4669366729930645E-3</v>
      </c>
    </row>
    <row r="368" spans="1:9" x14ac:dyDescent="0.75">
      <c r="A368" s="1">
        <v>45155</v>
      </c>
      <c r="B368">
        <v>79.900000000000006</v>
      </c>
      <c r="C368">
        <v>78.91</v>
      </c>
      <c r="D368">
        <v>80.61</v>
      </c>
      <c r="E368">
        <v>78.599999999999994</v>
      </c>
      <c r="F368" t="s">
        <v>361</v>
      </c>
      <c r="G368" s="2">
        <v>1.11E-2</v>
      </c>
      <c r="H368">
        <f t="shared" si="10"/>
        <v>1.1136421159200325E-2</v>
      </c>
      <c r="I368">
        <f t="shared" si="11"/>
        <v>1.1074867788984323E-2</v>
      </c>
    </row>
    <row r="369" spans="1:9" x14ac:dyDescent="0.75">
      <c r="A369" s="1">
        <v>45154</v>
      </c>
      <c r="B369">
        <v>79.02</v>
      </c>
      <c r="C369">
        <v>80.739999999999995</v>
      </c>
      <c r="D369">
        <v>80.97</v>
      </c>
      <c r="E369">
        <v>78.680000000000007</v>
      </c>
      <c r="F369" t="s">
        <v>362</v>
      </c>
      <c r="G369" s="2">
        <v>-1.84E-2</v>
      </c>
      <c r="H369">
        <f t="shared" si="10"/>
        <v>-1.8385093167701913E-2</v>
      </c>
      <c r="I369">
        <f t="shared" si="11"/>
        <v>-1.8556199441273021E-2</v>
      </c>
    </row>
    <row r="370" spans="1:9" x14ac:dyDescent="0.75">
      <c r="A370" s="1">
        <v>45153</v>
      </c>
      <c r="B370">
        <v>80.5</v>
      </c>
      <c r="C370">
        <v>81.98</v>
      </c>
      <c r="D370">
        <v>82.33</v>
      </c>
      <c r="E370">
        <v>79.95</v>
      </c>
      <c r="F370" t="s">
        <v>363</v>
      </c>
      <c r="G370" s="2">
        <v>-1.7299999999999999E-2</v>
      </c>
      <c r="H370">
        <f t="shared" si="10"/>
        <v>-1.7333984375000021E-2</v>
      </c>
      <c r="I370">
        <f t="shared" si="11"/>
        <v>-1.7485976866679968E-2</v>
      </c>
    </row>
    <row r="371" spans="1:9" x14ac:dyDescent="0.75">
      <c r="A371" s="1">
        <v>45152</v>
      </c>
      <c r="B371">
        <v>81.92</v>
      </c>
      <c r="C371">
        <v>82.46</v>
      </c>
      <c r="D371">
        <v>82.51</v>
      </c>
      <c r="E371">
        <v>81.19</v>
      </c>
      <c r="F371" t="s">
        <v>364</v>
      </c>
      <c r="G371" s="2">
        <v>-7.9000000000000008E-3</v>
      </c>
      <c r="H371">
        <f t="shared" si="10"/>
        <v>-7.8721085139880284E-3</v>
      </c>
      <c r="I371">
        <f t="shared" si="11"/>
        <v>-7.9032571381394169E-3</v>
      </c>
    </row>
    <row r="372" spans="1:9" x14ac:dyDescent="0.75">
      <c r="A372" s="1">
        <v>45149</v>
      </c>
      <c r="B372">
        <v>82.57</v>
      </c>
      <c r="C372">
        <v>82.33</v>
      </c>
      <c r="D372">
        <v>83.16</v>
      </c>
      <c r="E372">
        <v>81.75</v>
      </c>
      <c r="F372" t="s">
        <v>365</v>
      </c>
      <c r="G372" s="2">
        <v>3.3999999999999998E-3</v>
      </c>
      <c r="H372">
        <f t="shared" si="10"/>
        <v>3.4026005589985042E-3</v>
      </c>
      <c r="I372">
        <f t="shared" si="11"/>
        <v>3.3968248117154146E-3</v>
      </c>
    </row>
    <row r="373" spans="1:9" x14ac:dyDescent="0.75">
      <c r="A373" s="1">
        <v>45148</v>
      </c>
      <c r="B373">
        <v>82.29</v>
      </c>
      <c r="C373">
        <v>83.51</v>
      </c>
      <c r="D373">
        <v>84.16</v>
      </c>
      <c r="E373">
        <v>82.04</v>
      </c>
      <c r="F373" t="s">
        <v>366</v>
      </c>
      <c r="G373" s="2">
        <v>-1.67E-2</v>
      </c>
      <c r="H373">
        <f t="shared" si="10"/>
        <v>-1.6728402437567111E-2</v>
      </c>
      <c r="I373">
        <f t="shared" si="11"/>
        <v>-1.6869902427161042E-2</v>
      </c>
    </row>
    <row r="374" spans="1:9" x14ac:dyDescent="0.75">
      <c r="A374" s="1">
        <v>45147</v>
      </c>
      <c r="B374">
        <v>83.69</v>
      </c>
      <c r="C374">
        <v>82.34</v>
      </c>
      <c r="D374">
        <v>83.91</v>
      </c>
      <c r="E374">
        <v>82.11</v>
      </c>
      <c r="F374" t="s">
        <v>367</v>
      </c>
      <c r="G374" s="2">
        <v>1.61E-2</v>
      </c>
      <c r="H374">
        <f t="shared" si="10"/>
        <v>1.6148615832928585E-2</v>
      </c>
      <c r="I374">
        <f t="shared" si="11"/>
        <v>1.6019613885193865E-2</v>
      </c>
    </row>
    <row r="375" spans="1:9" x14ac:dyDescent="0.75">
      <c r="A375" s="1">
        <v>45146</v>
      </c>
      <c r="B375">
        <v>82.36</v>
      </c>
      <c r="C375">
        <v>82.04</v>
      </c>
      <c r="D375">
        <v>82.52</v>
      </c>
      <c r="E375">
        <v>79.52</v>
      </c>
      <c r="F375" t="s">
        <v>368</v>
      </c>
      <c r="G375" s="2">
        <v>1.0699999999999999E-2</v>
      </c>
      <c r="H375">
        <f t="shared" si="10"/>
        <v>1.0676156583629949E-2</v>
      </c>
      <c r="I375">
        <f t="shared" si="11"/>
        <v>1.0619568827460351E-2</v>
      </c>
    </row>
    <row r="376" spans="1:9" x14ac:dyDescent="0.75">
      <c r="A376" s="1">
        <v>45145</v>
      </c>
      <c r="B376">
        <v>81.489999999999995</v>
      </c>
      <c r="C376">
        <v>82.27</v>
      </c>
      <c r="D376">
        <v>82.73</v>
      </c>
      <c r="E376">
        <v>81.08</v>
      </c>
      <c r="F376" t="s">
        <v>369</v>
      </c>
      <c r="G376" s="2">
        <v>-9.4999999999999998E-3</v>
      </c>
      <c r="H376">
        <f t="shared" si="10"/>
        <v>-9.4809772699647639E-3</v>
      </c>
      <c r="I376">
        <f t="shared" si="11"/>
        <v>-9.5262078487105394E-3</v>
      </c>
    </row>
    <row r="377" spans="1:9" x14ac:dyDescent="0.75">
      <c r="A377" s="1">
        <v>45142</v>
      </c>
      <c r="B377">
        <v>82.27</v>
      </c>
      <c r="C377">
        <v>81.22</v>
      </c>
      <c r="D377">
        <v>82.66</v>
      </c>
      <c r="E377">
        <v>81.040000000000006</v>
      </c>
      <c r="F377" t="s">
        <v>370</v>
      </c>
      <c r="G377" s="2">
        <v>1.47E-2</v>
      </c>
      <c r="H377">
        <f t="shared" si="10"/>
        <v>1.4676862358164748E-2</v>
      </c>
      <c r="I377">
        <f t="shared" si="11"/>
        <v>1.4570199597039665E-2</v>
      </c>
    </row>
    <row r="378" spans="1:9" x14ac:dyDescent="0.75">
      <c r="A378" s="1">
        <v>45141</v>
      </c>
      <c r="B378">
        <v>81.08</v>
      </c>
      <c r="C378">
        <v>79.400000000000006</v>
      </c>
      <c r="D378">
        <v>81.400000000000006</v>
      </c>
      <c r="E378">
        <v>78.33</v>
      </c>
      <c r="F378" t="s">
        <v>371</v>
      </c>
      <c r="G378" s="2">
        <v>2.46E-2</v>
      </c>
      <c r="H378">
        <f t="shared" si="10"/>
        <v>2.4642992543915113E-2</v>
      </c>
      <c r="I378">
        <f t="shared" si="11"/>
        <v>2.4344251962697332E-2</v>
      </c>
    </row>
    <row r="379" spans="1:9" x14ac:dyDescent="0.75">
      <c r="A379" s="1">
        <v>45140</v>
      </c>
      <c r="B379">
        <v>79.13</v>
      </c>
      <c r="C379">
        <v>81.540000000000006</v>
      </c>
      <c r="D379">
        <v>81.95</v>
      </c>
      <c r="E379">
        <v>78.680000000000007</v>
      </c>
      <c r="F379" t="s">
        <v>372</v>
      </c>
      <c r="G379" s="2">
        <v>-2.2100000000000002E-2</v>
      </c>
      <c r="H379">
        <f t="shared" si="10"/>
        <v>-2.2120612951062855E-2</v>
      </c>
      <c r="I379">
        <f t="shared" si="11"/>
        <v>-2.2368942678442777E-2</v>
      </c>
    </row>
    <row r="380" spans="1:9" x14ac:dyDescent="0.75">
      <c r="A380" s="1">
        <v>45139</v>
      </c>
      <c r="B380">
        <v>80.92</v>
      </c>
      <c r="C380">
        <v>81.25</v>
      </c>
      <c r="D380">
        <v>81.739999999999995</v>
      </c>
      <c r="E380">
        <v>80.17</v>
      </c>
      <c r="F380" t="s">
        <v>373</v>
      </c>
      <c r="G380" s="2">
        <v>-4.8999999999999998E-3</v>
      </c>
      <c r="H380">
        <f t="shared" si="10"/>
        <v>-4.9188391539595607E-3</v>
      </c>
      <c r="I380">
        <f t="shared" si="11"/>
        <v>-4.9309764606010218E-3</v>
      </c>
    </row>
    <row r="381" spans="1:9" x14ac:dyDescent="0.75">
      <c r="A381" s="1">
        <v>45138</v>
      </c>
      <c r="B381">
        <v>81.319999999999993</v>
      </c>
      <c r="C381">
        <v>80.23</v>
      </c>
      <c r="D381">
        <v>81.5</v>
      </c>
      <c r="E381">
        <v>79.72</v>
      </c>
      <c r="F381" t="s">
        <v>374</v>
      </c>
      <c r="G381" s="2">
        <v>1.4200000000000001E-2</v>
      </c>
      <c r="H381">
        <f t="shared" si="10"/>
        <v>1.4218009478672815E-2</v>
      </c>
      <c r="I381">
        <f t="shared" si="11"/>
        <v>1.4117881545784803E-2</v>
      </c>
    </row>
    <row r="382" spans="1:9" x14ac:dyDescent="0.75">
      <c r="A382" s="1">
        <v>45135</v>
      </c>
      <c r="B382">
        <v>80.180000000000007</v>
      </c>
      <c r="C382">
        <v>79.33</v>
      </c>
      <c r="D382">
        <v>80.290000000000006</v>
      </c>
      <c r="E382">
        <v>78.67</v>
      </c>
      <c r="F382" t="s">
        <v>375</v>
      </c>
      <c r="G382" s="2">
        <v>6.8999999999999999E-3</v>
      </c>
      <c r="H382">
        <f t="shared" si="10"/>
        <v>6.9069446188623814E-3</v>
      </c>
      <c r="I382">
        <f t="shared" si="11"/>
        <v>6.8832009450074975E-3</v>
      </c>
    </row>
    <row r="383" spans="1:9" x14ac:dyDescent="0.75">
      <c r="A383" s="1">
        <v>45134</v>
      </c>
      <c r="B383">
        <v>79.63</v>
      </c>
      <c r="C383">
        <v>78.489999999999995</v>
      </c>
      <c r="D383">
        <v>80.08</v>
      </c>
      <c r="E383">
        <v>78.47</v>
      </c>
      <c r="F383" t="s">
        <v>376</v>
      </c>
      <c r="G383" s="2">
        <v>1.5699999999999999E-2</v>
      </c>
      <c r="H383">
        <f t="shared" si="10"/>
        <v>1.5688775510203951E-2</v>
      </c>
      <c r="I383">
        <f t="shared" si="11"/>
        <v>1.5566978912991216E-2</v>
      </c>
    </row>
    <row r="384" spans="1:9" x14ac:dyDescent="0.75">
      <c r="A384" s="1">
        <v>45133</v>
      </c>
      <c r="B384">
        <v>78.400000000000006</v>
      </c>
      <c r="C384">
        <v>78.88</v>
      </c>
      <c r="D384">
        <v>79.31</v>
      </c>
      <c r="E384">
        <v>78.17</v>
      </c>
      <c r="F384" t="s">
        <v>377</v>
      </c>
      <c r="G384" s="2">
        <v>-1.01E-2</v>
      </c>
      <c r="H384">
        <f t="shared" si="10"/>
        <v>-1.0101010101010065E-2</v>
      </c>
      <c r="I384">
        <f t="shared" si="11"/>
        <v>-1.0152371464017962E-2</v>
      </c>
    </row>
    <row r="385" spans="1:9" x14ac:dyDescent="0.75">
      <c r="A385" s="1">
        <v>45132</v>
      </c>
      <c r="B385">
        <v>79.2</v>
      </c>
      <c r="C385">
        <v>78.47</v>
      </c>
      <c r="D385">
        <v>79.459999999999994</v>
      </c>
      <c r="E385">
        <v>77.930000000000007</v>
      </c>
      <c r="F385" t="s">
        <v>378</v>
      </c>
      <c r="G385" s="2">
        <v>1.0200000000000001E-2</v>
      </c>
      <c r="H385">
        <f t="shared" si="10"/>
        <v>1.0204081632653024E-2</v>
      </c>
      <c r="I385">
        <f t="shared" si="11"/>
        <v>1.0152371464017908E-2</v>
      </c>
    </row>
    <row r="386" spans="1:9" x14ac:dyDescent="0.75">
      <c r="A386" s="1">
        <v>45131</v>
      </c>
      <c r="B386">
        <v>78.400000000000006</v>
      </c>
      <c r="C386">
        <v>76.62</v>
      </c>
      <c r="D386">
        <v>78.89</v>
      </c>
      <c r="E386">
        <v>76.16</v>
      </c>
      <c r="F386" t="s">
        <v>379</v>
      </c>
      <c r="G386" s="2">
        <v>2.1100000000000001E-2</v>
      </c>
      <c r="H386">
        <f t="shared" si="10"/>
        <v>2.1099244594946661E-2</v>
      </c>
      <c r="I386">
        <f t="shared" si="11"/>
        <v>2.0879737783710633E-2</v>
      </c>
    </row>
    <row r="387" spans="1:9" x14ac:dyDescent="0.75">
      <c r="A387" s="1">
        <v>45128</v>
      </c>
      <c r="B387">
        <v>76.78</v>
      </c>
      <c r="C387">
        <v>75.45</v>
      </c>
      <c r="D387">
        <v>76.98</v>
      </c>
      <c r="E387">
        <v>75.45</v>
      </c>
      <c r="F387" t="s">
        <v>380</v>
      </c>
      <c r="G387" s="2">
        <v>1.49E-2</v>
      </c>
      <c r="H387">
        <f t="shared" ref="H387:H450" si="12">(B387-B388)/B388</f>
        <v>1.4937210839391875E-2</v>
      </c>
      <c r="I387">
        <f t="shared" ref="I387:I450" si="13">LN(B387/B388)</f>
        <v>1.4826749338286711E-2</v>
      </c>
    </row>
    <row r="388" spans="1:9" x14ac:dyDescent="0.75">
      <c r="A388" s="1">
        <v>45127</v>
      </c>
      <c r="B388">
        <v>75.650000000000006</v>
      </c>
      <c r="C388">
        <v>75.33</v>
      </c>
      <c r="D388">
        <v>76.150000000000006</v>
      </c>
      <c r="E388">
        <v>74.52</v>
      </c>
      <c r="F388" t="s">
        <v>381</v>
      </c>
      <c r="G388" s="2">
        <v>4.7999999999999996E-3</v>
      </c>
      <c r="H388">
        <f t="shared" si="12"/>
        <v>4.7815114889095418E-3</v>
      </c>
      <c r="I388">
        <f t="shared" si="13"/>
        <v>4.7701163723340495E-3</v>
      </c>
    </row>
    <row r="389" spans="1:9" x14ac:dyDescent="0.75">
      <c r="A389" s="1">
        <v>45126</v>
      </c>
      <c r="B389">
        <v>75.290000000000006</v>
      </c>
      <c r="C389">
        <v>75.75</v>
      </c>
      <c r="D389">
        <v>76.87</v>
      </c>
      <c r="E389">
        <v>75.02</v>
      </c>
      <c r="F389" t="s">
        <v>382</v>
      </c>
      <c r="G389" s="2">
        <v>-4.8999999999999998E-3</v>
      </c>
      <c r="H389">
        <f t="shared" si="12"/>
        <v>-4.8902987047315669E-3</v>
      </c>
      <c r="I389">
        <f t="shared" si="13"/>
        <v>-4.9022953428521409E-3</v>
      </c>
    </row>
    <row r="390" spans="1:9" x14ac:dyDescent="0.75">
      <c r="A390" s="1">
        <v>45125</v>
      </c>
      <c r="B390">
        <v>75.66</v>
      </c>
      <c r="C390">
        <v>74.08</v>
      </c>
      <c r="D390">
        <v>75.900000000000006</v>
      </c>
      <c r="E390">
        <v>73.819999999999993</v>
      </c>
      <c r="F390" t="s">
        <v>383</v>
      </c>
      <c r="G390" s="2">
        <v>2.1299999999999999E-2</v>
      </c>
      <c r="H390">
        <f t="shared" si="12"/>
        <v>2.1328293736501056E-2</v>
      </c>
      <c r="I390">
        <f t="shared" si="13"/>
        <v>2.1104028866959303E-2</v>
      </c>
    </row>
    <row r="391" spans="1:9" x14ac:dyDescent="0.75">
      <c r="A391" s="1">
        <v>45124</v>
      </c>
      <c r="B391">
        <v>74.08</v>
      </c>
      <c r="C391">
        <v>74.88</v>
      </c>
      <c r="D391">
        <v>76</v>
      </c>
      <c r="E391">
        <v>73.78</v>
      </c>
      <c r="F391" t="s">
        <v>384</v>
      </c>
      <c r="G391" s="2">
        <v>-1.6500000000000001E-2</v>
      </c>
      <c r="H391">
        <f t="shared" si="12"/>
        <v>-1.6463090812533124E-2</v>
      </c>
      <c r="I391">
        <f t="shared" si="13"/>
        <v>-1.6600113451027691E-2</v>
      </c>
    </row>
    <row r="392" spans="1:9" x14ac:dyDescent="0.75">
      <c r="A392" s="1">
        <v>45121</v>
      </c>
      <c r="B392">
        <v>75.319999999999993</v>
      </c>
      <c r="C392">
        <v>77.02</v>
      </c>
      <c r="D392">
        <v>77.11</v>
      </c>
      <c r="E392">
        <v>75.06</v>
      </c>
      <c r="F392" t="s">
        <v>385</v>
      </c>
      <c r="G392" s="2">
        <v>-1.8800000000000001E-2</v>
      </c>
      <c r="H392">
        <f t="shared" si="12"/>
        <v>-1.8759770713913652E-2</v>
      </c>
      <c r="I392">
        <f t="shared" si="13"/>
        <v>-1.8937967350547664E-2</v>
      </c>
    </row>
    <row r="393" spans="1:9" x14ac:dyDescent="0.75">
      <c r="A393" s="1">
        <v>45120</v>
      </c>
      <c r="B393">
        <v>76.760000000000005</v>
      </c>
      <c r="C393">
        <v>75.64</v>
      </c>
      <c r="D393">
        <v>77.150000000000006</v>
      </c>
      <c r="E393">
        <v>75.23</v>
      </c>
      <c r="F393" t="s">
        <v>386</v>
      </c>
      <c r="G393" s="2">
        <v>1.6199999999999999E-2</v>
      </c>
      <c r="H393">
        <f t="shared" si="12"/>
        <v>1.615038390256816E-2</v>
      </c>
      <c r="I393">
        <f t="shared" si="13"/>
        <v>1.6021353855188256E-2</v>
      </c>
    </row>
    <row r="394" spans="1:9" x14ac:dyDescent="0.75">
      <c r="A394" s="1">
        <v>45119</v>
      </c>
      <c r="B394">
        <v>75.540000000000006</v>
      </c>
      <c r="C394">
        <v>74.7</v>
      </c>
      <c r="D394">
        <v>75.94</v>
      </c>
      <c r="E394">
        <v>74.53</v>
      </c>
      <c r="F394" t="s">
        <v>387</v>
      </c>
      <c r="G394" s="2">
        <v>1.11E-2</v>
      </c>
      <c r="H394">
        <f t="shared" si="12"/>
        <v>1.1109623878998963E-2</v>
      </c>
      <c r="I394">
        <f t="shared" si="13"/>
        <v>1.1048365296601071E-2</v>
      </c>
    </row>
    <row r="395" spans="1:9" x14ac:dyDescent="0.75">
      <c r="A395" s="1">
        <v>45118</v>
      </c>
      <c r="B395">
        <v>74.709999999999994</v>
      </c>
      <c r="C395">
        <v>73.13</v>
      </c>
      <c r="D395">
        <v>74.819999999999993</v>
      </c>
      <c r="E395">
        <v>72.94</v>
      </c>
      <c r="F395" t="s">
        <v>388</v>
      </c>
      <c r="G395" s="2">
        <v>2.41E-2</v>
      </c>
      <c r="H395">
        <f t="shared" si="12"/>
        <v>2.4126113776559162E-2</v>
      </c>
      <c r="I395">
        <f t="shared" si="13"/>
        <v>2.3839677018915092E-2</v>
      </c>
    </row>
    <row r="396" spans="1:9" x14ac:dyDescent="0.75">
      <c r="A396" s="1">
        <v>45117</v>
      </c>
      <c r="B396">
        <v>72.95</v>
      </c>
      <c r="C396">
        <v>73.760000000000005</v>
      </c>
      <c r="D396">
        <v>74.06</v>
      </c>
      <c r="E396">
        <v>72.63</v>
      </c>
      <c r="F396" t="s">
        <v>389</v>
      </c>
      <c r="G396" s="2">
        <v>-1.11E-2</v>
      </c>
      <c r="H396">
        <f t="shared" si="12"/>
        <v>-1.1115629659753195E-2</v>
      </c>
      <c r="I396">
        <f t="shared" si="13"/>
        <v>-1.1177869927416161E-2</v>
      </c>
    </row>
    <row r="397" spans="1:9" x14ac:dyDescent="0.75">
      <c r="A397" s="1">
        <v>45114</v>
      </c>
      <c r="B397">
        <v>73.77</v>
      </c>
      <c r="C397">
        <v>71.849999999999994</v>
      </c>
      <c r="D397">
        <v>73.819999999999993</v>
      </c>
      <c r="E397">
        <v>71.22</v>
      </c>
      <c r="F397" t="s">
        <v>390</v>
      </c>
      <c r="G397" s="2">
        <v>2.76E-2</v>
      </c>
      <c r="H397">
        <f t="shared" si="12"/>
        <v>2.758044295862919E-2</v>
      </c>
      <c r="I397">
        <f t="shared" si="13"/>
        <v>2.7206954307819178E-2</v>
      </c>
    </row>
    <row r="398" spans="1:9" x14ac:dyDescent="0.75">
      <c r="A398" s="1">
        <v>45113</v>
      </c>
      <c r="B398">
        <v>71.790000000000006</v>
      </c>
      <c r="C398">
        <v>71.849999999999994</v>
      </c>
      <c r="D398">
        <v>72.37</v>
      </c>
      <c r="E398">
        <v>70.28</v>
      </c>
      <c r="F398" t="s">
        <v>391</v>
      </c>
      <c r="G398" s="2">
        <v>-1.2999999999999999E-3</v>
      </c>
      <c r="H398">
        <f t="shared" si="12"/>
        <v>-1.2520868113521037E-3</v>
      </c>
      <c r="I398">
        <f t="shared" si="13"/>
        <v>-1.2528713269665283E-3</v>
      </c>
    </row>
    <row r="399" spans="1:9" x14ac:dyDescent="0.75">
      <c r="A399" s="1">
        <v>45112</v>
      </c>
      <c r="B399">
        <v>71.88</v>
      </c>
      <c r="C399">
        <v>70.25</v>
      </c>
      <c r="D399">
        <v>72.25</v>
      </c>
      <c r="E399">
        <v>70.03</v>
      </c>
      <c r="F399" t="s">
        <v>392</v>
      </c>
      <c r="G399" s="2">
        <v>1.15E-2</v>
      </c>
      <c r="H399">
        <f t="shared" si="12"/>
        <v>1.1539544047283889E-2</v>
      </c>
      <c r="I399">
        <f t="shared" si="13"/>
        <v>1.1473471322477138E-2</v>
      </c>
    </row>
    <row r="400" spans="1:9" x14ac:dyDescent="0.75">
      <c r="A400" s="1">
        <v>45111</v>
      </c>
      <c r="B400">
        <v>71.06</v>
      </c>
      <c r="C400">
        <v>70.08</v>
      </c>
      <c r="D400">
        <v>71.34</v>
      </c>
      <c r="E400">
        <v>69.91</v>
      </c>
      <c r="G400" s="2">
        <v>1.6400000000000001E-2</v>
      </c>
      <c r="H400">
        <f t="shared" si="12"/>
        <v>1.6449721069947156E-2</v>
      </c>
      <c r="I400">
        <f t="shared" si="13"/>
        <v>1.6315890068987399E-2</v>
      </c>
    </row>
    <row r="401" spans="1:9" x14ac:dyDescent="0.75">
      <c r="A401" s="1">
        <v>45110</v>
      </c>
      <c r="B401">
        <v>69.91</v>
      </c>
      <c r="C401">
        <v>70.61</v>
      </c>
      <c r="D401">
        <v>71.88</v>
      </c>
      <c r="E401">
        <v>69.819999999999993</v>
      </c>
      <c r="F401" t="s">
        <v>393</v>
      </c>
      <c r="G401" s="2">
        <v>-1.23E-2</v>
      </c>
      <c r="H401">
        <f t="shared" si="12"/>
        <v>-1.2291607798813288E-2</v>
      </c>
      <c r="I401">
        <f t="shared" si="13"/>
        <v>-1.2367774393423639E-2</v>
      </c>
    </row>
    <row r="402" spans="1:9" x14ac:dyDescent="0.75">
      <c r="A402" s="1">
        <v>45107</v>
      </c>
      <c r="B402">
        <v>70.78</v>
      </c>
      <c r="C402">
        <v>69.95</v>
      </c>
      <c r="D402">
        <v>71.17</v>
      </c>
      <c r="E402">
        <v>69.69</v>
      </c>
      <c r="F402" t="s">
        <v>394</v>
      </c>
      <c r="G402" s="2">
        <v>1.09E-2</v>
      </c>
      <c r="H402">
        <f t="shared" si="12"/>
        <v>1.0854041702370825E-2</v>
      </c>
      <c r="I402">
        <f t="shared" si="13"/>
        <v>1.0795559390797762E-2</v>
      </c>
    </row>
    <row r="403" spans="1:9" x14ac:dyDescent="0.75">
      <c r="A403" s="1">
        <v>45106</v>
      </c>
      <c r="B403">
        <v>70.02</v>
      </c>
      <c r="C403">
        <v>69.37</v>
      </c>
      <c r="D403">
        <v>70.73</v>
      </c>
      <c r="E403">
        <v>69.11</v>
      </c>
      <c r="F403" t="s">
        <v>395</v>
      </c>
      <c r="G403" s="2">
        <v>4.1999999999999997E-3</v>
      </c>
      <c r="H403">
        <f t="shared" si="12"/>
        <v>4.1588986089200058E-3</v>
      </c>
      <c r="I403">
        <f t="shared" si="13"/>
        <v>4.1502742936001804E-3</v>
      </c>
    </row>
    <row r="404" spans="1:9" x14ac:dyDescent="0.75">
      <c r="A404" s="1">
        <v>45105</v>
      </c>
      <c r="B404">
        <v>69.73</v>
      </c>
      <c r="C404">
        <v>68.2</v>
      </c>
      <c r="D404">
        <v>69.900000000000006</v>
      </c>
      <c r="E404">
        <v>67.27</v>
      </c>
      <c r="F404" t="s">
        <v>396</v>
      </c>
      <c r="G404" s="2">
        <v>2.7E-2</v>
      </c>
      <c r="H404">
        <f t="shared" si="12"/>
        <v>2.6951399116347544E-2</v>
      </c>
      <c r="I404">
        <f t="shared" si="13"/>
        <v>2.6594606668268825E-2</v>
      </c>
    </row>
    <row r="405" spans="1:9" x14ac:dyDescent="0.75">
      <c r="A405" s="1">
        <v>45104</v>
      </c>
      <c r="B405">
        <v>67.900000000000006</v>
      </c>
      <c r="C405">
        <v>69.63</v>
      </c>
      <c r="D405">
        <v>70.290000000000006</v>
      </c>
      <c r="E405">
        <v>67.709999999999994</v>
      </c>
      <c r="F405" t="s">
        <v>397</v>
      </c>
      <c r="G405" s="2">
        <v>-2.3599999999999999E-2</v>
      </c>
      <c r="H405">
        <f t="shared" si="12"/>
        <v>-2.3583549036525746E-2</v>
      </c>
      <c r="I405">
        <f t="shared" si="13"/>
        <v>-2.3866092015064864E-2</v>
      </c>
    </row>
    <row r="406" spans="1:9" x14ac:dyDescent="0.75">
      <c r="A406" s="1">
        <v>45103</v>
      </c>
      <c r="B406">
        <v>69.540000000000006</v>
      </c>
      <c r="C406">
        <v>69.930000000000007</v>
      </c>
      <c r="D406">
        <v>70.239999999999995</v>
      </c>
      <c r="E406">
        <v>68.88</v>
      </c>
      <c r="F406" t="s">
        <v>398</v>
      </c>
      <c r="G406" s="2">
        <v>3.2000000000000002E-3</v>
      </c>
      <c r="H406">
        <f t="shared" si="12"/>
        <v>3.173687247547794E-3</v>
      </c>
      <c r="I406">
        <f t="shared" si="13"/>
        <v>3.1686617323102564E-3</v>
      </c>
    </row>
    <row r="407" spans="1:9" x14ac:dyDescent="0.75">
      <c r="A407" s="1">
        <v>45100</v>
      </c>
      <c r="B407">
        <v>69.319999999999993</v>
      </c>
      <c r="C407">
        <v>69.66</v>
      </c>
      <c r="D407">
        <v>69.77</v>
      </c>
      <c r="E407">
        <v>67.52</v>
      </c>
      <c r="F407" t="s">
        <v>399</v>
      </c>
      <c r="G407" s="2">
        <v>-4.4999999999999997E-3</v>
      </c>
      <c r="H407">
        <f t="shared" si="12"/>
        <v>-4.4521039781703622E-3</v>
      </c>
      <c r="I407">
        <f t="shared" si="13"/>
        <v>-4.4620441070500113E-3</v>
      </c>
    </row>
    <row r="408" spans="1:9" x14ac:dyDescent="0.75">
      <c r="A408" s="1">
        <v>45099</v>
      </c>
      <c r="B408">
        <v>69.63</v>
      </c>
      <c r="C408">
        <v>72.400000000000006</v>
      </c>
      <c r="D408">
        <v>72.62</v>
      </c>
      <c r="E408">
        <v>69.069999999999993</v>
      </c>
      <c r="F408" t="s">
        <v>400</v>
      </c>
      <c r="G408" s="2">
        <v>-3.9899999999999998E-2</v>
      </c>
      <c r="H408">
        <f t="shared" si="12"/>
        <v>-3.9851075565361292E-2</v>
      </c>
      <c r="I408">
        <f t="shared" si="13"/>
        <v>-4.0666876932194937E-2</v>
      </c>
    </row>
    <row r="409" spans="1:9" x14ac:dyDescent="0.75">
      <c r="A409" s="1">
        <v>45098</v>
      </c>
      <c r="B409">
        <v>72.52</v>
      </c>
      <c r="C409">
        <v>70.86</v>
      </c>
      <c r="D409">
        <v>72.69</v>
      </c>
      <c r="E409">
        <v>70.8</v>
      </c>
      <c r="F409" t="s">
        <v>401</v>
      </c>
      <c r="G409" s="2">
        <v>1.8700000000000001E-2</v>
      </c>
      <c r="H409">
        <f t="shared" si="12"/>
        <v>1.8682399213372641E-2</v>
      </c>
      <c r="I409">
        <f t="shared" si="13"/>
        <v>1.851002677086842E-2</v>
      </c>
    </row>
    <row r="410" spans="1:9" x14ac:dyDescent="0.75">
      <c r="A410" s="1">
        <v>45097</v>
      </c>
      <c r="B410">
        <v>71.19</v>
      </c>
      <c r="C410">
        <v>71.69</v>
      </c>
      <c r="D410">
        <v>72.38</v>
      </c>
      <c r="E410">
        <v>69.760000000000005</v>
      </c>
      <c r="F410" t="s">
        <v>402</v>
      </c>
      <c r="G410" s="2">
        <v>-1.6999999999999999E-3</v>
      </c>
      <c r="H410">
        <f t="shared" si="12"/>
        <v>-1.6827934371056591E-3</v>
      </c>
      <c r="I410">
        <f t="shared" si="13"/>
        <v>-1.6842109244304085E-3</v>
      </c>
    </row>
    <row r="411" spans="1:9" x14ac:dyDescent="0.75">
      <c r="A411" s="1">
        <v>45096</v>
      </c>
      <c r="B411">
        <v>71.31</v>
      </c>
      <c r="C411">
        <v>71.47</v>
      </c>
      <c r="D411">
        <v>72.25</v>
      </c>
      <c r="E411">
        <v>70.83</v>
      </c>
      <c r="G411" s="2">
        <v>-2.2000000000000001E-3</v>
      </c>
      <c r="H411">
        <f t="shared" si="12"/>
        <v>-2.2387015530991546E-3</v>
      </c>
      <c r="I411">
        <f t="shared" si="13"/>
        <v>-2.2412111916751748E-3</v>
      </c>
    </row>
    <row r="412" spans="1:9" x14ac:dyDescent="0.75">
      <c r="A412" s="1">
        <v>45095</v>
      </c>
      <c r="B412">
        <v>71.47</v>
      </c>
      <c r="C412">
        <v>71.59</v>
      </c>
      <c r="D412">
        <v>71.67</v>
      </c>
      <c r="E412">
        <v>71.42</v>
      </c>
      <c r="G412" s="2">
        <v>-6.4000000000000003E-3</v>
      </c>
      <c r="H412">
        <f t="shared" si="12"/>
        <v>-6.3951063533992485E-3</v>
      </c>
      <c r="I412">
        <f t="shared" si="13"/>
        <v>-6.4156426473774572E-3</v>
      </c>
    </row>
    <row r="413" spans="1:9" x14ac:dyDescent="0.75">
      <c r="A413" s="1">
        <v>45093</v>
      </c>
      <c r="B413">
        <v>71.930000000000007</v>
      </c>
      <c r="C413">
        <v>70.81</v>
      </c>
      <c r="D413">
        <v>72.03</v>
      </c>
      <c r="E413">
        <v>70.180000000000007</v>
      </c>
      <c r="F413" t="s">
        <v>403</v>
      </c>
      <c r="G413" s="2">
        <v>1.5800000000000002E-2</v>
      </c>
      <c r="H413">
        <f t="shared" si="12"/>
        <v>1.5816975003530638E-2</v>
      </c>
      <c r="I413">
        <f t="shared" si="13"/>
        <v>1.5693190215582322E-2</v>
      </c>
    </row>
    <row r="414" spans="1:9" x14ac:dyDescent="0.75">
      <c r="A414" s="1">
        <v>45092</v>
      </c>
      <c r="B414">
        <v>70.81</v>
      </c>
      <c r="C414">
        <v>68.92</v>
      </c>
      <c r="D414">
        <v>71.150000000000006</v>
      </c>
      <c r="E414">
        <v>68.14</v>
      </c>
      <c r="F414" t="s">
        <v>404</v>
      </c>
      <c r="G414" s="2">
        <v>3.4299999999999997E-2</v>
      </c>
      <c r="H414">
        <f t="shared" si="12"/>
        <v>3.4326614081215436E-2</v>
      </c>
      <c r="I414">
        <f t="shared" si="13"/>
        <v>3.3750600561643508E-2</v>
      </c>
    </row>
    <row r="415" spans="1:9" x14ac:dyDescent="0.75">
      <c r="A415" s="1">
        <v>45091</v>
      </c>
      <c r="B415">
        <v>68.459999999999994</v>
      </c>
      <c r="C415">
        <v>69.510000000000005</v>
      </c>
      <c r="D415">
        <v>70.64</v>
      </c>
      <c r="E415">
        <v>68.260000000000005</v>
      </c>
      <c r="F415" t="s">
        <v>405</v>
      </c>
      <c r="G415" s="2">
        <v>-1.61E-2</v>
      </c>
      <c r="H415">
        <f t="shared" si="12"/>
        <v>-1.6096579476861234E-2</v>
      </c>
      <c r="I415">
        <f t="shared" si="13"/>
        <v>-1.6227536621756807E-2</v>
      </c>
    </row>
    <row r="416" spans="1:9" x14ac:dyDescent="0.75">
      <c r="A416" s="1">
        <v>45090</v>
      </c>
      <c r="B416">
        <v>69.58</v>
      </c>
      <c r="C416">
        <v>67.45</v>
      </c>
      <c r="D416">
        <v>69.97</v>
      </c>
      <c r="E416">
        <v>67.31</v>
      </c>
      <c r="F416" t="s">
        <v>406</v>
      </c>
      <c r="G416" s="2">
        <v>3.4000000000000002E-2</v>
      </c>
      <c r="H416">
        <f t="shared" si="12"/>
        <v>3.4031802645266632E-2</v>
      </c>
      <c r="I416">
        <f t="shared" si="13"/>
        <v>3.3465532523569201E-2</v>
      </c>
    </row>
    <row r="417" spans="1:9" x14ac:dyDescent="0.75">
      <c r="A417" s="1">
        <v>45089</v>
      </c>
      <c r="B417">
        <v>67.290000000000006</v>
      </c>
      <c r="C417">
        <v>70.42</v>
      </c>
      <c r="D417">
        <v>70.489999999999995</v>
      </c>
      <c r="E417">
        <v>66.959999999999994</v>
      </c>
      <c r="F417" t="s">
        <v>407</v>
      </c>
      <c r="G417" s="2">
        <v>-4.3200000000000002E-2</v>
      </c>
      <c r="H417">
        <f t="shared" si="12"/>
        <v>-4.3224797383762149E-2</v>
      </c>
      <c r="I417">
        <f t="shared" si="13"/>
        <v>-4.4186813119700151E-2</v>
      </c>
    </row>
    <row r="418" spans="1:9" x14ac:dyDescent="0.75">
      <c r="A418" s="1">
        <v>45086</v>
      </c>
      <c r="B418">
        <v>70.33</v>
      </c>
      <c r="C418">
        <v>71.11</v>
      </c>
      <c r="D418">
        <v>71.930000000000007</v>
      </c>
      <c r="E418">
        <v>70.260000000000005</v>
      </c>
      <c r="F418" t="s">
        <v>408</v>
      </c>
      <c r="G418" s="2">
        <v>-1.55E-2</v>
      </c>
      <c r="H418">
        <f t="shared" si="12"/>
        <v>-1.5537513997760351E-2</v>
      </c>
      <c r="I418">
        <f t="shared" si="13"/>
        <v>-1.5659486248316735E-2</v>
      </c>
    </row>
    <row r="419" spans="1:9" x14ac:dyDescent="0.75">
      <c r="A419" s="1">
        <v>45085</v>
      </c>
      <c r="B419">
        <v>71.44</v>
      </c>
      <c r="C419">
        <v>72.569999999999993</v>
      </c>
      <c r="D419">
        <v>73.37</v>
      </c>
      <c r="E419">
        <v>69.209999999999994</v>
      </c>
      <c r="F419" t="s">
        <v>409</v>
      </c>
      <c r="G419" s="2">
        <v>-1.6500000000000001E-2</v>
      </c>
      <c r="H419">
        <f t="shared" si="12"/>
        <v>-1.6519823788546294E-2</v>
      </c>
      <c r="I419">
        <f t="shared" si="13"/>
        <v>-1.665779772479432E-2</v>
      </c>
    </row>
    <row r="420" spans="1:9" x14ac:dyDescent="0.75">
      <c r="A420" s="1">
        <v>45084</v>
      </c>
      <c r="B420">
        <v>72.64</v>
      </c>
      <c r="C420">
        <v>71.7</v>
      </c>
      <c r="D420">
        <v>73.290000000000006</v>
      </c>
      <c r="E420">
        <v>71.14</v>
      </c>
      <c r="F420" t="s">
        <v>410</v>
      </c>
      <c r="G420" s="2">
        <v>1.0999999999999999E-2</v>
      </c>
      <c r="H420">
        <f t="shared" si="12"/>
        <v>1.0995128740431542E-2</v>
      </c>
      <c r="I420">
        <f t="shared" si="13"/>
        <v>1.0935121768003981E-2</v>
      </c>
    </row>
    <row r="421" spans="1:9" x14ac:dyDescent="0.75">
      <c r="A421" s="1">
        <v>45083</v>
      </c>
      <c r="B421">
        <v>71.849999999999994</v>
      </c>
      <c r="C421">
        <v>72.09</v>
      </c>
      <c r="D421">
        <v>72.42</v>
      </c>
      <c r="E421">
        <v>70.290000000000006</v>
      </c>
      <c r="F421" t="s">
        <v>411</v>
      </c>
      <c r="G421" s="2">
        <v>-5.7000000000000002E-3</v>
      </c>
      <c r="H421">
        <f t="shared" si="12"/>
        <v>-5.6739551619154546E-3</v>
      </c>
      <c r="I421">
        <f t="shared" si="13"/>
        <v>-5.6901131944604166E-3</v>
      </c>
    </row>
    <row r="422" spans="1:9" x14ac:dyDescent="0.75">
      <c r="A422" s="1">
        <v>45082</v>
      </c>
      <c r="B422">
        <v>72.260000000000005</v>
      </c>
      <c r="C422">
        <v>75.099999999999994</v>
      </c>
      <c r="D422">
        <v>75.7</v>
      </c>
      <c r="E422">
        <v>71.849999999999994</v>
      </c>
      <c r="F422" t="s">
        <v>412</v>
      </c>
      <c r="G422" s="2">
        <v>5.7999999999999996E-3</v>
      </c>
      <c r="H422">
        <f t="shared" si="12"/>
        <v>5.8463251670378856E-3</v>
      </c>
      <c r="I422">
        <f t="shared" si="13"/>
        <v>5.8293017255501203E-3</v>
      </c>
    </row>
    <row r="423" spans="1:9" x14ac:dyDescent="0.75">
      <c r="A423" s="1">
        <v>45079</v>
      </c>
      <c r="B423">
        <v>71.84</v>
      </c>
      <c r="C423">
        <v>70.25</v>
      </c>
      <c r="D423">
        <v>72.239999999999995</v>
      </c>
      <c r="E423">
        <v>70.099999999999994</v>
      </c>
      <c r="F423" t="s">
        <v>413</v>
      </c>
      <c r="G423" s="2">
        <v>2.3400000000000001E-2</v>
      </c>
      <c r="H423">
        <f t="shared" si="12"/>
        <v>2.336182336182337E-2</v>
      </c>
      <c r="I423">
        <f t="shared" si="13"/>
        <v>2.3093112962178718E-2</v>
      </c>
    </row>
    <row r="424" spans="1:9" x14ac:dyDescent="0.75">
      <c r="A424" s="1">
        <v>45078</v>
      </c>
      <c r="B424">
        <v>70.2</v>
      </c>
      <c r="C424">
        <v>67.81</v>
      </c>
      <c r="D424">
        <v>71.14</v>
      </c>
      <c r="E424">
        <v>67.67</v>
      </c>
      <c r="F424" t="s">
        <v>414</v>
      </c>
      <c r="G424" s="2">
        <v>2.87E-2</v>
      </c>
      <c r="H424">
        <f t="shared" si="12"/>
        <v>2.8722157092614421E-2</v>
      </c>
      <c r="I424">
        <f t="shared" si="13"/>
        <v>2.8317407848341841E-2</v>
      </c>
    </row>
    <row r="425" spans="1:9" x14ac:dyDescent="0.75">
      <c r="A425" s="1">
        <v>45077</v>
      </c>
      <c r="B425">
        <v>68.239999999999995</v>
      </c>
      <c r="C425">
        <v>69.67</v>
      </c>
      <c r="D425">
        <v>69.81</v>
      </c>
      <c r="E425">
        <v>67.209999999999994</v>
      </c>
      <c r="F425" t="s">
        <v>415</v>
      </c>
      <c r="G425" s="2">
        <v>-1.95E-2</v>
      </c>
      <c r="H425">
        <f t="shared" si="12"/>
        <v>-1.9540229885057464E-2</v>
      </c>
      <c r="I425">
        <f t="shared" si="13"/>
        <v>-1.9733664156950249E-2</v>
      </c>
    </row>
    <row r="426" spans="1:9" x14ac:dyDescent="0.75">
      <c r="A426" s="1">
        <v>45076</v>
      </c>
      <c r="B426">
        <v>69.599999999999994</v>
      </c>
      <c r="C426">
        <v>73.22</v>
      </c>
      <c r="D426">
        <v>73.62</v>
      </c>
      <c r="E426">
        <v>69.16</v>
      </c>
      <c r="F426" t="s">
        <v>416</v>
      </c>
      <c r="G426" s="2">
        <v>-4.4900000000000002E-2</v>
      </c>
      <c r="H426">
        <f t="shared" si="12"/>
        <v>-4.4874433923425418E-2</v>
      </c>
      <c r="I426">
        <f t="shared" si="13"/>
        <v>-4.5912464341816971E-2</v>
      </c>
    </row>
    <row r="427" spans="1:9" x14ac:dyDescent="0.75">
      <c r="A427" s="1">
        <v>45075</v>
      </c>
      <c r="B427">
        <v>72.87</v>
      </c>
      <c r="C427">
        <v>73.22</v>
      </c>
      <c r="D427">
        <v>73.55</v>
      </c>
      <c r="E427">
        <v>72.05</v>
      </c>
      <c r="G427" s="2">
        <v>-4.7999999999999996E-3</v>
      </c>
      <c r="H427">
        <f t="shared" si="12"/>
        <v>-4.7801147227532689E-3</v>
      </c>
      <c r="I427">
        <f t="shared" si="13"/>
        <v>-4.7915760098992842E-3</v>
      </c>
    </row>
    <row r="428" spans="1:9" x14ac:dyDescent="0.75">
      <c r="A428" s="1">
        <v>45074</v>
      </c>
      <c r="B428">
        <v>73.22</v>
      </c>
      <c r="C428">
        <v>73.11</v>
      </c>
      <c r="D428">
        <v>73.45</v>
      </c>
      <c r="E428">
        <v>73.06</v>
      </c>
      <c r="G428" s="2">
        <v>6.3E-3</v>
      </c>
      <c r="H428">
        <f t="shared" si="12"/>
        <v>6.3221550302363068E-3</v>
      </c>
      <c r="I428">
        <f t="shared" si="13"/>
        <v>6.3022540421686143E-3</v>
      </c>
    </row>
    <row r="429" spans="1:9" x14ac:dyDescent="0.75">
      <c r="A429" s="1">
        <v>45072</v>
      </c>
      <c r="B429">
        <v>72.760000000000005</v>
      </c>
      <c r="C429">
        <v>71.989999999999995</v>
      </c>
      <c r="D429">
        <v>73.12</v>
      </c>
      <c r="E429">
        <v>71.59</v>
      </c>
      <c r="F429" t="s">
        <v>417</v>
      </c>
      <c r="G429" s="2">
        <v>1.15E-2</v>
      </c>
      <c r="H429">
        <f t="shared" si="12"/>
        <v>1.1538996246350594E-2</v>
      </c>
      <c r="I429">
        <f t="shared" si="13"/>
        <v>1.1472929770656611E-2</v>
      </c>
    </row>
    <row r="430" spans="1:9" x14ac:dyDescent="0.75">
      <c r="A430" s="1">
        <v>45071</v>
      </c>
      <c r="B430">
        <v>71.930000000000007</v>
      </c>
      <c r="C430">
        <v>74.180000000000007</v>
      </c>
      <c r="D430">
        <v>74.34</v>
      </c>
      <c r="E430">
        <v>71.03</v>
      </c>
      <c r="F430" t="s">
        <v>418</v>
      </c>
      <c r="G430" s="2">
        <v>-3.1800000000000002E-2</v>
      </c>
      <c r="H430">
        <f t="shared" si="12"/>
        <v>-3.1767398034728757E-2</v>
      </c>
      <c r="I430">
        <f t="shared" si="13"/>
        <v>-3.2282929284449965E-2</v>
      </c>
    </row>
    <row r="431" spans="1:9" x14ac:dyDescent="0.75">
      <c r="A431" s="1">
        <v>45070</v>
      </c>
      <c r="B431">
        <v>74.290000000000006</v>
      </c>
      <c r="C431">
        <v>73.680000000000007</v>
      </c>
      <c r="D431">
        <v>74.650000000000006</v>
      </c>
      <c r="E431">
        <v>73.09</v>
      </c>
      <c r="F431" t="s">
        <v>419</v>
      </c>
      <c r="G431" s="2">
        <v>1.9800000000000002E-2</v>
      </c>
      <c r="H431">
        <f t="shared" si="12"/>
        <v>1.9766643788606892E-2</v>
      </c>
      <c r="I431">
        <f t="shared" si="13"/>
        <v>1.9573820522501114E-2</v>
      </c>
    </row>
    <row r="432" spans="1:9" x14ac:dyDescent="0.75">
      <c r="A432" s="1">
        <v>45069</v>
      </c>
      <c r="B432">
        <v>72.849999999999994</v>
      </c>
      <c r="C432">
        <v>72</v>
      </c>
      <c r="D432">
        <v>73.72</v>
      </c>
      <c r="E432">
        <v>71.63</v>
      </c>
      <c r="F432" t="s">
        <v>420</v>
      </c>
      <c r="G432" s="2">
        <v>1.11E-2</v>
      </c>
      <c r="H432">
        <f t="shared" si="12"/>
        <v>1.1103400416377477E-2</v>
      </c>
      <c r="I432">
        <f t="shared" si="13"/>
        <v>1.1042210195682703E-2</v>
      </c>
    </row>
    <row r="433" spans="1:9" x14ac:dyDescent="0.75">
      <c r="A433" s="1">
        <v>45068</v>
      </c>
      <c r="B433">
        <v>72.05</v>
      </c>
      <c r="C433">
        <v>71.87</v>
      </c>
      <c r="D433">
        <v>72.53</v>
      </c>
      <c r="E433">
        <v>70.67</v>
      </c>
      <c r="F433" t="s">
        <v>421</v>
      </c>
      <c r="G433" s="2">
        <v>5.0000000000000001E-3</v>
      </c>
      <c r="H433">
        <f t="shared" si="12"/>
        <v>5.0216208676244862E-3</v>
      </c>
      <c r="I433">
        <f t="shared" si="13"/>
        <v>5.0090545807503226E-3</v>
      </c>
    </row>
    <row r="434" spans="1:9" x14ac:dyDescent="0.75">
      <c r="A434" s="1">
        <v>45065</v>
      </c>
      <c r="B434">
        <v>71.69</v>
      </c>
      <c r="C434">
        <v>72.06</v>
      </c>
      <c r="D434">
        <v>73.58</v>
      </c>
      <c r="E434">
        <v>71.180000000000007</v>
      </c>
      <c r="F434" t="s">
        <v>422</v>
      </c>
      <c r="G434" s="2">
        <v>-3.5000000000000001E-3</v>
      </c>
      <c r="H434">
        <f t="shared" si="12"/>
        <v>-3.4751181540172366E-3</v>
      </c>
      <c r="I434">
        <f t="shared" si="13"/>
        <v>-3.4811704026970185E-3</v>
      </c>
    </row>
    <row r="435" spans="1:9" x14ac:dyDescent="0.75">
      <c r="A435" s="1">
        <v>45064</v>
      </c>
      <c r="B435">
        <v>71.94</v>
      </c>
      <c r="C435">
        <v>72.819999999999993</v>
      </c>
      <c r="D435">
        <v>72.97</v>
      </c>
      <c r="E435">
        <v>71.52</v>
      </c>
      <c r="F435" t="s">
        <v>423</v>
      </c>
      <c r="G435" s="2">
        <v>-1.2999999999999999E-2</v>
      </c>
      <c r="H435">
        <f t="shared" si="12"/>
        <v>-1.3033337906434392E-2</v>
      </c>
      <c r="I435">
        <f t="shared" si="13"/>
        <v>-1.3119017126643703E-2</v>
      </c>
    </row>
    <row r="436" spans="1:9" x14ac:dyDescent="0.75">
      <c r="A436" s="1">
        <v>45063</v>
      </c>
      <c r="B436">
        <v>72.89</v>
      </c>
      <c r="C436">
        <v>70.599999999999994</v>
      </c>
      <c r="D436">
        <v>73.3</v>
      </c>
      <c r="E436">
        <v>70.05</v>
      </c>
      <c r="F436" t="s">
        <v>424</v>
      </c>
      <c r="G436" s="2">
        <v>2.8899999999999999E-2</v>
      </c>
      <c r="H436">
        <f t="shared" si="12"/>
        <v>2.8938452851496287E-2</v>
      </c>
      <c r="I436">
        <f t="shared" si="13"/>
        <v>2.8527642479488677E-2</v>
      </c>
    </row>
    <row r="437" spans="1:9" x14ac:dyDescent="0.75">
      <c r="A437" s="1">
        <v>45062</v>
      </c>
      <c r="B437">
        <v>70.84</v>
      </c>
      <c r="C437">
        <v>71.28</v>
      </c>
      <c r="D437">
        <v>71.760000000000005</v>
      </c>
      <c r="E437">
        <v>70.44</v>
      </c>
      <c r="F437" t="s">
        <v>425</v>
      </c>
      <c r="G437" s="2">
        <v>-3.5000000000000001E-3</v>
      </c>
      <c r="H437">
        <f t="shared" si="12"/>
        <v>-3.5166690111126738E-3</v>
      </c>
      <c r="I437">
        <f t="shared" si="13"/>
        <v>-3.5228670267589625E-3</v>
      </c>
    </row>
    <row r="438" spans="1:9" x14ac:dyDescent="0.75">
      <c r="A438" s="1">
        <v>45061</v>
      </c>
      <c r="B438">
        <v>71.09</v>
      </c>
      <c r="C438">
        <v>70.02</v>
      </c>
      <c r="D438">
        <v>71.67</v>
      </c>
      <c r="E438">
        <v>69.39</v>
      </c>
      <c r="F438" t="s">
        <v>426</v>
      </c>
      <c r="G438" s="2">
        <v>1.5299999999999999E-2</v>
      </c>
      <c r="H438">
        <f t="shared" si="12"/>
        <v>1.5281348186232611E-2</v>
      </c>
      <c r="I438">
        <f t="shared" si="13"/>
        <v>1.5165764414872223E-2</v>
      </c>
    </row>
    <row r="439" spans="1:9" x14ac:dyDescent="0.75">
      <c r="A439" s="1">
        <v>45058</v>
      </c>
      <c r="B439">
        <v>70.02</v>
      </c>
      <c r="C439">
        <v>71.47</v>
      </c>
      <c r="D439">
        <v>71.739999999999995</v>
      </c>
      <c r="E439">
        <v>69.930000000000007</v>
      </c>
      <c r="F439" t="s">
        <v>427</v>
      </c>
      <c r="G439" s="2">
        <v>-1.21E-2</v>
      </c>
      <c r="H439">
        <f t="shared" si="12"/>
        <v>-1.2133182844243785E-2</v>
      </c>
      <c r="I439">
        <f t="shared" si="13"/>
        <v>-1.2207390770305904E-2</v>
      </c>
    </row>
    <row r="440" spans="1:9" x14ac:dyDescent="0.75">
      <c r="A440" s="1">
        <v>45057</v>
      </c>
      <c r="B440">
        <v>70.88</v>
      </c>
      <c r="C440">
        <v>72.540000000000006</v>
      </c>
      <c r="D440">
        <v>73.47</v>
      </c>
      <c r="E440">
        <v>70.650000000000006</v>
      </c>
      <c r="F440" t="s">
        <v>428</v>
      </c>
      <c r="G440" s="2">
        <v>-2.2599999999999999E-2</v>
      </c>
      <c r="H440">
        <f t="shared" si="12"/>
        <v>-2.2614451185879767E-2</v>
      </c>
      <c r="I440">
        <f t="shared" si="13"/>
        <v>-2.2874079589824833E-2</v>
      </c>
    </row>
    <row r="441" spans="1:9" x14ac:dyDescent="0.75">
      <c r="A441" s="1">
        <v>45056</v>
      </c>
      <c r="B441">
        <v>72.52</v>
      </c>
      <c r="C441">
        <v>73.48</v>
      </c>
      <c r="D441">
        <v>73.81</v>
      </c>
      <c r="E441">
        <v>71.78</v>
      </c>
      <c r="F441" t="s">
        <v>429</v>
      </c>
      <c r="G441" s="2">
        <v>-1.49E-2</v>
      </c>
      <c r="H441">
        <f t="shared" si="12"/>
        <v>-1.4941591958706988E-2</v>
      </c>
      <c r="I441">
        <f t="shared" si="13"/>
        <v>-1.5054342064224928E-2</v>
      </c>
    </row>
    <row r="442" spans="1:9" x14ac:dyDescent="0.75">
      <c r="A442" s="1">
        <v>45055</v>
      </c>
      <c r="B442">
        <v>73.62</v>
      </c>
      <c r="C442">
        <v>72.72</v>
      </c>
      <c r="D442">
        <v>73.69</v>
      </c>
      <c r="E442">
        <v>71.28</v>
      </c>
      <c r="F442" t="s">
        <v>430</v>
      </c>
      <c r="G442" s="2">
        <v>7.4999999999999997E-3</v>
      </c>
      <c r="H442">
        <f t="shared" si="12"/>
        <v>7.5270288764200275E-3</v>
      </c>
      <c r="I442">
        <f t="shared" si="13"/>
        <v>7.4988421477487311E-3</v>
      </c>
    </row>
    <row r="443" spans="1:9" x14ac:dyDescent="0.75">
      <c r="A443" s="1">
        <v>45054</v>
      </c>
      <c r="B443">
        <v>73.069999999999993</v>
      </c>
      <c r="C443">
        <v>71.27</v>
      </c>
      <c r="D443">
        <v>73.56</v>
      </c>
      <c r="E443">
        <v>70.959999999999994</v>
      </c>
      <c r="F443" t="s">
        <v>431</v>
      </c>
      <c r="G443" s="2">
        <v>2.53E-2</v>
      </c>
      <c r="H443">
        <f t="shared" si="12"/>
        <v>2.5256068472007818E-2</v>
      </c>
      <c r="I443">
        <f t="shared" si="13"/>
        <v>2.494240428934703E-2</v>
      </c>
    </row>
    <row r="444" spans="1:9" x14ac:dyDescent="0.75">
      <c r="A444" s="1">
        <v>45051</v>
      </c>
      <c r="B444">
        <v>71.27</v>
      </c>
      <c r="C444">
        <v>68.63</v>
      </c>
      <c r="D444">
        <v>71.72</v>
      </c>
      <c r="E444">
        <v>68.459999999999994</v>
      </c>
      <c r="F444" t="s">
        <v>432</v>
      </c>
      <c r="G444" s="2">
        <v>4.0300000000000002E-2</v>
      </c>
      <c r="H444">
        <f t="shared" si="12"/>
        <v>4.0286089621952861E-2</v>
      </c>
      <c r="I444">
        <f t="shared" si="13"/>
        <v>3.9495761498971459E-2</v>
      </c>
    </row>
    <row r="445" spans="1:9" x14ac:dyDescent="0.75">
      <c r="A445" s="1">
        <v>45050</v>
      </c>
      <c r="B445">
        <v>68.510000000000005</v>
      </c>
      <c r="C445">
        <v>68.27</v>
      </c>
      <c r="D445">
        <v>69.760000000000005</v>
      </c>
      <c r="E445">
        <v>63.9</v>
      </c>
      <c r="F445" t="s">
        <v>433</v>
      </c>
      <c r="G445" s="2">
        <v>-5.9999999999999995E-4</v>
      </c>
      <c r="H445">
        <f t="shared" si="12"/>
        <v>-5.835156819838373E-4</v>
      </c>
      <c r="I445">
        <f t="shared" si="13"/>
        <v>-5.8368599351564228E-4</v>
      </c>
    </row>
    <row r="446" spans="1:9" x14ac:dyDescent="0.75">
      <c r="A446" s="1">
        <v>45049</v>
      </c>
      <c r="B446">
        <v>68.55</v>
      </c>
      <c r="C446">
        <v>71.430000000000007</v>
      </c>
      <c r="D446">
        <v>71.67</v>
      </c>
      <c r="E446">
        <v>67.900000000000006</v>
      </c>
      <c r="F446" t="s">
        <v>434</v>
      </c>
      <c r="G446" s="2">
        <v>-4.19E-2</v>
      </c>
      <c r="H446">
        <f t="shared" si="12"/>
        <v>-4.1928721174004195E-2</v>
      </c>
      <c r="I446">
        <f t="shared" si="13"/>
        <v>-4.2833099994136467E-2</v>
      </c>
    </row>
    <row r="447" spans="1:9" x14ac:dyDescent="0.75">
      <c r="A447" s="1">
        <v>45048</v>
      </c>
      <c r="B447">
        <v>71.55</v>
      </c>
      <c r="C447">
        <v>75.55</v>
      </c>
      <c r="D447">
        <v>75.959999999999994</v>
      </c>
      <c r="E447">
        <v>71.319999999999993</v>
      </c>
      <c r="F447" t="s">
        <v>435</v>
      </c>
      <c r="G447" s="2">
        <v>-5.2400000000000002E-2</v>
      </c>
      <c r="H447">
        <f t="shared" si="12"/>
        <v>-5.2443384982121678E-2</v>
      </c>
      <c r="I447">
        <f t="shared" si="13"/>
        <v>-5.3868591812874352E-2</v>
      </c>
    </row>
    <row r="448" spans="1:9" x14ac:dyDescent="0.75">
      <c r="A448" s="1">
        <v>45047</v>
      </c>
      <c r="B448">
        <v>75.510000000000005</v>
      </c>
      <c r="C448">
        <v>76.47</v>
      </c>
      <c r="D448">
        <v>76.489999999999995</v>
      </c>
      <c r="E448">
        <v>74.400000000000006</v>
      </c>
      <c r="F448" t="s">
        <v>436</v>
      </c>
      <c r="G448" s="2">
        <v>-1.44E-2</v>
      </c>
      <c r="H448">
        <f t="shared" si="12"/>
        <v>-1.4358438846103569E-2</v>
      </c>
      <c r="I448">
        <f t="shared" si="13"/>
        <v>-1.4462518713395267E-2</v>
      </c>
    </row>
    <row r="449" spans="1:9" x14ac:dyDescent="0.75">
      <c r="A449" s="1">
        <v>45044</v>
      </c>
      <c r="B449">
        <v>76.61</v>
      </c>
      <c r="C449">
        <v>74.709999999999994</v>
      </c>
      <c r="D449">
        <v>76.739999999999995</v>
      </c>
      <c r="E449">
        <v>73.8</v>
      </c>
      <c r="F449" t="s">
        <v>437</v>
      </c>
      <c r="G449" s="2">
        <v>2.7199999999999998E-2</v>
      </c>
      <c r="H449">
        <f t="shared" si="12"/>
        <v>2.7219093590775022E-2</v>
      </c>
      <c r="I449">
        <f t="shared" si="13"/>
        <v>2.6855241778054813E-2</v>
      </c>
    </row>
    <row r="450" spans="1:9" x14ac:dyDescent="0.75">
      <c r="A450" s="1">
        <v>45043</v>
      </c>
      <c r="B450">
        <v>74.58</v>
      </c>
      <c r="C450">
        <v>74.3</v>
      </c>
      <c r="D450">
        <v>75.12</v>
      </c>
      <c r="E450">
        <v>73.88</v>
      </c>
      <c r="F450" t="s">
        <v>438</v>
      </c>
      <c r="G450" s="2">
        <v>5.3E-3</v>
      </c>
      <c r="H450">
        <f t="shared" si="12"/>
        <v>5.2567731500202265E-3</v>
      </c>
      <c r="I450">
        <f t="shared" si="13"/>
        <v>5.2430045492401541E-3</v>
      </c>
    </row>
    <row r="451" spans="1:9" x14ac:dyDescent="0.75">
      <c r="A451" s="1">
        <v>45042</v>
      </c>
      <c r="B451">
        <v>74.19</v>
      </c>
      <c r="C451">
        <v>76.930000000000007</v>
      </c>
      <c r="D451">
        <v>77.7</v>
      </c>
      <c r="E451">
        <v>73.94</v>
      </c>
      <c r="F451" t="s">
        <v>439</v>
      </c>
      <c r="G451" s="2">
        <v>-3.49E-2</v>
      </c>
      <c r="H451">
        <f t="shared" ref="H451:H514" si="14">(B451-B452)/B452</f>
        <v>-3.4864056198777242E-2</v>
      </c>
      <c r="I451">
        <f t="shared" ref="I451:I514" si="15">LN(B451/B452)</f>
        <v>-3.5486313159606125E-2</v>
      </c>
    </row>
    <row r="452" spans="1:9" x14ac:dyDescent="0.75">
      <c r="A452" s="1">
        <v>45041</v>
      </c>
      <c r="B452">
        <v>76.87</v>
      </c>
      <c r="C452">
        <v>78.55</v>
      </c>
      <c r="D452">
        <v>78.900000000000006</v>
      </c>
      <c r="E452">
        <v>76.33</v>
      </c>
      <c r="F452" t="s">
        <v>440</v>
      </c>
      <c r="G452" s="2">
        <v>-2.1999999999999999E-2</v>
      </c>
      <c r="H452">
        <f t="shared" si="14"/>
        <v>-2.2010178117048217E-2</v>
      </c>
      <c r="I452">
        <f t="shared" si="15"/>
        <v>-2.2256016074120092E-2</v>
      </c>
    </row>
    <row r="453" spans="1:9" x14ac:dyDescent="0.75">
      <c r="A453" s="1">
        <v>45040</v>
      </c>
      <c r="B453">
        <v>78.599999999999994</v>
      </c>
      <c r="C453">
        <v>77.819999999999993</v>
      </c>
      <c r="D453">
        <v>79</v>
      </c>
      <c r="E453">
        <v>76.569999999999993</v>
      </c>
      <c r="F453" t="s">
        <v>441</v>
      </c>
      <c r="G453" s="2">
        <v>1.15E-2</v>
      </c>
      <c r="H453">
        <f t="shared" si="14"/>
        <v>1.1452837472654751E-2</v>
      </c>
      <c r="I453">
        <f t="shared" si="15"/>
        <v>1.1387750214010079E-2</v>
      </c>
    </row>
    <row r="454" spans="1:9" x14ac:dyDescent="0.75">
      <c r="A454" s="1">
        <v>45037</v>
      </c>
      <c r="B454">
        <v>77.709999999999994</v>
      </c>
      <c r="C454">
        <v>76.849999999999994</v>
      </c>
      <c r="D454">
        <v>78.14</v>
      </c>
      <c r="E454">
        <v>76.489999999999995</v>
      </c>
      <c r="F454" t="s">
        <v>442</v>
      </c>
      <c r="G454" s="2">
        <v>4.4000000000000003E-3</v>
      </c>
      <c r="H454">
        <f t="shared" si="14"/>
        <v>4.3944681401058448E-3</v>
      </c>
      <c r="I454">
        <f t="shared" si="15"/>
        <v>4.3848406597875537E-3</v>
      </c>
    </row>
    <row r="455" spans="1:9" x14ac:dyDescent="0.75">
      <c r="A455" s="1">
        <v>45036</v>
      </c>
      <c r="B455">
        <v>77.37</v>
      </c>
      <c r="C455">
        <v>79.03</v>
      </c>
      <c r="D455">
        <v>79.069999999999993</v>
      </c>
      <c r="E455">
        <v>76.97</v>
      </c>
      <c r="F455" t="s">
        <v>443</v>
      </c>
      <c r="G455" s="2">
        <v>-2.3599999999999999E-2</v>
      </c>
      <c r="H455">
        <f t="shared" si="14"/>
        <v>-2.3599192327107402E-2</v>
      </c>
      <c r="I455">
        <f t="shared" si="15"/>
        <v>-2.3882113268986944E-2</v>
      </c>
    </row>
    <row r="456" spans="1:9" x14ac:dyDescent="0.75">
      <c r="A456" s="1">
        <v>45035</v>
      </c>
      <c r="B456">
        <v>79.239999999999995</v>
      </c>
      <c r="C456">
        <v>80.959999999999994</v>
      </c>
      <c r="D456">
        <v>81.239999999999995</v>
      </c>
      <c r="E456">
        <v>78.53</v>
      </c>
      <c r="F456" t="s">
        <v>444</v>
      </c>
      <c r="G456" s="2">
        <v>-2.0500000000000001E-2</v>
      </c>
      <c r="H456">
        <f t="shared" si="14"/>
        <v>-2.0519159456118798E-2</v>
      </c>
      <c r="I456">
        <f t="shared" si="15"/>
        <v>-2.0732602234095981E-2</v>
      </c>
    </row>
    <row r="457" spans="1:9" x14ac:dyDescent="0.75">
      <c r="A457" s="1">
        <v>45034</v>
      </c>
      <c r="B457">
        <v>80.900000000000006</v>
      </c>
      <c r="C457">
        <v>81</v>
      </c>
      <c r="D457">
        <v>81.52</v>
      </c>
      <c r="E457">
        <v>79.91</v>
      </c>
      <c r="F457" t="s">
        <v>445</v>
      </c>
      <c r="G457" s="2">
        <v>8.9999999999999998E-4</v>
      </c>
      <c r="H457">
        <f t="shared" si="14"/>
        <v>8.6601509340600508E-4</v>
      </c>
      <c r="I457">
        <f t="shared" si="15"/>
        <v>8.6564031869320766E-4</v>
      </c>
    </row>
    <row r="458" spans="1:9" x14ac:dyDescent="0.75">
      <c r="A458" s="1">
        <v>45033</v>
      </c>
      <c r="B458">
        <v>80.83</v>
      </c>
      <c r="C458">
        <v>82.42</v>
      </c>
      <c r="D458">
        <v>82.62</v>
      </c>
      <c r="E458">
        <v>80.459999999999994</v>
      </c>
      <c r="F458" t="s">
        <v>446</v>
      </c>
      <c r="G458" s="2">
        <v>-1.9400000000000001E-2</v>
      </c>
      <c r="H458">
        <f t="shared" si="14"/>
        <v>-1.9410408831736121E-2</v>
      </c>
      <c r="I458">
        <f t="shared" si="15"/>
        <v>-1.9601264579383305E-2</v>
      </c>
    </row>
    <row r="459" spans="1:9" x14ac:dyDescent="0.75">
      <c r="A459" s="1">
        <v>45030</v>
      </c>
      <c r="B459">
        <v>82.43</v>
      </c>
      <c r="C459">
        <v>82.3</v>
      </c>
      <c r="D459">
        <v>82.99</v>
      </c>
      <c r="E459">
        <v>81.64</v>
      </c>
      <c r="F459" t="s">
        <v>447</v>
      </c>
      <c r="G459" s="2">
        <v>4.7999999999999996E-3</v>
      </c>
      <c r="H459">
        <f t="shared" si="14"/>
        <v>4.7537786445636344E-3</v>
      </c>
      <c r="I459">
        <f t="shared" si="15"/>
        <v>4.7425151209563822E-3</v>
      </c>
    </row>
    <row r="460" spans="1:9" x14ac:dyDescent="0.75">
      <c r="A460" s="1">
        <v>45029</v>
      </c>
      <c r="B460">
        <v>82.04</v>
      </c>
      <c r="C460">
        <v>83.07</v>
      </c>
      <c r="D460">
        <v>83.27</v>
      </c>
      <c r="E460">
        <v>82</v>
      </c>
      <c r="F460" t="s">
        <v>448</v>
      </c>
      <c r="G460" s="2">
        <v>-1.26E-2</v>
      </c>
      <c r="H460">
        <f t="shared" si="14"/>
        <v>-1.2636899747261971E-2</v>
      </c>
      <c r="I460">
        <f t="shared" si="15"/>
        <v>-1.2717424472710117E-2</v>
      </c>
    </row>
    <row r="461" spans="1:9" x14ac:dyDescent="0.75">
      <c r="A461" s="1">
        <v>45028</v>
      </c>
      <c r="B461">
        <v>83.09</v>
      </c>
      <c r="C461">
        <v>81.38</v>
      </c>
      <c r="D461">
        <v>83.38</v>
      </c>
      <c r="E461">
        <v>81.209999999999994</v>
      </c>
      <c r="F461" t="s">
        <v>449</v>
      </c>
      <c r="G461" s="2">
        <v>1.9599999999999999E-2</v>
      </c>
      <c r="H461">
        <f t="shared" si="14"/>
        <v>1.963431095839991E-2</v>
      </c>
      <c r="I461">
        <f t="shared" si="15"/>
        <v>1.9444044344761591E-2</v>
      </c>
    </row>
    <row r="462" spans="1:9" x14ac:dyDescent="0.75">
      <c r="A462" s="1">
        <v>45027</v>
      </c>
      <c r="B462">
        <v>81.489999999999995</v>
      </c>
      <c r="C462">
        <v>79.87</v>
      </c>
      <c r="D462">
        <v>81.55</v>
      </c>
      <c r="E462">
        <v>79.400000000000006</v>
      </c>
      <c r="F462" t="s">
        <v>450</v>
      </c>
      <c r="G462" s="2">
        <v>2.1600000000000001E-2</v>
      </c>
      <c r="H462">
        <f t="shared" si="14"/>
        <v>2.1561990723329559E-2</v>
      </c>
      <c r="I462">
        <f t="shared" si="15"/>
        <v>2.1332819409090254E-2</v>
      </c>
    </row>
    <row r="463" spans="1:9" x14ac:dyDescent="0.75">
      <c r="A463" s="1">
        <v>45026</v>
      </c>
      <c r="B463">
        <v>79.77</v>
      </c>
      <c r="C463">
        <v>80.5</v>
      </c>
      <c r="D463">
        <v>81.19</v>
      </c>
      <c r="E463">
        <v>79.650000000000006</v>
      </c>
      <c r="F463" t="s">
        <v>451</v>
      </c>
      <c r="G463" s="2">
        <v>-1.1299999999999999E-2</v>
      </c>
      <c r="H463">
        <f t="shared" si="14"/>
        <v>-1.1279127416956008E-2</v>
      </c>
      <c r="I463">
        <f t="shared" si="15"/>
        <v>-1.1343219162973039E-2</v>
      </c>
    </row>
    <row r="464" spans="1:9" x14ac:dyDescent="0.75">
      <c r="A464" s="1">
        <v>45022</v>
      </c>
      <c r="B464">
        <v>80.680000000000007</v>
      </c>
      <c r="C464">
        <v>80.45</v>
      </c>
      <c r="D464">
        <v>80.97</v>
      </c>
      <c r="E464">
        <v>79.69</v>
      </c>
      <c r="F464" t="s">
        <v>452</v>
      </c>
      <c r="G464" s="2">
        <v>5.9999999999999995E-4</v>
      </c>
      <c r="H464">
        <f t="shared" si="14"/>
        <v>6.2011658191754148E-4</v>
      </c>
      <c r="I464">
        <f t="shared" si="15"/>
        <v>6.1992438908047237E-4</v>
      </c>
    </row>
    <row r="465" spans="1:9" x14ac:dyDescent="0.75">
      <c r="A465" s="1">
        <v>45021</v>
      </c>
      <c r="B465">
        <v>80.63</v>
      </c>
      <c r="C465">
        <v>81.010000000000005</v>
      </c>
      <c r="D465">
        <v>81.25</v>
      </c>
      <c r="E465">
        <v>79.75</v>
      </c>
      <c r="F465" t="s">
        <v>453</v>
      </c>
      <c r="G465" s="2">
        <v>-1.1000000000000001E-3</v>
      </c>
      <c r="H465">
        <f t="shared" si="14"/>
        <v>-1.1149653121903297E-3</v>
      </c>
      <c r="I465">
        <f t="shared" si="15"/>
        <v>-1.1155873484229135E-3</v>
      </c>
    </row>
    <row r="466" spans="1:9" x14ac:dyDescent="0.75">
      <c r="A466" s="1">
        <v>45020</v>
      </c>
      <c r="B466">
        <v>80.72</v>
      </c>
      <c r="C466">
        <v>80.489999999999995</v>
      </c>
      <c r="D466">
        <v>81.81</v>
      </c>
      <c r="E466">
        <v>79.64</v>
      </c>
      <c r="F466" t="s">
        <v>454</v>
      </c>
      <c r="G466" s="2">
        <v>3.5000000000000001E-3</v>
      </c>
      <c r="H466">
        <f t="shared" si="14"/>
        <v>3.4808552958727145E-3</v>
      </c>
      <c r="I466">
        <f t="shared" si="15"/>
        <v>3.4748111409022391E-3</v>
      </c>
    </row>
    <row r="467" spans="1:9" x14ac:dyDescent="0.75">
      <c r="A467" s="1">
        <v>45019</v>
      </c>
      <c r="B467">
        <v>80.44</v>
      </c>
      <c r="C467">
        <v>80.599999999999994</v>
      </c>
      <c r="D467">
        <v>81.77</v>
      </c>
      <c r="E467">
        <v>79.040000000000006</v>
      </c>
      <c r="F467" t="s">
        <v>455</v>
      </c>
      <c r="G467" s="2">
        <v>6.1199999999999997E-2</v>
      </c>
      <c r="H467">
        <f t="shared" si="14"/>
        <v>6.12137203166227E-2</v>
      </c>
      <c r="I467">
        <f t="shared" si="15"/>
        <v>5.9413272256125388E-2</v>
      </c>
    </row>
    <row r="468" spans="1:9" x14ac:dyDescent="0.75">
      <c r="A468" s="1">
        <v>45016</v>
      </c>
      <c r="B468">
        <v>75.8</v>
      </c>
      <c r="C468">
        <v>74.44</v>
      </c>
      <c r="D468">
        <v>75.83</v>
      </c>
      <c r="E468">
        <v>73.89</v>
      </c>
      <c r="F468" t="s">
        <v>456</v>
      </c>
      <c r="G468" s="2">
        <v>1.7600000000000001E-2</v>
      </c>
      <c r="H468">
        <f t="shared" si="14"/>
        <v>1.7586253188347462E-2</v>
      </c>
      <c r="I468">
        <f t="shared" si="15"/>
        <v>1.7433404460141112E-2</v>
      </c>
    </row>
    <row r="469" spans="1:9" x14ac:dyDescent="0.75">
      <c r="A469" s="1">
        <v>45015</v>
      </c>
      <c r="B469">
        <v>74.489999999999995</v>
      </c>
      <c r="C469">
        <v>73.069999999999993</v>
      </c>
      <c r="D469">
        <v>74.72</v>
      </c>
      <c r="E469">
        <v>72.760000000000005</v>
      </c>
      <c r="F469" t="s">
        <v>457</v>
      </c>
      <c r="G469" s="2">
        <v>1.8700000000000001E-2</v>
      </c>
      <c r="H469">
        <f t="shared" si="14"/>
        <v>1.8736323851203367E-2</v>
      </c>
      <c r="I469">
        <f t="shared" si="15"/>
        <v>1.8562961042290139E-2</v>
      </c>
    </row>
    <row r="470" spans="1:9" x14ac:dyDescent="0.75">
      <c r="A470" s="1">
        <v>45014</v>
      </c>
      <c r="B470">
        <v>73.12</v>
      </c>
      <c r="C470">
        <v>73.739999999999995</v>
      </c>
      <c r="D470">
        <v>74.48</v>
      </c>
      <c r="E470">
        <v>72.92</v>
      </c>
      <c r="F470" t="s">
        <v>458</v>
      </c>
      <c r="G470" s="2">
        <v>-3.0000000000000001E-3</v>
      </c>
      <c r="H470">
        <f t="shared" si="14"/>
        <v>-2.9997272975183916E-3</v>
      </c>
      <c r="I470">
        <f t="shared" si="15"/>
        <v>-3.0042354972853835E-3</v>
      </c>
    </row>
    <row r="471" spans="1:9" x14ac:dyDescent="0.75">
      <c r="A471" s="1">
        <v>45013</v>
      </c>
      <c r="B471">
        <v>73.34</v>
      </c>
      <c r="C471">
        <v>72.930000000000007</v>
      </c>
      <c r="D471">
        <v>74.040000000000006</v>
      </c>
      <c r="E471">
        <v>72.33</v>
      </c>
      <c r="F471" t="s">
        <v>459</v>
      </c>
      <c r="G471" s="2">
        <v>5.5999999999999999E-3</v>
      </c>
      <c r="H471">
        <f t="shared" si="14"/>
        <v>5.6218291512408688E-3</v>
      </c>
      <c r="I471">
        <f t="shared" si="15"/>
        <v>5.6060856470382297E-3</v>
      </c>
    </row>
    <row r="472" spans="1:9" x14ac:dyDescent="0.75">
      <c r="A472" s="1">
        <v>45012</v>
      </c>
      <c r="B472">
        <v>72.930000000000007</v>
      </c>
      <c r="C472">
        <v>69.75</v>
      </c>
      <c r="D472">
        <v>73.2</v>
      </c>
      <c r="E472">
        <v>69.27</v>
      </c>
      <c r="F472" t="s">
        <v>460</v>
      </c>
      <c r="G472" s="2">
        <v>5.0700000000000002E-2</v>
      </c>
      <c r="H472">
        <f t="shared" si="14"/>
        <v>5.0713153724247374E-2</v>
      </c>
      <c r="I472">
        <f t="shared" si="15"/>
        <v>4.946912764464946E-2</v>
      </c>
    </row>
    <row r="473" spans="1:9" x14ac:dyDescent="0.75">
      <c r="A473" s="1">
        <v>45009</v>
      </c>
      <c r="B473">
        <v>69.41</v>
      </c>
      <c r="C473">
        <v>69.67</v>
      </c>
      <c r="D473">
        <v>70.53</v>
      </c>
      <c r="E473">
        <v>67.02</v>
      </c>
      <c r="F473" t="s">
        <v>461</v>
      </c>
      <c r="G473" s="2">
        <v>-1.01E-2</v>
      </c>
      <c r="H473">
        <f t="shared" si="14"/>
        <v>-1.0125499144324129E-2</v>
      </c>
      <c r="I473">
        <f t="shared" si="15"/>
        <v>-1.0177110701541547E-2</v>
      </c>
    </row>
    <row r="474" spans="1:9" x14ac:dyDescent="0.75">
      <c r="A474" s="1">
        <v>45008</v>
      </c>
      <c r="B474">
        <v>70.12</v>
      </c>
      <c r="C474">
        <v>70.069999999999993</v>
      </c>
      <c r="D474">
        <v>71.790000000000006</v>
      </c>
      <c r="E474">
        <v>69.3</v>
      </c>
      <c r="F474" t="s">
        <v>462</v>
      </c>
      <c r="G474" s="2">
        <v>-1.2699999999999999E-2</v>
      </c>
      <c r="H474">
        <f t="shared" si="14"/>
        <v>-1.2672486623486223E-2</v>
      </c>
      <c r="I474">
        <f t="shared" si="15"/>
        <v>-1.2753467461907931E-2</v>
      </c>
    </row>
    <row r="475" spans="1:9" x14ac:dyDescent="0.75">
      <c r="A475" s="1">
        <v>45007</v>
      </c>
      <c r="B475">
        <v>71.02</v>
      </c>
      <c r="C475">
        <v>69.569999999999993</v>
      </c>
      <c r="D475">
        <v>71.430000000000007</v>
      </c>
      <c r="E475">
        <v>69.03</v>
      </c>
      <c r="F475" t="s">
        <v>463</v>
      </c>
      <c r="G475" s="2">
        <v>1.9400000000000001E-2</v>
      </c>
      <c r="H475">
        <f t="shared" si="14"/>
        <v>1.9377063298406692E-2</v>
      </c>
      <c r="I475">
        <f t="shared" si="15"/>
        <v>1.9191718472914239E-2</v>
      </c>
    </row>
    <row r="476" spans="1:9" x14ac:dyDescent="0.75">
      <c r="A476" s="1">
        <v>45006</v>
      </c>
      <c r="B476">
        <v>69.67</v>
      </c>
      <c r="C476">
        <v>67.83</v>
      </c>
      <c r="D476">
        <v>69.77</v>
      </c>
      <c r="E476">
        <v>66.900000000000006</v>
      </c>
      <c r="F476" t="s">
        <v>464</v>
      </c>
      <c r="G476" s="2">
        <v>2.7300000000000001E-2</v>
      </c>
      <c r="H476">
        <f t="shared" si="14"/>
        <v>2.7278089059274677E-2</v>
      </c>
      <c r="I476">
        <f t="shared" si="15"/>
        <v>2.6912672344535184E-2</v>
      </c>
    </row>
    <row r="477" spans="1:9" x14ac:dyDescent="0.75">
      <c r="A477" s="1">
        <v>45005</v>
      </c>
      <c r="B477">
        <v>67.819999999999993</v>
      </c>
      <c r="C477">
        <v>66.900000000000006</v>
      </c>
      <c r="D477">
        <v>67.900000000000006</v>
      </c>
      <c r="E477">
        <v>64.36</v>
      </c>
      <c r="F477" t="s">
        <v>465</v>
      </c>
      <c r="G477" s="2">
        <v>1.3299999999999999E-2</v>
      </c>
      <c r="H477">
        <f t="shared" si="14"/>
        <v>1.3297474973853075E-2</v>
      </c>
      <c r="I477">
        <f t="shared" si="15"/>
        <v>1.3209839584941471E-2</v>
      </c>
    </row>
    <row r="478" spans="1:9" x14ac:dyDescent="0.75">
      <c r="A478" s="1">
        <v>45002</v>
      </c>
      <c r="B478">
        <v>66.930000000000007</v>
      </c>
      <c r="C478">
        <v>68.47</v>
      </c>
      <c r="D478">
        <v>69.83</v>
      </c>
      <c r="E478">
        <v>65.38</v>
      </c>
      <c r="F478" t="s">
        <v>466</v>
      </c>
      <c r="G478" s="2">
        <v>-2.3199999999999998E-2</v>
      </c>
      <c r="H478">
        <f t="shared" si="14"/>
        <v>-2.3204903677758161E-2</v>
      </c>
      <c r="I478">
        <f t="shared" si="15"/>
        <v>-2.3478376343368183E-2</v>
      </c>
    </row>
    <row r="479" spans="1:9" x14ac:dyDescent="0.75">
      <c r="A479" s="1">
        <v>45001</v>
      </c>
      <c r="B479">
        <v>68.52</v>
      </c>
      <c r="C479">
        <v>68.38</v>
      </c>
      <c r="D479">
        <v>69.53</v>
      </c>
      <c r="E479">
        <v>65.89</v>
      </c>
      <c r="F479" t="s">
        <v>467</v>
      </c>
      <c r="G479" s="2">
        <v>1.15E-2</v>
      </c>
      <c r="H479">
        <f t="shared" si="14"/>
        <v>1.1514614703277254E-2</v>
      </c>
      <c r="I479">
        <f t="shared" si="15"/>
        <v>1.1448826066293466E-2</v>
      </c>
    </row>
    <row r="480" spans="1:9" x14ac:dyDescent="0.75">
      <c r="A480" s="1">
        <v>45000</v>
      </c>
      <c r="B480">
        <v>67.739999999999995</v>
      </c>
      <c r="C480">
        <v>71.69</v>
      </c>
      <c r="D480">
        <v>72.709999999999994</v>
      </c>
      <c r="E480">
        <v>65.790000000000006</v>
      </c>
      <c r="F480" t="s">
        <v>468</v>
      </c>
      <c r="G480" s="2">
        <v>-5.2499999999999998E-2</v>
      </c>
      <c r="H480">
        <f t="shared" si="14"/>
        <v>-5.2454888795635757E-2</v>
      </c>
      <c r="I480">
        <f t="shared" si="15"/>
        <v>-5.3880732389134801E-2</v>
      </c>
    </row>
    <row r="481" spans="1:9" x14ac:dyDescent="0.75">
      <c r="A481" s="1">
        <v>44999</v>
      </c>
      <c r="B481">
        <v>71.489999999999995</v>
      </c>
      <c r="C481">
        <v>74.77</v>
      </c>
      <c r="D481">
        <v>75.02</v>
      </c>
      <c r="E481">
        <v>70.94</v>
      </c>
      <c r="F481" t="s">
        <v>469</v>
      </c>
      <c r="G481" s="2">
        <v>-4.5699999999999998E-2</v>
      </c>
      <c r="H481">
        <f t="shared" si="14"/>
        <v>-4.5654785742891495E-2</v>
      </c>
      <c r="I481">
        <f t="shared" si="15"/>
        <v>-4.672981318103113E-2</v>
      </c>
    </row>
    <row r="482" spans="1:9" x14ac:dyDescent="0.75">
      <c r="A482" s="1">
        <v>44998</v>
      </c>
      <c r="B482">
        <v>74.91</v>
      </c>
      <c r="C482">
        <v>76.77</v>
      </c>
      <c r="D482">
        <v>77.56</v>
      </c>
      <c r="E482">
        <v>72.44</v>
      </c>
      <c r="F482" t="s">
        <v>470</v>
      </c>
      <c r="G482" s="2">
        <v>-2.4400000000000002E-2</v>
      </c>
      <c r="H482">
        <f t="shared" si="14"/>
        <v>-2.4355300859598913E-2</v>
      </c>
      <c r="I482">
        <f t="shared" si="15"/>
        <v>-2.4656796612860171E-2</v>
      </c>
    </row>
    <row r="483" spans="1:9" x14ac:dyDescent="0.75">
      <c r="A483" s="1">
        <v>44995</v>
      </c>
      <c r="B483">
        <v>76.78</v>
      </c>
      <c r="C483">
        <v>75.78</v>
      </c>
      <c r="D483">
        <v>77.2</v>
      </c>
      <c r="E483">
        <v>74.92</v>
      </c>
      <c r="F483" t="s">
        <v>471</v>
      </c>
      <c r="G483" s="2">
        <v>1.24E-2</v>
      </c>
      <c r="H483">
        <f t="shared" si="14"/>
        <v>1.239451476793246E-2</v>
      </c>
      <c r="I483">
        <f t="shared" si="15"/>
        <v>1.2318331625885312E-2</v>
      </c>
    </row>
    <row r="484" spans="1:9" x14ac:dyDescent="0.75">
      <c r="A484" s="1">
        <v>44994</v>
      </c>
      <c r="B484">
        <v>75.84</v>
      </c>
      <c r="C484">
        <v>76.650000000000006</v>
      </c>
      <c r="D484">
        <v>78.17</v>
      </c>
      <c r="E484">
        <v>75.569999999999993</v>
      </c>
      <c r="F484" t="s">
        <v>472</v>
      </c>
      <c r="G484" s="2">
        <v>-1.26E-2</v>
      </c>
      <c r="H484">
        <f t="shared" si="14"/>
        <v>-1.262856398906391E-2</v>
      </c>
      <c r="I484">
        <f t="shared" si="15"/>
        <v>-1.2708982063824148E-2</v>
      </c>
    </row>
    <row r="485" spans="1:9" x14ac:dyDescent="0.75">
      <c r="A485" s="1">
        <v>44993</v>
      </c>
      <c r="B485">
        <v>76.81</v>
      </c>
      <c r="C485">
        <v>77.36</v>
      </c>
      <c r="D485">
        <v>77.88</v>
      </c>
      <c r="E485">
        <v>76.260000000000005</v>
      </c>
      <c r="F485" t="s">
        <v>473</v>
      </c>
      <c r="G485" s="2">
        <v>-1.17E-2</v>
      </c>
      <c r="H485">
        <f t="shared" si="14"/>
        <v>-1.1708697889860996E-2</v>
      </c>
      <c r="I485">
        <f t="shared" si="15"/>
        <v>-1.1777784498648681E-2</v>
      </c>
    </row>
    <row r="486" spans="1:9" x14ac:dyDescent="0.75">
      <c r="A486" s="1">
        <v>44992</v>
      </c>
      <c r="B486">
        <v>77.72</v>
      </c>
      <c r="C486">
        <v>80.59</v>
      </c>
      <c r="D486">
        <v>81.040000000000006</v>
      </c>
      <c r="E486">
        <v>77.180000000000007</v>
      </c>
      <c r="F486" t="s">
        <v>474</v>
      </c>
      <c r="G486" s="2">
        <v>-3.5299999999999998E-2</v>
      </c>
      <c r="H486">
        <f t="shared" si="14"/>
        <v>-3.5253227408143038E-2</v>
      </c>
      <c r="I486">
        <f t="shared" si="15"/>
        <v>-3.5889623901067591E-2</v>
      </c>
    </row>
    <row r="487" spans="1:9" x14ac:dyDescent="0.75">
      <c r="A487" s="1">
        <v>44991</v>
      </c>
      <c r="B487">
        <v>80.56</v>
      </c>
      <c r="C487">
        <v>80.040000000000006</v>
      </c>
      <c r="D487">
        <v>80.72</v>
      </c>
      <c r="E487">
        <v>78.44</v>
      </c>
      <c r="F487" t="s">
        <v>475</v>
      </c>
      <c r="G487" s="2">
        <v>9.7000000000000003E-3</v>
      </c>
      <c r="H487">
        <f t="shared" si="14"/>
        <v>9.6503321218197255E-3</v>
      </c>
      <c r="I487">
        <f t="shared" si="15"/>
        <v>9.604065090117261E-3</v>
      </c>
    </row>
    <row r="488" spans="1:9" x14ac:dyDescent="0.75">
      <c r="A488" s="1">
        <v>44988</v>
      </c>
      <c r="B488">
        <v>79.790000000000006</v>
      </c>
      <c r="C488">
        <v>78.02</v>
      </c>
      <c r="D488">
        <v>80</v>
      </c>
      <c r="E488">
        <v>76</v>
      </c>
      <c r="F488" t="s">
        <v>476</v>
      </c>
      <c r="G488" s="2">
        <v>1.89E-2</v>
      </c>
      <c r="H488">
        <f t="shared" si="14"/>
        <v>1.8899246584088928E-2</v>
      </c>
      <c r="I488">
        <f t="shared" si="15"/>
        <v>1.8722874557343314E-2</v>
      </c>
    </row>
    <row r="489" spans="1:9" x14ac:dyDescent="0.75">
      <c r="A489" s="1">
        <v>44987</v>
      </c>
      <c r="B489">
        <v>78.31</v>
      </c>
      <c r="C489">
        <v>77.900000000000006</v>
      </c>
      <c r="D489">
        <v>78.72</v>
      </c>
      <c r="E489">
        <v>77.39</v>
      </c>
      <c r="F489" t="s">
        <v>477</v>
      </c>
      <c r="G489" s="2">
        <v>6.1999999999999998E-3</v>
      </c>
      <c r="H489">
        <f t="shared" si="14"/>
        <v>6.1672876782732106E-3</v>
      </c>
      <c r="I489">
        <f t="shared" si="15"/>
        <v>6.148347791549583E-3</v>
      </c>
    </row>
    <row r="490" spans="1:9" x14ac:dyDescent="0.75">
      <c r="A490" s="1">
        <v>44986</v>
      </c>
      <c r="B490">
        <v>77.83</v>
      </c>
      <c r="C490">
        <v>76.930000000000007</v>
      </c>
      <c r="D490">
        <v>78</v>
      </c>
      <c r="E490">
        <v>76.3</v>
      </c>
      <c r="F490" t="s">
        <v>478</v>
      </c>
      <c r="G490" s="2">
        <v>8.3000000000000001E-3</v>
      </c>
      <c r="H490">
        <f t="shared" si="14"/>
        <v>8.2912294338644971E-3</v>
      </c>
      <c r="I490">
        <f t="shared" si="15"/>
        <v>8.2570460095342194E-3</v>
      </c>
    </row>
    <row r="491" spans="1:9" x14ac:dyDescent="0.75">
      <c r="A491" s="1">
        <v>44985</v>
      </c>
      <c r="B491">
        <v>77.19</v>
      </c>
      <c r="C491">
        <v>75.87</v>
      </c>
      <c r="D491">
        <v>77.930000000000007</v>
      </c>
      <c r="E491">
        <v>75.680000000000007</v>
      </c>
      <c r="F491" t="s">
        <v>479</v>
      </c>
      <c r="G491" s="2">
        <v>1.8200000000000001E-2</v>
      </c>
      <c r="H491">
        <f t="shared" si="14"/>
        <v>1.8203403244954432E-2</v>
      </c>
      <c r="I491">
        <f t="shared" si="15"/>
        <v>1.803970489354996E-2</v>
      </c>
    </row>
    <row r="492" spans="1:9" x14ac:dyDescent="0.75">
      <c r="A492" s="1">
        <v>44984</v>
      </c>
      <c r="B492">
        <v>75.81</v>
      </c>
      <c r="C492">
        <v>76.61</v>
      </c>
      <c r="D492">
        <v>76.95</v>
      </c>
      <c r="E492">
        <v>75.14</v>
      </c>
      <c r="F492" t="s">
        <v>480</v>
      </c>
      <c r="G492" s="2">
        <v>-8.6E-3</v>
      </c>
      <c r="H492">
        <f t="shared" si="14"/>
        <v>-8.6308356218124313E-3</v>
      </c>
      <c r="I492">
        <f t="shared" si="15"/>
        <v>-8.6682969879211796E-3</v>
      </c>
    </row>
    <row r="493" spans="1:9" x14ac:dyDescent="0.75">
      <c r="A493" s="1">
        <v>44981</v>
      </c>
      <c r="B493">
        <v>76.47</v>
      </c>
      <c r="C493">
        <v>75.849999999999994</v>
      </c>
      <c r="D493">
        <v>76.75</v>
      </c>
      <c r="E493">
        <v>74.3</v>
      </c>
      <c r="F493" t="s">
        <v>375</v>
      </c>
      <c r="G493" s="2">
        <v>1.15E-2</v>
      </c>
      <c r="H493">
        <f t="shared" si="14"/>
        <v>1.1507936507936569E-2</v>
      </c>
      <c r="I493">
        <f t="shared" si="15"/>
        <v>1.144222387064641E-2</v>
      </c>
    </row>
    <row r="494" spans="1:9" x14ac:dyDescent="0.75">
      <c r="A494" s="1">
        <v>44980</v>
      </c>
      <c r="B494">
        <v>75.599999999999994</v>
      </c>
      <c r="C494">
        <v>74.19</v>
      </c>
      <c r="D494">
        <v>76.17</v>
      </c>
      <c r="E494">
        <v>74.069999999999993</v>
      </c>
      <c r="F494" t="s">
        <v>481</v>
      </c>
      <c r="G494" s="2">
        <v>1.9E-2</v>
      </c>
      <c r="H494">
        <f t="shared" si="14"/>
        <v>1.9005256773149976E-2</v>
      </c>
      <c r="I494">
        <f t="shared" si="15"/>
        <v>1.8826912984052781E-2</v>
      </c>
    </row>
    <row r="495" spans="1:9" x14ac:dyDescent="0.75">
      <c r="A495" s="1">
        <v>44979</v>
      </c>
      <c r="B495">
        <v>74.19</v>
      </c>
      <c r="C495">
        <v>76.290000000000006</v>
      </c>
      <c r="D495">
        <v>76.72</v>
      </c>
      <c r="E495">
        <v>74.05</v>
      </c>
      <c r="F495" t="s">
        <v>482</v>
      </c>
      <c r="G495" s="2">
        <v>-2.8400000000000002E-2</v>
      </c>
      <c r="H495">
        <f t="shared" si="14"/>
        <v>-2.8418019905709819E-2</v>
      </c>
      <c r="I495">
        <f t="shared" si="15"/>
        <v>-2.8829628656112341E-2</v>
      </c>
    </row>
    <row r="496" spans="1:9" x14ac:dyDescent="0.75">
      <c r="A496" s="1">
        <v>44978</v>
      </c>
      <c r="B496">
        <v>76.36</v>
      </c>
      <c r="C496">
        <v>76.64</v>
      </c>
      <c r="D496">
        <v>77.739999999999995</v>
      </c>
      <c r="E496">
        <v>75.900000000000006</v>
      </c>
      <c r="F496" t="s">
        <v>483</v>
      </c>
      <c r="G496" s="2">
        <v>-1.2200000000000001E-2</v>
      </c>
      <c r="H496">
        <f t="shared" si="14"/>
        <v>-1.2160413971539427E-2</v>
      </c>
      <c r="I496">
        <f t="shared" si="15"/>
        <v>-1.2234956735829397E-2</v>
      </c>
    </row>
    <row r="497" spans="1:9" x14ac:dyDescent="0.75">
      <c r="A497" s="1">
        <v>44977</v>
      </c>
      <c r="B497">
        <v>77.3</v>
      </c>
      <c r="C497">
        <v>76.69</v>
      </c>
      <c r="D497">
        <v>77.739999999999995</v>
      </c>
      <c r="E497">
        <v>76.33</v>
      </c>
      <c r="G497" s="2">
        <v>8.2000000000000007E-3</v>
      </c>
      <c r="H497">
        <f t="shared" si="14"/>
        <v>8.2170340419981149E-3</v>
      </c>
      <c r="I497">
        <f t="shared" si="15"/>
        <v>8.183458022573073E-3</v>
      </c>
    </row>
    <row r="498" spans="1:9" x14ac:dyDescent="0.75">
      <c r="A498" s="1">
        <v>44976</v>
      </c>
      <c r="B498">
        <v>76.67</v>
      </c>
      <c r="C498">
        <v>76.69</v>
      </c>
      <c r="D498">
        <v>76.819999999999993</v>
      </c>
      <c r="E498">
        <v>76.53</v>
      </c>
      <c r="G498" s="2">
        <v>1.6000000000000001E-3</v>
      </c>
      <c r="H498">
        <f t="shared" si="14"/>
        <v>1.5676028739386616E-3</v>
      </c>
      <c r="I498">
        <f t="shared" si="15"/>
        <v>1.566375467110342E-3</v>
      </c>
    </row>
    <row r="499" spans="1:9" x14ac:dyDescent="0.75">
      <c r="A499" s="1">
        <v>44974</v>
      </c>
      <c r="B499">
        <v>76.55</v>
      </c>
      <c r="C499">
        <v>78.349999999999994</v>
      </c>
      <c r="D499">
        <v>78.5</v>
      </c>
      <c r="E499">
        <v>75.319999999999993</v>
      </c>
      <c r="F499" t="s">
        <v>484</v>
      </c>
      <c r="G499" s="2">
        <v>-2.7799999999999998E-2</v>
      </c>
      <c r="H499">
        <f t="shared" si="14"/>
        <v>-2.7813055626111225E-2</v>
      </c>
      <c r="I499">
        <f t="shared" si="15"/>
        <v>-2.8207163411898696E-2</v>
      </c>
    </row>
    <row r="500" spans="1:9" x14ac:dyDescent="0.75">
      <c r="A500" s="1">
        <v>44973</v>
      </c>
      <c r="B500">
        <v>78.739999999999995</v>
      </c>
      <c r="C500">
        <v>78.680000000000007</v>
      </c>
      <c r="D500">
        <v>79.760000000000005</v>
      </c>
      <c r="E500">
        <v>78.180000000000007</v>
      </c>
      <c r="F500" t="s">
        <v>485</v>
      </c>
      <c r="G500" s="2">
        <v>-1.1000000000000001E-3</v>
      </c>
      <c r="H500">
        <f t="shared" si="14"/>
        <v>-1.1416973233540962E-3</v>
      </c>
      <c r="I500">
        <f t="shared" si="15"/>
        <v>-1.1423495562254712E-3</v>
      </c>
    </row>
    <row r="501" spans="1:9" x14ac:dyDescent="0.75">
      <c r="A501" s="1">
        <v>44972</v>
      </c>
      <c r="B501">
        <v>78.83</v>
      </c>
      <c r="C501">
        <v>79.040000000000006</v>
      </c>
      <c r="D501">
        <v>79.37</v>
      </c>
      <c r="E501">
        <v>77.47</v>
      </c>
      <c r="F501" t="s">
        <v>486</v>
      </c>
      <c r="G501" s="2">
        <v>-5.1999999999999998E-3</v>
      </c>
      <c r="H501">
        <f t="shared" si="14"/>
        <v>-5.1741544674406437E-3</v>
      </c>
      <c r="I501">
        <f t="shared" si="15"/>
        <v>-5.1875867585332554E-3</v>
      </c>
    </row>
    <row r="502" spans="1:9" x14ac:dyDescent="0.75">
      <c r="A502" s="1">
        <v>44971</v>
      </c>
      <c r="B502">
        <v>79.239999999999995</v>
      </c>
      <c r="C502">
        <v>79.5</v>
      </c>
      <c r="D502">
        <v>79.84</v>
      </c>
      <c r="E502">
        <v>77.709999999999994</v>
      </c>
      <c r="F502" t="s">
        <v>487</v>
      </c>
      <c r="G502" s="2">
        <v>-1.3599999999999999E-2</v>
      </c>
      <c r="H502">
        <f t="shared" si="14"/>
        <v>-1.3569027760488029E-2</v>
      </c>
      <c r="I502">
        <f t="shared" si="15"/>
        <v>-1.3661928355371064E-2</v>
      </c>
    </row>
    <row r="503" spans="1:9" x14ac:dyDescent="0.75">
      <c r="A503" s="1">
        <v>44970</v>
      </c>
      <c r="B503">
        <v>80.33</v>
      </c>
      <c r="C503">
        <v>80.05</v>
      </c>
      <c r="D503">
        <v>80.78</v>
      </c>
      <c r="E503">
        <v>78.67</v>
      </c>
      <c r="F503" t="s">
        <v>488</v>
      </c>
      <c r="G503" s="2">
        <v>5.1000000000000004E-3</v>
      </c>
      <c r="H503">
        <f t="shared" si="14"/>
        <v>5.1301301301300874E-3</v>
      </c>
      <c r="I503">
        <f t="shared" si="15"/>
        <v>5.1170158454230345E-3</v>
      </c>
    </row>
    <row r="504" spans="1:9" x14ac:dyDescent="0.75">
      <c r="A504" s="1">
        <v>44967</v>
      </c>
      <c r="B504">
        <v>79.92</v>
      </c>
      <c r="C504">
        <v>77.81</v>
      </c>
      <c r="D504">
        <v>80.5</v>
      </c>
      <c r="E504">
        <v>77.680000000000007</v>
      </c>
      <c r="F504" t="s">
        <v>489</v>
      </c>
      <c r="G504" s="2">
        <v>2.1100000000000001E-2</v>
      </c>
      <c r="H504">
        <f t="shared" si="14"/>
        <v>2.1080873898045301E-2</v>
      </c>
      <c r="I504">
        <f t="shared" si="15"/>
        <v>2.0861746523551345E-2</v>
      </c>
    </row>
    <row r="505" spans="1:9" x14ac:dyDescent="0.75">
      <c r="A505" s="1">
        <v>44966</v>
      </c>
      <c r="B505">
        <v>78.27</v>
      </c>
      <c r="C505">
        <v>78.69</v>
      </c>
      <c r="D505">
        <v>79.040000000000006</v>
      </c>
      <c r="E505">
        <v>76.760000000000005</v>
      </c>
      <c r="F505" t="s">
        <v>490</v>
      </c>
      <c r="G505" s="2">
        <v>-5.3E-3</v>
      </c>
      <c r="H505">
        <f t="shared" si="14"/>
        <v>-5.3373999237514517E-3</v>
      </c>
      <c r="I505">
        <f t="shared" si="15"/>
        <v>-5.3516947301452955E-3</v>
      </c>
    </row>
    <row r="506" spans="1:9" x14ac:dyDescent="0.75">
      <c r="A506" s="1">
        <v>44965</v>
      </c>
      <c r="B506">
        <v>78.69</v>
      </c>
      <c r="C506">
        <v>77.7</v>
      </c>
      <c r="D506">
        <v>78.78</v>
      </c>
      <c r="E506">
        <v>77.319999999999993</v>
      </c>
      <c r="F506" t="s">
        <v>491</v>
      </c>
      <c r="G506" s="2">
        <v>1.6799999999999999E-2</v>
      </c>
      <c r="H506">
        <f t="shared" si="14"/>
        <v>1.6798035921953704E-2</v>
      </c>
      <c r="I506">
        <f t="shared" si="15"/>
        <v>1.6658509264524227E-2</v>
      </c>
    </row>
    <row r="507" spans="1:9" x14ac:dyDescent="0.75">
      <c r="A507" s="1">
        <v>44964</v>
      </c>
      <c r="B507">
        <v>77.39</v>
      </c>
      <c r="C507">
        <v>74.83</v>
      </c>
      <c r="D507">
        <v>77.819999999999993</v>
      </c>
      <c r="E507">
        <v>74.709999999999994</v>
      </c>
      <c r="F507" t="s">
        <v>492</v>
      </c>
      <c r="G507" s="2">
        <v>3.9199999999999999E-2</v>
      </c>
      <c r="H507">
        <f t="shared" si="14"/>
        <v>3.9210420303477933E-2</v>
      </c>
      <c r="I507">
        <f t="shared" si="15"/>
        <v>3.8461213559813662E-2</v>
      </c>
    </row>
    <row r="508" spans="1:9" x14ac:dyDescent="0.75">
      <c r="A508" s="1">
        <v>44963</v>
      </c>
      <c r="B508">
        <v>74.47</v>
      </c>
      <c r="C508">
        <v>73.64</v>
      </c>
      <c r="D508">
        <v>74.87</v>
      </c>
      <c r="E508">
        <v>72.64</v>
      </c>
      <c r="F508" t="s">
        <v>493</v>
      </c>
      <c r="G508" s="2">
        <v>9.9000000000000008E-3</v>
      </c>
      <c r="H508">
        <f t="shared" si="14"/>
        <v>9.8996474098183348E-3</v>
      </c>
      <c r="I508">
        <f t="shared" si="15"/>
        <v>9.8509669165557368E-3</v>
      </c>
    </row>
    <row r="509" spans="1:9" x14ac:dyDescent="0.75">
      <c r="A509" s="1">
        <v>44960</v>
      </c>
      <c r="B509">
        <v>73.739999999999995</v>
      </c>
      <c r="C509">
        <v>76.25</v>
      </c>
      <c r="D509">
        <v>78.28</v>
      </c>
      <c r="E509">
        <v>73.47</v>
      </c>
      <c r="F509" t="s">
        <v>494</v>
      </c>
      <c r="G509" s="2">
        <v>-3.2300000000000002E-2</v>
      </c>
      <c r="H509">
        <f t="shared" si="14"/>
        <v>-3.2283464566929237E-2</v>
      </c>
      <c r="I509">
        <f t="shared" si="15"/>
        <v>-3.2816069886602212E-2</v>
      </c>
    </row>
    <row r="510" spans="1:9" x14ac:dyDescent="0.75">
      <c r="A510" s="1">
        <v>44959</v>
      </c>
      <c r="B510">
        <v>76.2</v>
      </c>
      <c r="C510">
        <v>77.06</v>
      </c>
      <c r="D510">
        <v>77.540000000000006</v>
      </c>
      <c r="E510">
        <v>75.3</v>
      </c>
      <c r="F510" t="s">
        <v>495</v>
      </c>
      <c r="G510" s="2">
        <v>-6.8999999999999999E-3</v>
      </c>
      <c r="H510">
        <f t="shared" si="14"/>
        <v>-6.9073374169164748E-3</v>
      </c>
      <c r="I510">
        <f t="shared" si="15"/>
        <v>-6.931303496973332E-3</v>
      </c>
    </row>
    <row r="511" spans="1:9" x14ac:dyDescent="0.75">
      <c r="A511" s="1">
        <v>44958</v>
      </c>
      <c r="B511">
        <v>76.73</v>
      </c>
      <c r="C511">
        <v>79.349999999999994</v>
      </c>
      <c r="D511">
        <v>80.010000000000005</v>
      </c>
      <c r="E511">
        <v>76.37</v>
      </c>
      <c r="F511" t="s">
        <v>496</v>
      </c>
      <c r="G511" s="2">
        <v>-3.0800000000000001E-2</v>
      </c>
      <c r="H511">
        <f t="shared" si="14"/>
        <v>-3.0819754957685963E-2</v>
      </c>
      <c r="I511">
        <f t="shared" si="15"/>
        <v>-3.1304672993768497E-2</v>
      </c>
    </row>
    <row r="512" spans="1:9" x14ac:dyDescent="0.75">
      <c r="A512" s="1">
        <v>44957</v>
      </c>
      <c r="B512">
        <v>79.17</v>
      </c>
      <c r="C512">
        <v>78.19</v>
      </c>
      <c r="D512">
        <v>79.53</v>
      </c>
      <c r="E512">
        <v>76.849999999999994</v>
      </c>
      <c r="F512" t="s">
        <v>497</v>
      </c>
      <c r="G512" s="2">
        <v>1.2699999999999999E-2</v>
      </c>
      <c r="H512">
        <f t="shared" si="14"/>
        <v>1.2663085188027562E-2</v>
      </c>
      <c r="I512">
        <f t="shared" si="15"/>
        <v>1.2583578818533624E-2</v>
      </c>
    </row>
    <row r="513" spans="1:9" x14ac:dyDescent="0.75">
      <c r="A513" s="1">
        <v>44956</v>
      </c>
      <c r="B513">
        <v>78.180000000000007</v>
      </c>
      <c r="C513">
        <v>80.12</v>
      </c>
      <c r="D513">
        <v>80.78</v>
      </c>
      <c r="E513">
        <v>77.959999999999994</v>
      </c>
      <c r="F513" t="s">
        <v>498</v>
      </c>
      <c r="G513" s="2">
        <v>-2.23E-2</v>
      </c>
      <c r="H513">
        <f t="shared" si="14"/>
        <v>-2.2261130565282481E-2</v>
      </c>
      <c r="I513">
        <f t="shared" si="15"/>
        <v>-2.2512649267390369E-2</v>
      </c>
    </row>
    <row r="514" spans="1:9" x14ac:dyDescent="0.75">
      <c r="A514" s="1">
        <v>44953</v>
      </c>
      <c r="B514">
        <v>79.959999999999994</v>
      </c>
      <c r="C514">
        <v>81.44</v>
      </c>
      <c r="D514">
        <v>82.69</v>
      </c>
      <c r="E514">
        <v>79.319999999999993</v>
      </c>
      <c r="F514" t="s">
        <v>499</v>
      </c>
      <c r="G514" s="2">
        <v>-1.6199999999999999E-2</v>
      </c>
      <c r="H514">
        <f t="shared" si="14"/>
        <v>-1.624015748031505E-2</v>
      </c>
      <c r="I514">
        <f t="shared" si="15"/>
        <v>-1.637347419797253E-2</v>
      </c>
    </row>
    <row r="515" spans="1:9" x14ac:dyDescent="0.75">
      <c r="A515" s="1">
        <v>44952</v>
      </c>
      <c r="B515">
        <v>81.28</v>
      </c>
      <c r="C515">
        <v>80.44</v>
      </c>
      <c r="D515">
        <v>82.38</v>
      </c>
      <c r="E515">
        <v>80.209999999999994</v>
      </c>
      <c r="F515" t="s">
        <v>500</v>
      </c>
      <c r="G515" s="2">
        <v>1.04E-2</v>
      </c>
      <c r="H515">
        <f t="shared" ref="H515:H578" si="16">(B515-B516)/B516</f>
        <v>1.0442565887618143E-2</v>
      </c>
      <c r="I515">
        <f t="shared" ref="I515:I578" si="17">LN(B515/B516)</f>
        <v>1.0388418925720523E-2</v>
      </c>
    </row>
    <row r="516" spans="1:9" x14ac:dyDescent="0.75">
      <c r="A516" s="1">
        <v>44951</v>
      </c>
      <c r="B516">
        <v>80.44</v>
      </c>
      <c r="C516">
        <v>80.44</v>
      </c>
      <c r="D516">
        <v>81.5</v>
      </c>
      <c r="E516">
        <v>79.77</v>
      </c>
      <c r="F516" t="s">
        <v>501</v>
      </c>
      <c r="G516" s="2">
        <v>0</v>
      </c>
      <c r="H516">
        <f t="shared" si="16"/>
        <v>0</v>
      </c>
      <c r="I516">
        <f t="shared" si="17"/>
        <v>0</v>
      </c>
    </row>
    <row r="517" spans="1:9" x14ac:dyDescent="0.75">
      <c r="A517" s="1">
        <v>44950</v>
      </c>
      <c r="B517">
        <v>80.44</v>
      </c>
      <c r="C517">
        <v>81.94</v>
      </c>
      <c r="D517">
        <v>82.51</v>
      </c>
      <c r="E517">
        <v>79.98</v>
      </c>
      <c r="F517" t="s">
        <v>502</v>
      </c>
      <c r="G517" s="2">
        <v>-1.8200000000000001E-2</v>
      </c>
      <c r="H517">
        <f t="shared" si="16"/>
        <v>-1.8186256560478568E-2</v>
      </c>
      <c r="I517">
        <f t="shared" si="17"/>
        <v>-1.8353659249272142E-2</v>
      </c>
    </row>
    <row r="518" spans="1:9" x14ac:dyDescent="0.75">
      <c r="A518" s="1">
        <v>44949</v>
      </c>
      <c r="B518">
        <v>81.93</v>
      </c>
      <c r="C518">
        <v>82.12</v>
      </c>
      <c r="D518">
        <v>82.89</v>
      </c>
      <c r="E518">
        <v>81.319999999999993</v>
      </c>
      <c r="F518" t="s">
        <v>503</v>
      </c>
      <c r="G518" s="2">
        <v>3.5999999999999999E-3</v>
      </c>
      <c r="H518">
        <f t="shared" si="16"/>
        <v>3.5521803037727368E-3</v>
      </c>
      <c r="I518">
        <f t="shared" si="17"/>
        <v>3.5458862120794272E-3</v>
      </c>
    </row>
    <row r="519" spans="1:9" x14ac:dyDescent="0.75">
      <c r="A519" s="1">
        <v>44946</v>
      </c>
      <c r="B519">
        <v>81.64</v>
      </c>
      <c r="C519">
        <v>80.84</v>
      </c>
      <c r="D519">
        <v>81.91</v>
      </c>
      <c r="E519">
        <v>79.91</v>
      </c>
      <c r="F519" t="s">
        <v>504</v>
      </c>
      <c r="G519" s="2">
        <v>1.2800000000000001E-2</v>
      </c>
      <c r="H519">
        <f t="shared" si="16"/>
        <v>1.2777571020965155E-2</v>
      </c>
      <c r="I519">
        <f t="shared" si="17"/>
        <v>1.269662664613457E-2</v>
      </c>
    </row>
    <row r="520" spans="1:9" x14ac:dyDescent="0.75">
      <c r="A520" s="1">
        <v>44945</v>
      </c>
      <c r="B520">
        <v>80.61</v>
      </c>
      <c r="C520">
        <v>79.430000000000007</v>
      </c>
      <c r="D520">
        <v>81.489999999999995</v>
      </c>
      <c r="E520">
        <v>78.45</v>
      </c>
      <c r="F520" t="s">
        <v>505</v>
      </c>
      <c r="G520" s="2">
        <v>1.0200000000000001E-2</v>
      </c>
      <c r="H520">
        <f t="shared" si="16"/>
        <v>1.0150375939849653E-2</v>
      </c>
      <c r="I520">
        <f t="shared" si="17"/>
        <v>1.0099206839746419E-2</v>
      </c>
    </row>
    <row r="521" spans="1:9" x14ac:dyDescent="0.75">
      <c r="A521" s="1">
        <v>44944</v>
      </c>
      <c r="B521">
        <v>79.8</v>
      </c>
      <c r="C521">
        <v>81.34</v>
      </c>
      <c r="D521">
        <v>82.66</v>
      </c>
      <c r="E521">
        <v>79.209999999999994</v>
      </c>
      <c r="F521" t="s">
        <v>506</v>
      </c>
      <c r="G521" s="2">
        <v>-8.0999999999999996E-3</v>
      </c>
      <c r="H521">
        <f t="shared" si="16"/>
        <v>-8.0795525170914307E-3</v>
      </c>
      <c r="I521">
        <f t="shared" si="17"/>
        <v>-8.1123689826292436E-3</v>
      </c>
    </row>
    <row r="522" spans="1:9" x14ac:dyDescent="0.75">
      <c r="A522" s="1">
        <v>44943</v>
      </c>
      <c r="B522">
        <v>80.45</v>
      </c>
      <c r="C522">
        <v>80.34</v>
      </c>
      <c r="D522">
        <v>81.510000000000005</v>
      </c>
      <c r="E522">
        <v>78.8</v>
      </c>
      <c r="F522" t="s">
        <v>507</v>
      </c>
      <c r="G522" s="2">
        <v>1.78E-2</v>
      </c>
      <c r="H522">
        <f t="shared" si="16"/>
        <v>1.7839068825910888E-2</v>
      </c>
      <c r="I522">
        <f t="shared" si="17"/>
        <v>1.7681819998779817E-2</v>
      </c>
    </row>
    <row r="523" spans="1:9" x14ac:dyDescent="0.75">
      <c r="A523" s="1">
        <v>44942</v>
      </c>
      <c r="B523">
        <v>79.040000000000006</v>
      </c>
      <c r="C523">
        <v>79.78</v>
      </c>
      <c r="D523">
        <v>79.92</v>
      </c>
      <c r="E523">
        <v>78.8</v>
      </c>
      <c r="G523" s="2">
        <v>-9.2999999999999992E-3</v>
      </c>
      <c r="H523">
        <f t="shared" si="16"/>
        <v>-9.2755076460265089E-3</v>
      </c>
      <c r="I523">
        <f t="shared" si="17"/>
        <v>-9.3187930376480883E-3</v>
      </c>
    </row>
    <row r="524" spans="1:9" x14ac:dyDescent="0.75">
      <c r="A524" s="1">
        <v>44941</v>
      </c>
      <c r="B524">
        <v>79.78</v>
      </c>
      <c r="C524">
        <v>80.17</v>
      </c>
      <c r="D524">
        <v>80.19</v>
      </c>
      <c r="E524">
        <v>79.78</v>
      </c>
      <c r="G524" s="2">
        <v>-4.1000000000000003E-3</v>
      </c>
      <c r="H524">
        <f t="shared" si="16"/>
        <v>-4.1193359131194394E-3</v>
      </c>
      <c r="I524">
        <f t="shared" si="17"/>
        <v>-4.1278437497648248E-3</v>
      </c>
    </row>
    <row r="525" spans="1:9" x14ac:dyDescent="0.75">
      <c r="A525" s="1">
        <v>44939</v>
      </c>
      <c r="B525">
        <v>80.11</v>
      </c>
      <c r="C525">
        <v>78.58</v>
      </c>
      <c r="D525">
        <v>80.37</v>
      </c>
      <c r="E525">
        <v>78.23</v>
      </c>
      <c r="F525" t="s">
        <v>508</v>
      </c>
      <c r="G525" s="2">
        <v>1.8599999999999998E-2</v>
      </c>
      <c r="H525">
        <f t="shared" si="16"/>
        <v>1.8563254926891211E-2</v>
      </c>
      <c r="I525">
        <f t="shared" si="17"/>
        <v>1.8393060722738577E-2</v>
      </c>
    </row>
    <row r="526" spans="1:9" x14ac:dyDescent="0.75">
      <c r="A526" s="1">
        <v>44938</v>
      </c>
      <c r="B526">
        <v>78.650000000000006</v>
      </c>
      <c r="C526">
        <v>77.900000000000006</v>
      </c>
      <c r="D526">
        <v>79.37</v>
      </c>
      <c r="E526">
        <v>77.349999999999994</v>
      </c>
      <c r="F526" t="s">
        <v>509</v>
      </c>
      <c r="G526" s="2">
        <v>1.2500000000000001E-2</v>
      </c>
      <c r="H526">
        <f t="shared" si="16"/>
        <v>1.2487126673532425E-2</v>
      </c>
      <c r="I526">
        <f t="shared" si="17"/>
        <v>1.2409805521217385E-2</v>
      </c>
    </row>
    <row r="527" spans="1:9" x14ac:dyDescent="0.75">
      <c r="A527" s="1">
        <v>44937</v>
      </c>
      <c r="B527">
        <v>77.680000000000007</v>
      </c>
      <c r="C527">
        <v>75.06</v>
      </c>
      <c r="D527">
        <v>78.06</v>
      </c>
      <c r="E527">
        <v>74.56</v>
      </c>
      <c r="F527" t="s">
        <v>510</v>
      </c>
      <c r="G527" s="2">
        <v>3.0599999999999999E-2</v>
      </c>
      <c r="H527">
        <f t="shared" si="16"/>
        <v>3.0648799256998833E-2</v>
      </c>
      <c r="I527">
        <f t="shared" si="17"/>
        <v>3.0188506127690959E-2</v>
      </c>
    </row>
    <row r="528" spans="1:9" x14ac:dyDescent="0.75">
      <c r="A528" s="1">
        <v>44936</v>
      </c>
      <c r="B528">
        <v>75.37</v>
      </c>
      <c r="C528">
        <v>75.16</v>
      </c>
      <c r="D528">
        <v>76.16</v>
      </c>
      <c r="E528">
        <v>74.16</v>
      </c>
      <c r="F528" t="s">
        <v>511</v>
      </c>
      <c r="G528" s="2">
        <v>6.0000000000000001E-3</v>
      </c>
      <c r="H528">
        <f t="shared" si="16"/>
        <v>6.0064068339562579E-3</v>
      </c>
      <c r="I528">
        <f t="shared" si="17"/>
        <v>5.9884402794907953E-3</v>
      </c>
    </row>
    <row r="529" spans="1:9" x14ac:dyDescent="0.75">
      <c r="A529" s="1">
        <v>44935</v>
      </c>
      <c r="B529">
        <v>74.92</v>
      </c>
      <c r="C529">
        <v>73.87</v>
      </c>
      <c r="D529">
        <v>76.97</v>
      </c>
      <c r="E529">
        <v>73.790000000000006</v>
      </c>
      <c r="F529" t="s">
        <v>512</v>
      </c>
      <c r="G529" s="2">
        <v>1.1900000000000001E-2</v>
      </c>
      <c r="H529">
        <f t="shared" si="16"/>
        <v>1.1885467314964822E-2</v>
      </c>
      <c r="I529">
        <f t="shared" si="17"/>
        <v>1.1815389870590994E-2</v>
      </c>
    </row>
    <row r="530" spans="1:9" x14ac:dyDescent="0.75">
      <c r="A530" s="1">
        <v>44932</v>
      </c>
      <c r="B530">
        <v>74.040000000000006</v>
      </c>
      <c r="C530">
        <v>74.180000000000007</v>
      </c>
      <c r="D530">
        <v>75.709999999999994</v>
      </c>
      <c r="E530">
        <v>73.52</v>
      </c>
      <c r="F530" t="s">
        <v>513</v>
      </c>
      <c r="G530" s="2">
        <v>1.6000000000000001E-3</v>
      </c>
      <c r="H530">
        <f t="shared" si="16"/>
        <v>1.6233766233766848E-3</v>
      </c>
      <c r="I530">
        <f t="shared" si="17"/>
        <v>1.6220603718680509E-3</v>
      </c>
    </row>
    <row r="531" spans="1:9" x14ac:dyDescent="0.75">
      <c r="A531" s="1">
        <v>44931</v>
      </c>
      <c r="B531">
        <v>73.92</v>
      </c>
      <c r="C531">
        <v>73.510000000000005</v>
      </c>
      <c r="D531">
        <v>75.150000000000006</v>
      </c>
      <c r="E531">
        <v>72.739999999999995</v>
      </c>
      <c r="F531" t="s">
        <v>514</v>
      </c>
      <c r="G531" s="2">
        <v>1.12E-2</v>
      </c>
      <c r="H531">
        <f t="shared" si="16"/>
        <v>1.1217510259918023E-2</v>
      </c>
      <c r="I531">
        <f t="shared" si="17"/>
        <v>1.1155060577696106E-2</v>
      </c>
    </row>
    <row r="532" spans="1:9" x14ac:dyDescent="0.75">
      <c r="A532" s="1">
        <v>44930</v>
      </c>
      <c r="B532">
        <v>73.099999999999994</v>
      </c>
      <c r="C532">
        <v>77.41</v>
      </c>
      <c r="D532">
        <v>77.62</v>
      </c>
      <c r="E532">
        <v>73.010000000000005</v>
      </c>
      <c r="F532" t="s">
        <v>515</v>
      </c>
      <c r="G532" s="2">
        <v>-5.21E-2</v>
      </c>
      <c r="H532">
        <f t="shared" si="16"/>
        <v>-5.2126556016597637E-2</v>
      </c>
      <c r="I532">
        <f t="shared" si="17"/>
        <v>-5.353428354655751E-2</v>
      </c>
    </row>
    <row r="533" spans="1:9" x14ac:dyDescent="0.75">
      <c r="A533" s="1">
        <v>44929</v>
      </c>
      <c r="B533">
        <v>77.12</v>
      </c>
      <c r="C533">
        <v>80.66</v>
      </c>
      <c r="D533">
        <v>81.62</v>
      </c>
      <c r="E533">
        <v>76.81</v>
      </c>
      <c r="F533" t="s">
        <v>516</v>
      </c>
      <c r="G533" s="2">
        <v>-4.1599999999999998E-2</v>
      </c>
      <c r="H533">
        <f t="shared" si="16"/>
        <v>-4.1630421275009252E-2</v>
      </c>
      <c r="I533">
        <f t="shared" si="17"/>
        <v>-4.2521793855751236E-2</v>
      </c>
    </row>
    <row r="534" spans="1:9" x14ac:dyDescent="0.75">
      <c r="A534" s="1">
        <v>44928</v>
      </c>
      <c r="B534">
        <v>80.47</v>
      </c>
      <c r="C534">
        <v>80.569999999999993</v>
      </c>
      <c r="D534">
        <v>80.61</v>
      </c>
      <c r="E534">
        <v>80.180000000000007</v>
      </c>
      <c r="G534" s="2">
        <v>2.0000000000000001E-4</v>
      </c>
      <c r="H534">
        <f t="shared" si="16"/>
        <v>2.4860161591045397E-4</v>
      </c>
      <c r="I534">
        <f t="shared" si="17"/>
        <v>2.4857071964919965E-4</v>
      </c>
    </row>
    <row r="535" spans="1:9" x14ac:dyDescent="0.75">
      <c r="A535" s="1">
        <v>44925</v>
      </c>
      <c r="B535">
        <v>80.45</v>
      </c>
      <c r="C535">
        <v>78.75</v>
      </c>
      <c r="D535">
        <v>80.81</v>
      </c>
      <c r="E535">
        <v>77.849999999999994</v>
      </c>
      <c r="F535" t="s">
        <v>517</v>
      </c>
      <c r="G535" s="2">
        <v>2.4799999999999999E-2</v>
      </c>
      <c r="H535">
        <f t="shared" si="16"/>
        <v>2.4840764331210227E-2</v>
      </c>
      <c r="I535">
        <f t="shared" si="17"/>
        <v>2.4537248650029569E-2</v>
      </c>
    </row>
    <row r="536" spans="1:9" x14ac:dyDescent="0.75">
      <c r="A536" s="1">
        <v>44924</v>
      </c>
      <c r="B536">
        <v>78.5</v>
      </c>
      <c r="C536">
        <v>79.010000000000005</v>
      </c>
      <c r="D536">
        <v>79.010000000000005</v>
      </c>
      <c r="E536">
        <v>76.94</v>
      </c>
      <c r="F536" t="s">
        <v>518</v>
      </c>
      <c r="G536" s="2">
        <v>-7.3000000000000001E-3</v>
      </c>
      <c r="H536">
        <f t="shared" si="16"/>
        <v>-7.3343449671218804E-3</v>
      </c>
      <c r="I536">
        <f t="shared" si="17"/>
        <v>-7.3613735140534422E-3</v>
      </c>
    </row>
    <row r="537" spans="1:9" x14ac:dyDescent="0.75">
      <c r="A537" s="1">
        <v>44923</v>
      </c>
      <c r="B537">
        <v>79.08</v>
      </c>
      <c r="C537">
        <v>80.02</v>
      </c>
      <c r="D537">
        <v>80.02</v>
      </c>
      <c r="E537">
        <v>77.45</v>
      </c>
      <c r="F537" t="s">
        <v>519</v>
      </c>
      <c r="G537" s="2">
        <v>-7.0000000000000001E-3</v>
      </c>
      <c r="H537">
        <f t="shared" si="16"/>
        <v>-7.0316423907584415E-3</v>
      </c>
      <c r="I537">
        <f t="shared" si="17"/>
        <v>-7.0564808935794539E-3</v>
      </c>
    </row>
    <row r="538" spans="1:9" x14ac:dyDescent="0.75">
      <c r="A538" s="1">
        <v>44922</v>
      </c>
      <c r="B538">
        <v>79.64</v>
      </c>
      <c r="C538">
        <v>79.989999999999995</v>
      </c>
      <c r="D538">
        <v>81.209999999999994</v>
      </c>
      <c r="E538">
        <v>79.28</v>
      </c>
      <c r="F538" t="s">
        <v>520</v>
      </c>
      <c r="G538" s="2">
        <v>-1.6400000000000001E-2</v>
      </c>
      <c r="H538">
        <f t="shared" si="16"/>
        <v>-1.6425836729652938E-2</v>
      </c>
      <c r="I538">
        <f t="shared" si="17"/>
        <v>-1.65622365020274E-2</v>
      </c>
    </row>
    <row r="539" spans="1:9" x14ac:dyDescent="0.75">
      <c r="A539" s="1">
        <v>44921</v>
      </c>
      <c r="B539">
        <v>80.97</v>
      </c>
      <c r="C539">
        <v>79.92</v>
      </c>
      <c r="D539">
        <v>81.06</v>
      </c>
      <c r="E539">
        <v>79.92</v>
      </c>
      <c r="G539" s="2">
        <v>1.67E-2</v>
      </c>
      <c r="H539">
        <f t="shared" si="16"/>
        <v>1.6700150678051209E-2</v>
      </c>
      <c r="I539">
        <f t="shared" si="17"/>
        <v>1.6562236502027511E-2</v>
      </c>
    </row>
    <row r="540" spans="1:9" x14ac:dyDescent="0.75">
      <c r="A540" s="1">
        <v>44918</v>
      </c>
      <c r="B540">
        <v>79.64</v>
      </c>
      <c r="C540">
        <v>78.14</v>
      </c>
      <c r="D540">
        <v>80.19</v>
      </c>
      <c r="E540">
        <v>77.87</v>
      </c>
      <c r="F540" t="s">
        <v>521</v>
      </c>
      <c r="G540" s="2">
        <v>2.87E-2</v>
      </c>
      <c r="H540">
        <f t="shared" si="16"/>
        <v>2.8674761043657956E-2</v>
      </c>
      <c r="I540">
        <f t="shared" si="17"/>
        <v>2.8271334046493485E-2</v>
      </c>
    </row>
    <row r="541" spans="1:9" x14ac:dyDescent="0.75">
      <c r="A541" s="1">
        <v>44917</v>
      </c>
      <c r="B541">
        <v>77.42</v>
      </c>
      <c r="C541">
        <v>78.28</v>
      </c>
      <c r="D541">
        <v>79.77</v>
      </c>
      <c r="E541">
        <v>77.010000000000005</v>
      </c>
      <c r="F541" t="s">
        <v>522</v>
      </c>
      <c r="G541" s="2">
        <v>-1.0500000000000001E-2</v>
      </c>
      <c r="H541">
        <f t="shared" si="16"/>
        <v>-1.0480572597136927E-2</v>
      </c>
      <c r="I541">
        <f t="shared" si="17"/>
        <v>-1.0535880577059807E-2</v>
      </c>
    </row>
    <row r="542" spans="1:9" x14ac:dyDescent="0.75">
      <c r="A542" s="1">
        <v>44916</v>
      </c>
      <c r="B542">
        <v>78.239999999999995</v>
      </c>
      <c r="C542">
        <v>76</v>
      </c>
      <c r="D542">
        <v>78.56</v>
      </c>
      <c r="E542">
        <v>75.81</v>
      </c>
      <c r="F542" t="s">
        <v>523</v>
      </c>
      <c r="G542" s="2">
        <v>2.64E-2</v>
      </c>
      <c r="H542">
        <f t="shared" si="16"/>
        <v>2.6367571822117155E-2</v>
      </c>
      <c r="I542">
        <f t="shared" si="17"/>
        <v>2.6025939726379455E-2</v>
      </c>
    </row>
    <row r="543" spans="1:9" x14ac:dyDescent="0.75">
      <c r="A543" s="1">
        <v>44915</v>
      </c>
      <c r="B543">
        <v>76.23</v>
      </c>
      <c r="C543">
        <v>75.77</v>
      </c>
      <c r="D543">
        <v>76.959999999999994</v>
      </c>
      <c r="E543">
        <v>74.459999999999994</v>
      </c>
      <c r="F543" t="s">
        <v>524</v>
      </c>
      <c r="G543" s="2">
        <v>1.1299999999999999E-2</v>
      </c>
      <c r="H543">
        <f t="shared" si="16"/>
        <v>1.1276200583709321E-2</v>
      </c>
      <c r="I543">
        <f t="shared" si="17"/>
        <v>1.1213098161193091E-2</v>
      </c>
    </row>
    <row r="544" spans="1:9" x14ac:dyDescent="0.75">
      <c r="A544" s="1">
        <v>44914</v>
      </c>
      <c r="B544">
        <v>75.38</v>
      </c>
      <c r="C544">
        <v>74.62</v>
      </c>
      <c r="D544">
        <v>76.64</v>
      </c>
      <c r="E544">
        <v>74.03</v>
      </c>
      <c r="F544" t="s">
        <v>525</v>
      </c>
      <c r="G544" s="2">
        <v>1.24E-2</v>
      </c>
      <c r="H544">
        <f t="shared" si="16"/>
        <v>1.2355627182379826E-2</v>
      </c>
      <c r="I544">
        <f t="shared" si="17"/>
        <v>1.2279919394418651E-2</v>
      </c>
    </row>
    <row r="545" spans="1:9" x14ac:dyDescent="0.75">
      <c r="A545" s="1">
        <v>44911</v>
      </c>
      <c r="B545">
        <v>74.459999999999994</v>
      </c>
      <c r="C545">
        <v>76.33</v>
      </c>
      <c r="D545">
        <v>76.58</v>
      </c>
      <c r="E545">
        <v>73.400000000000006</v>
      </c>
      <c r="F545" t="s">
        <v>526</v>
      </c>
      <c r="G545" s="2">
        <v>-2.2200000000000001E-2</v>
      </c>
      <c r="H545">
        <f t="shared" si="16"/>
        <v>-2.2193040052528059E-2</v>
      </c>
      <c r="I545">
        <f t="shared" si="17"/>
        <v>-2.2443010896600165E-2</v>
      </c>
    </row>
    <row r="546" spans="1:9" x14ac:dyDescent="0.75">
      <c r="A546" s="1">
        <v>44910</v>
      </c>
      <c r="B546">
        <v>76.150000000000006</v>
      </c>
      <c r="C546">
        <v>77.400000000000006</v>
      </c>
      <c r="D546">
        <v>77.83</v>
      </c>
      <c r="E546">
        <v>75.41</v>
      </c>
      <c r="F546" t="s">
        <v>527</v>
      </c>
      <c r="G546" s="2">
        <v>-1.4999999999999999E-2</v>
      </c>
      <c r="H546">
        <f t="shared" si="16"/>
        <v>-1.5004527228042899E-2</v>
      </c>
      <c r="I546">
        <f t="shared" si="17"/>
        <v>-1.5118233991212532E-2</v>
      </c>
    </row>
    <row r="547" spans="1:9" x14ac:dyDescent="0.75">
      <c r="A547" s="1">
        <v>44909</v>
      </c>
      <c r="B547">
        <v>77.31</v>
      </c>
      <c r="C547">
        <v>75.22</v>
      </c>
      <c r="D547">
        <v>77.760000000000005</v>
      </c>
      <c r="E547">
        <v>74.959999999999994</v>
      </c>
      <c r="F547" t="s">
        <v>528</v>
      </c>
      <c r="G547" s="2">
        <v>2.4799999999999999E-2</v>
      </c>
      <c r="H547">
        <f t="shared" si="16"/>
        <v>2.4787910922587548E-2</v>
      </c>
      <c r="I547">
        <f t="shared" si="17"/>
        <v>2.448567500718132E-2</v>
      </c>
    </row>
    <row r="548" spans="1:9" x14ac:dyDescent="0.75">
      <c r="A548" s="1">
        <v>44908</v>
      </c>
      <c r="B548">
        <v>75.44</v>
      </c>
      <c r="C548">
        <v>73.430000000000007</v>
      </c>
      <c r="D548">
        <v>76.3</v>
      </c>
      <c r="E548">
        <v>73.33</v>
      </c>
      <c r="F548" t="s">
        <v>529</v>
      </c>
      <c r="G548" s="2">
        <v>2.9499999999999998E-2</v>
      </c>
      <c r="H548">
        <f t="shared" si="16"/>
        <v>2.9475982532751046E-2</v>
      </c>
      <c r="I548">
        <f t="shared" si="17"/>
        <v>2.9049917959327213E-2</v>
      </c>
    </row>
    <row r="549" spans="1:9" x14ac:dyDescent="0.75">
      <c r="A549" s="1">
        <v>44907</v>
      </c>
      <c r="B549">
        <v>73.28</v>
      </c>
      <c r="C549">
        <v>72.02</v>
      </c>
      <c r="D549">
        <v>74</v>
      </c>
      <c r="E549">
        <v>70.48</v>
      </c>
      <c r="F549" t="s">
        <v>530</v>
      </c>
      <c r="G549" s="2">
        <v>2.9100000000000001E-2</v>
      </c>
      <c r="H549">
        <f t="shared" si="16"/>
        <v>2.9068950990029596E-2</v>
      </c>
      <c r="I549">
        <f t="shared" si="17"/>
        <v>2.8654462371841646E-2</v>
      </c>
    </row>
    <row r="550" spans="1:9" x14ac:dyDescent="0.75">
      <c r="A550" s="1">
        <v>44904</v>
      </c>
      <c r="B550">
        <v>71.209999999999994</v>
      </c>
      <c r="C550">
        <v>71.92</v>
      </c>
      <c r="D550">
        <v>73</v>
      </c>
      <c r="E550">
        <v>70.31</v>
      </c>
      <c r="F550" t="s">
        <v>531</v>
      </c>
      <c r="G550" s="2">
        <v>-5.1999999999999998E-3</v>
      </c>
      <c r="H550">
        <f t="shared" si="16"/>
        <v>-5.1690416317407735E-3</v>
      </c>
      <c r="I550">
        <f t="shared" si="17"/>
        <v>-5.182447343846458E-3</v>
      </c>
    </row>
    <row r="551" spans="1:9" x14ac:dyDescent="0.75">
      <c r="A551" s="1">
        <v>44903</v>
      </c>
      <c r="B551">
        <v>71.58</v>
      </c>
      <c r="C551">
        <v>72.650000000000006</v>
      </c>
      <c r="D551">
        <v>75.19</v>
      </c>
      <c r="E551">
        <v>71.27</v>
      </c>
      <c r="F551" t="s">
        <v>532</v>
      </c>
      <c r="G551" s="2">
        <v>-9.7000000000000003E-3</v>
      </c>
      <c r="H551">
        <f t="shared" si="16"/>
        <v>-9.6845600442723133E-3</v>
      </c>
      <c r="I551">
        <f t="shared" si="17"/>
        <v>-9.7317603861480414E-3</v>
      </c>
    </row>
    <row r="552" spans="1:9" x14ac:dyDescent="0.75">
      <c r="A552" s="1">
        <v>44902</v>
      </c>
      <c r="B552">
        <v>72.28</v>
      </c>
      <c r="C552">
        <v>74.73</v>
      </c>
      <c r="D552">
        <v>75.53</v>
      </c>
      <c r="E552">
        <v>72.06</v>
      </c>
      <c r="F552" t="s">
        <v>533</v>
      </c>
      <c r="G552" s="2">
        <v>-2.93E-2</v>
      </c>
      <c r="H552">
        <f t="shared" si="16"/>
        <v>-2.9277464410421606E-2</v>
      </c>
      <c r="I552">
        <f t="shared" si="17"/>
        <v>-2.9714602720542951E-2</v>
      </c>
    </row>
    <row r="553" spans="1:9" x14ac:dyDescent="0.75">
      <c r="A553" s="1">
        <v>44901</v>
      </c>
      <c r="B553">
        <v>74.459999999999994</v>
      </c>
      <c r="C553">
        <v>77.459999999999994</v>
      </c>
      <c r="D553">
        <v>78.05</v>
      </c>
      <c r="E553">
        <v>73.62</v>
      </c>
      <c r="F553" t="s">
        <v>534</v>
      </c>
      <c r="G553" s="2">
        <v>-3.4000000000000002E-2</v>
      </c>
      <c r="H553">
        <f t="shared" si="16"/>
        <v>-3.3990659055526784E-2</v>
      </c>
      <c r="I553">
        <f t="shared" si="17"/>
        <v>-3.458177510159486E-2</v>
      </c>
    </row>
    <row r="554" spans="1:9" x14ac:dyDescent="0.75">
      <c r="A554" s="1">
        <v>44900</v>
      </c>
      <c r="B554">
        <v>77.08</v>
      </c>
      <c r="C554">
        <v>80.03</v>
      </c>
      <c r="D554">
        <v>82.75</v>
      </c>
      <c r="E554">
        <v>76.92</v>
      </c>
      <c r="F554" t="s">
        <v>535</v>
      </c>
      <c r="G554" s="2">
        <v>-3.7100000000000001E-2</v>
      </c>
      <c r="H554">
        <f t="shared" si="16"/>
        <v>-3.7101811367895053E-2</v>
      </c>
      <c r="I554">
        <f t="shared" si="17"/>
        <v>-3.7807595896558015E-2</v>
      </c>
    </row>
    <row r="555" spans="1:9" x14ac:dyDescent="0.75">
      <c r="A555" s="1">
        <v>44897</v>
      </c>
      <c r="B555">
        <v>80.05</v>
      </c>
      <c r="C555">
        <v>81.349999999999994</v>
      </c>
      <c r="D555">
        <v>82.12</v>
      </c>
      <c r="E555">
        <v>79.73</v>
      </c>
      <c r="F555" t="s">
        <v>536</v>
      </c>
      <c r="G555" s="2">
        <v>-1.34E-2</v>
      </c>
      <c r="H555">
        <f t="shared" si="16"/>
        <v>-1.3433571604634008E-2</v>
      </c>
      <c r="I555">
        <f t="shared" si="17"/>
        <v>-1.3524618335577504E-2</v>
      </c>
    </row>
    <row r="556" spans="1:9" x14ac:dyDescent="0.75">
      <c r="A556" s="1">
        <v>44896</v>
      </c>
      <c r="B556">
        <v>81.14</v>
      </c>
      <c r="C556">
        <v>80.61</v>
      </c>
      <c r="D556">
        <v>83.27</v>
      </c>
      <c r="E556">
        <v>80.069999999999993</v>
      </c>
      <c r="F556" t="s">
        <v>537</v>
      </c>
      <c r="G556" s="2">
        <v>6.0000000000000001E-3</v>
      </c>
      <c r="H556">
        <f t="shared" si="16"/>
        <v>5.9509050334738906E-3</v>
      </c>
      <c r="I556">
        <f t="shared" si="17"/>
        <v>5.9332683330790888E-3</v>
      </c>
    </row>
    <row r="557" spans="1:9" x14ac:dyDescent="0.75">
      <c r="A557" s="1">
        <v>44895</v>
      </c>
      <c r="B557">
        <v>80.66</v>
      </c>
      <c r="C557">
        <v>78.98</v>
      </c>
      <c r="D557">
        <v>81.41</v>
      </c>
      <c r="E557">
        <v>78.48</v>
      </c>
      <c r="F557" t="s">
        <v>538</v>
      </c>
      <c r="G557" s="2">
        <v>3.04E-2</v>
      </c>
      <c r="H557">
        <f t="shared" si="16"/>
        <v>3.0403679100664223E-2</v>
      </c>
      <c r="I557">
        <f t="shared" si="17"/>
        <v>2.9950646917346647E-2</v>
      </c>
    </row>
    <row r="558" spans="1:9" x14ac:dyDescent="0.75">
      <c r="A558" s="1">
        <v>44894</v>
      </c>
      <c r="B558">
        <v>78.28</v>
      </c>
      <c r="C558">
        <v>76.66</v>
      </c>
      <c r="D558">
        <v>79.73</v>
      </c>
      <c r="E558">
        <v>76.400000000000006</v>
      </c>
      <c r="F558" t="s">
        <v>539</v>
      </c>
      <c r="G558" s="2">
        <v>1.23E-2</v>
      </c>
      <c r="H558">
        <f t="shared" si="16"/>
        <v>1.2285012285012322E-2</v>
      </c>
      <c r="I558">
        <f t="shared" si="17"/>
        <v>1.2210163906931337E-2</v>
      </c>
    </row>
    <row r="559" spans="1:9" x14ac:dyDescent="0.75">
      <c r="A559" s="1">
        <v>44893</v>
      </c>
      <c r="B559">
        <v>77.33</v>
      </c>
      <c r="C559">
        <v>76.19</v>
      </c>
      <c r="D559">
        <v>77.89</v>
      </c>
      <c r="E559">
        <v>73.77</v>
      </c>
      <c r="F559" t="s">
        <v>540</v>
      </c>
      <c r="G559" s="2">
        <v>1.18E-2</v>
      </c>
      <c r="H559">
        <f t="shared" si="16"/>
        <v>1.1775480832133867E-2</v>
      </c>
      <c r="I559">
        <f t="shared" si="17"/>
        <v>1.170668936615114E-2</v>
      </c>
    </row>
    <row r="560" spans="1:9" x14ac:dyDescent="0.75">
      <c r="A560" s="1">
        <v>44890</v>
      </c>
      <c r="B560">
        <v>76.430000000000007</v>
      </c>
      <c r="C560">
        <v>77.569999999999993</v>
      </c>
      <c r="D560">
        <v>79.92</v>
      </c>
      <c r="E560">
        <v>76.37</v>
      </c>
      <c r="F560" t="s">
        <v>541</v>
      </c>
      <c r="G560" s="2">
        <v>-1.95E-2</v>
      </c>
      <c r="H560">
        <f t="shared" si="16"/>
        <v>-1.9499679281590711E-2</v>
      </c>
      <c r="I560">
        <f t="shared" si="17"/>
        <v>-1.9692306248992729E-2</v>
      </c>
    </row>
    <row r="561" spans="1:9" x14ac:dyDescent="0.75">
      <c r="A561" s="1">
        <v>44889</v>
      </c>
      <c r="B561">
        <v>77.95</v>
      </c>
      <c r="C561">
        <v>77.53</v>
      </c>
      <c r="D561">
        <v>78.19</v>
      </c>
      <c r="E561">
        <v>76.92</v>
      </c>
      <c r="G561" s="2">
        <v>-1.5E-3</v>
      </c>
      <c r="H561">
        <f t="shared" si="16"/>
        <v>-1.5370821058023614E-3</v>
      </c>
      <c r="I561">
        <f t="shared" si="17"/>
        <v>-1.5382646284139508E-3</v>
      </c>
    </row>
    <row r="562" spans="1:9" x14ac:dyDescent="0.75">
      <c r="A562" s="1">
        <v>44888</v>
      </c>
      <c r="B562">
        <v>78.069999999999993</v>
      </c>
      <c r="C562">
        <v>80.86</v>
      </c>
      <c r="D562">
        <v>81.7</v>
      </c>
      <c r="E562">
        <v>76.95</v>
      </c>
      <c r="F562" t="s">
        <v>542</v>
      </c>
      <c r="G562" s="2">
        <v>-3.2899999999999999E-2</v>
      </c>
      <c r="H562">
        <f t="shared" si="16"/>
        <v>-3.2949337297163518E-2</v>
      </c>
      <c r="I562">
        <f t="shared" si="17"/>
        <v>-3.3504393274724723E-2</v>
      </c>
    </row>
    <row r="563" spans="1:9" x14ac:dyDescent="0.75">
      <c r="A563" s="1">
        <v>44887</v>
      </c>
      <c r="B563">
        <v>80.73</v>
      </c>
      <c r="C563">
        <v>80.14</v>
      </c>
      <c r="D563">
        <v>82.03</v>
      </c>
      <c r="E563">
        <v>79.739999999999995</v>
      </c>
      <c r="F563" t="s">
        <v>543</v>
      </c>
      <c r="G563" s="2">
        <v>8.6E-3</v>
      </c>
      <c r="H563">
        <f t="shared" si="16"/>
        <v>8.6206896551723842E-3</v>
      </c>
      <c r="I563">
        <f t="shared" si="17"/>
        <v>8.583743691391435E-3</v>
      </c>
    </row>
    <row r="564" spans="1:9" x14ac:dyDescent="0.75">
      <c r="A564" s="1">
        <v>44886</v>
      </c>
      <c r="B564">
        <v>80.040000000000006</v>
      </c>
      <c r="C564">
        <v>80.260000000000005</v>
      </c>
      <c r="D564">
        <v>80.5</v>
      </c>
      <c r="E564">
        <v>75.27</v>
      </c>
      <c r="F564" t="s">
        <v>544</v>
      </c>
      <c r="G564" s="2">
        <v>-8.9999999999999998E-4</v>
      </c>
      <c r="H564">
        <f t="shared" si="16"/>
        <v>-8.7379852702525499E-4</v>
      </c>
      <c r="I564">
        <f t="shared" si="17"/>
        <v>-8.741805114927298E-4</v>
      </c>
    </row>
    <row r="565" spans="1:9" x14ac:dyDescent="0.75">
      <c r="A565" s="1">
        <v>44883</v>
      </c>
      <c r="B565">
        <v>80.11</v>
      </c>
      <c r="C565">
        <v>81.86</v>
      </c>
      <c r="D565">
        <v>82.43</v>
      </c>
      <c r="E565">
        <v>77.59</v>
      </c>
      <c r="F565" t="s">
        <v>545</v>
      </c>
      <c r="G565" s="2">
        <v>-1.5800000000000002E-2</v>
      </c>
      <c r="H565">
        <f t="shared" si="16"/>
        <v>-1.5847665847665924E-2</v>
      </c>
      <c r="I565">
        <f t="shared" si="17"/>
        <v>-1.5974582781469279E-2</v>
      </c>
    </row>
    <row r="566" spans="1:9" x14ac:dyDescent="0.75">
      <c r="A566" s="1">
        <v>44882</v>
      </c>
      <c r="B566">
        <v>81.400000000000006</v>
      </c>
      <c r="C566">
        <v>84.98</v>
      </c>
      <c r="D566">
        <v>84.98</v>
      </c>
      <c r="E566">
        <v>81.19</v>
      </c>
      <c r="F566" t="s">
        <v>546</v>
      </c>
      <c r="G566" s="2">
        <v>-4.24E-2</v>
      </c>
      <c r="H566">
        <f t="shared" si="16"/>
        <v>-4.2352941176470524E-2</v>
      </c>
      <c r="I566">
        <f t="shared" si="17"/>
        <v>-4.3275983481821732E-2</v>
      </c>
    </row>
    <row r="567" spans="1:9" x14ac:dyDescent="0.75">
      <c r="A567" s="1">
        <v>44881</v>
      </c>
      <c r="B567">
        <v>85</v>
      </c>
      <c r="C567">
        <v>86.23</v>
      </c>
      <c r="D567">
        <v>86.9</v>
      </c>
      <c r="E567">
        <v>83.67</v>
      </c>
      <c r="F567" t="s">
        <v>547</v>
      </c>
      <c r="G567" s="2">
        <v>-1.4500000000000001E-2</v>
      </c>
      <c r="H567">
        <f t="shared" si="16"/>
        <v>-1.4492753623188406E-2</v>
      </c>
      <c r="I567">
        <f t="shared" si="17"/>
        <v>-1.4598799421152636E-2</v>
      </c>
    </row>
    <row r="568" spans="1:9" x14ac:dyDescent="0.75">
      <c r="A568" s="1">
        <v>44880</v>
      </c>
      <c r="B568">
        <v>86.25</v>
      </c>
      <c r="C568">
        <v>84.62</v>
      </c>
      <c r="D568">
        <v>88.05</v>
      </c>
      <c r="E568">
        <v>83.54</v>
      </c>
      <c r="F568" t="s">
        <v>548</v>
      </c>
      <c r="G568" s="2">
        <v>1.2800000000000001E-2</v>
      </c>
      <c r="H568">
        <f t="shared" si="16"/>
        <v>1.279943635509633E-2</v>
      </c>
      <c r="I568">
        <f t="shared" si="17"/>
        <v>1.2718215886190411E-2</v>
      </c>
    </row>
    <row r="569" spans="1:9" x14ac:dyDescent="0.75">
      <c r="A569" s="1">
        <v>44879</v>
      </c>
      <c r="B569">
        <v>85.16</v>
      </c>
      <c r="C569">
        <v>88.24</v>
      </c>
      <c r="D569">
        <v>89.03</v>
      </c>
      <c r="E569">
        <v>84.51</v>
      </c>
      <c r="F569" t="s">
        <v>549</v>
      </c>
      <c r="G569" s="2">
        <v>-3.4000000000000002E-2</v>
      </c>
      <c r="H569">
        <f t="shared" si="16"/>
        <v>-3.402903811252269E-2</v>
      </c>
      <c r="I569">
        <f t="shared" si="17"/>
        <v>-3.4621505379325616E-2</v>
      </c>
    </row>
    <row r="570" spans="1:9" x14ac:dyDescent="0.75">
      <c r="A570" s="1">
        <v>44876</v>
      </c>
      <c r="B570">
        <v>88.16</v>
      </c>
      <c r="C570">
        <v>85.4</v>
      </c>
      <c r="D570">
        <v>89.2</v>
      </c>
      <c r="E570">
        <v>85.36</v>
      </c>
      <c r="F570" t="s">
        <v>550</v>
      </c>
      <c r="G570" s="2">
        <v>2.92E-2</v>
      </c>
      <c r="H570">
        <f t="shared" si="16"/>
        <v>2.9185150595377074E-2</v>
      </c>
      <c r="I570">
        <f t="shared" si="17"/>
        <v>2.876737321737944E-2</v>
      </c>
    </row>
    <row r="571" spans="1:9" x14ac:dyDescent="0.75">
      <c r="A571" s="1">
        <v>44875</v>
      </c>
      <c r="B571">
        <v>85.66</v>
      </c>
      <c r="C571">
        <v>84.96</v>
      </c>
      <c r="D571">
        <v>86.49</v>
      </c>
      <c r="E571">
        <v>83.9</v>
      </c>
      <c r="F571" t="s">
        <v>551</v>
      </c>
      <c r="G571" s="2">
        <v>7.7999999999999996E-3</v>
      </c>
      <c r="H571">
        <f t="shared" si="16"/>
        <v>7.764705882352901E-3</v>
      </c>
      <c r="I571">
        <f t="shared" si="17"/>
        <v>7.7347156969084195E-3</v>
      </c>
    </row>
    <row r="572" spans="1:9" x14ac:dyDescent="0.75">
      <c r="A572" s="1">
        <v>44874</v>
      </c>
      <c r="B572">
        <v>85</v>
      </c>
      <c r="C572">
        <v>87.73</v>
      </c>
      <c r="D572">
        <v>88.26</v>
      </c>
      <c r="E572">
        <v>84.69</v>
      </c>
      <c r="F572" t="s">
        <v>176</v>
      </c>
      <c r="G572" s="2">
        <v>-3.4099999999999998E-2</v>
      </c>
      <c r="H572">
        <f t="shared" si="16"/>
        <v>-3.4090909090909088E-2</v>
      </c>
      <c r="I572">
        <f t="shared" si="17"/>
        <v>-3.4685557987889984E-2</v>
      </c>
    </row>
    <row r="573" spans="1:9" x14ac:dyDescent="0.75">
      <c r="A573" s="1">
        <v>44873</v>
      </c>
      <c r="B573">
        <v>88</v>
      </c>
      <c r="C573">
        <v>90.82</v>
      </c>
      <c r="D573">
        <v>91.1</v>
      </c>
      <c r="E573">
        <v>87.63</v>
      </c>
      <c r="F573" t="s">
        <v>552</v>
      </c>
      <c r="G573" s="2">
        <v>-3.0099999999999998E-2</v>
      </c>
      <c r="H573">
        <f t="shared" si="16"/>
        <v>-3.008927587347078E-2</v>
      </c>
      <c r="I573">
        <f t="shared" si="17"/>
        <v>-3.0551248703331108E-2</v>
      </c>
    </row>
    <row r="574" spans="1:9" x14ac:dyDescent="0.75">
      <c r="A574" s="1">
        <v>44872</v>
      </c>
      <c r="B574">
        <v>90.73</v>
      </c>
      <c r="C574">
        <v>90.5</v>
      </c>
      <c r="D574">
        <v>92.53</v>
      </c>
      <c r="E574">
        <v>89.31</v>
      </c>
      <c r="F574" t="s">
        <v>553</v>
      </c>
      <c r="G574" s="2">
        <v>-7.9000000000000008E-3</v>
      </c>
      <c r="H574">
        <f t="shared" si="16"/>
        <v>-7.8731547293602929E-3</v>
      </c>
      <c r="I574">
        <f t="shared" si="17"/>
        <v>-7.9043116553371897E-3</v>
      </c>
    </row>
    <row r="575" spans="1:9" x14ac:dyDescent="0.75">
      <c r="A575" s="1">
        <v>44869</v>
      </c>
      <c r="B575">
        <v>91.45</v>
      </c>
      <c r="C575">
        <v>86.92</v>
      </c>
      <c r="D575">
        <v>91.67</v>
      </c>
      <c r="E575">
        <v>86.84</v>
      </c>
      <c r="F575" t="s">
        <v>554</v>
      </c>
      <c r="G575" s="2">
        <v>4.9000000000000002E-2</v>
      </c>
      <c r="H575">
        <f t="shared" si="16"/>
        <v>4.8979123652213762E-2</v>
      </c>
      <c r="I575">
        <f t="shared" si="17"/>
        <v>4.7817428026628049E-2</v>
      </c>
    </row>
    <row r="576" spans="1:9" x14ac:dyDescent="0.75">
      <c r="A576" s="1">
        <v>44868</v>
      </c>
      <c r="B576">
        <v>87.18</v>
      </c>
      <c r="C576">
        <v>88.32</v>
      </c>
      <c r="D576">
        <v>88.53</v>
      </c>
      <c r="E576">
        <v>86.55</v>
      </c>
      <c r="F576" t="s">
        <v>555</v>
      </c>
      <c r="G576" s="2">
        <v>-1.89E-2</v>
      </c>
      <c r="H576">
        <f t="shared" si="16"/>
        <v>-1.890614449696143E-2</v>
      </c>
      <c r="I576">
        <f t="shared" si="17"/>
        <v>-1.9087150697515737E-2</v>
      </c>
    </row>
    <row r="577" spans="1:9" x14ac:dyDescent="0.75">
      <c r="A577" s="1">
        <v>44867</v>
      </c>
      <c r="B577">
        <v>88.86</v>
      </c>
      <c r="C577">
        <v>87.42</v>
      </c>
      <c r="D577">
        <v>89.14</v>
      </c>
      <c r="E577">
        <v>86.6</v>
      </c>
      <c r="F577" t="s">
        <v>556</v>
      </c>
      <c r="G577" s="2">
        <v>1.9199999999999998E-2</v>
      </c>
      <c r="H577">
        <f t="shared" si="16"/>
        <v>1.9153572657414863E-2</v>
      </c>
      <c r="I577">
        <f t="shared" si="17"/>
        <v>1.8972452068038711E-2</v>
      </c>
    </row>
    <row r="578" spans="1:9" x14ac:dyDescent="0.75">
      <c r="A578" s="1">
        <v>44866</v>
      </c>
      <c r="B578">
        <v>87.19</v>
      </c>
      <c r="C578">
        <v>85.2</v>
      </c>
      <c r="D578">
        <v>88.27</v>
      </c>
      <c r="E578">
        <v>84.85</v>
      </c>
      <c r="F578" t="s">
        <v>557</v>
      </c>
      <c r="G578" s="2">
        <v>2.1000000000000001E-2</v>
      </c>
      <c r="H578">
        <f t="shared" si="16"/>
        <v>2.0960187353629881E-2</v>
      </c>
      <c r="I578">
        <f t="shared" si="17"/>
        <v>2.074354464519932E-2</v>
      </c>
    </row>
    <row r="579" spans="1:9" x14ac:dyDescent="0.75">
      <c r="A579" s="1">
        <v>44865</v>
      </c>
      <c r="B579">
        <v>85.4</v>
      </c>
      <c r="C579">
        <v>87.06</v>
      </c>
      <c r="D579">
        <v>87.36</v>
      </c>
      <c r="E579">
        <v>84.16</v>
      </c>
      <c r="F579" t="s">
        <v>558</v>
      </c>
      <c r="G579" s="2">
        <v>-1.4E-2</v>
      </c>
      <c r="H579">
        <f t="shared" ref="H579:H642" si="18">(B579-B580)/B580</f>
        <v>-1.3970673132432672E-2</v>
      </c>
      <c r="I579">
        <f t="shared" ref="I579:I642" si="19">LN(B579/B580)</f>
        <v>-1.4069181548429214E-2</v>
      </c>
    </row>
    <row r="580" spans="1:9" x14ac:dyDescent="0.75">
      <c r="A580" s="1">
        <v>44862</v>
      </c>
      <c r="B580">
        <v>86.61</v>
      </c>
      <c r="C580">
        <v>87.41</v>
      </c>
      <c r="D580">
        <v>87.51</v>
      </c>
      <c r="E580">
        <v>85.86</v>
      </c>
      <c r="F580" t="s">
        <v>559</v>
      </c>
      <c r="G580" s="2">
        <v>-1.3899999999999999E-2</v>
      </c>
      <c r="H580">
        <f t="shared" si="18"/>
        <v>-1.3890470226574051E-2</v>
      </c>
      <c r="I580">
        <f t="shared" si="19"/>
        <v>-1.3987845586072628E-2</v>
      </c>
    </row>
    <row r="581" spans="1:9" x14ac:dyDescent="0.75">
      <c r="A581" s="1">
        <v>44861</v>
      </c>
      <c r="B581">
        <v>87.83</v>
      </c>
      <c r="C581">
        <v>87.06</v>
      </c>
      <c r="D581">
        <v>88.45</v>
      </c>
      <c r="E581">
        <v>86.12</v>
      </c>
      <c r="F581" t="s">
        <v>560</v>
      </c>
      <c r="G581" s="2">
        <v>1.3299999999999999E-2</v>
      </c>
      <c r="H581">
        <f t="shared" si="18"/>
        <v>1.326718966312865E-2</v>
      </c>
      <c r="I581">
        <f t="shared" si="19"/>
        <v>1.3179951260867654E-2</v>
      </c>
    </row>
    <row r="582" spans="1:9" x14ac:dyDescent="0.75">
      <c r="A582" s="1">
        <v>44860</v>
      </c>
      <c r="B582">
        <v>86.68</v>
      </c>
      <c r="C582">
        <v>84.03</v>
      </c>
      <c r="D582">
        <v>87.17</v>
      </c>
      <c r="E582">
        <v>83.17</v>
      </c>
      <c r="F582" t="s">
        <v>561</v>
      </c>
      <c r="G582" s="2">
        <v>2.81E-2</v>
      </c>
      <c r="H582">
        <f t="shared" si="18"/>
        <v>2.811054441940463E-2</v>
      </c>
      <c r="I582">
        <f t="shared" si="19"/>
        <v>2.7722694733573968E-2</v>
      </c>
    </row>
    <row r="583" spans="1:9" x14ac:dyDescent="0.75">
      <c r="A583" s="1">
        <v>44859</v>
      </c>
      <c r="B583">
        <v>84.31</v>
      </c>
      <c r="C583">
        <v>83.93</v>
      </c>
      <c r="D583">
        <v>85</v>
      </c>
      <c r="E583">
        <v>82.14</v>
      </c>
      <c r="F583" t="s">
        <v>562</v>
      </c>
      <c r="G583" s="2">
        <v>8.6E-3</v>
      </c>
      <c r="H583">
        <f t="shared" si="18"/>
        <v>8.6134705108266395E-3</v>
      </c>
      <c r="I583">
        <f t="shared" si="19"/>
        <v>8.5765862235195976E-3</v>
      </c>
    </row>
    <row r="584" spans="1:9" x14ac:dyDescent="0.75">
      <c r="A584" s="1">
        <v>44858</v>
      </c>
      <c r="B584">
        <v>83.59</v>
      </c>
      <c r="C584">
        <v>84.05</v>
      </c>
      <c r="D584">
        <v>84.8</v>
      </c>
      <c r="E584">
        <v>81.61</v>
      </c>
      <c r="F584" t="s">
        <v>563</v>
      </c>
      <c r="G584" s="2">
        <v>-4.3E-3</v>
      </c>
      <c r="H584">
        <f t="shared" si="18"/>
        <v>-4.2882668254913573E-3</v>
      </c>
      <c r="I584">
        <f t="shared" si="19"/>
        <v>-4.2974878124850341E-3</v>
      </c>
    </row>
    <row r="585" spans="1:9" x14ac:dyDescent="0.75">
      <c r="A585" s="1">
        <v>44855</v>
      </c>
      <c r="B585">
        <v>83.95</v>
      </c>
      <c r="C585">
        <v>83.78</v>
      </c>
      <c r="D585">
        <v>84.64</v>
      </c>
      <c r="E585">
        <v>82.05</v>
      </c>
      <c r="F585" t="s">
        <v>564</v>
      </c>
      <c r="G585" s="2">
        <v>-6.6E-3</v>
      </c>
      <c r="H585">
        <f t="shared" si="18"/>
        <v>-6.6264347414507424E-3</v>
      </c>
      <c r="I585">
        <f t="shared" si="19"/>
        <v>-6.6484870328411289E-3</v>
      </c>
    </row>
    <row r="586" spans="1:9" x14ac:dyDescent="0.75">
      <c r="A586" s="1">
        <v>44854</v>
      </c>
      <c r="B586">
        <v>84.51</v>
      </c>
      <c r="C586">
        <v>84.91</v>
      </c>
      <c r="D586">
        <v>87.14</v>
      </c>
      <c r="E586">
        <v>84.16</v>
      </c>
      <c r="F586" t="s">
        <v>565</v>
      </c>
      <c r="G586" s="2">
        <v>-1E-4</v>
      </c>
      <c r="H586">
        <f t="shared" si="18"/>
        <v>-1.1831519167050291E-4</v>
      </c>
      <c r="I586">
        <f t="shared" si="19"/>
        <v>-1.1832219146490956E-4</v>
      </c>
    </row>
    <row r="587" spans="1:9" x14ac:dyDescent="0.75">
      <c r="A587" s="1">
        <v>44853</v>
      </c>
      <c r="B587">
        <v>84.52</v>
      </c>
      <c r="C587">
        <v>82.91</v>
      </c>
      <c r="D587">
        <v>85.02</v>
      </c>
      <c r="E587">
        <v>81.72</v>
      </c>
      <c r="F587" t="s">
        <v>566</v>
      </c>
      <c r="G587" s="2">
        <v>2.9899999999999999E-2</v>
      </c>
      <c r="H587">
        <f t="shared" si="18"/>
        <v>2.9852564883635958E-2</v>
      </c>
      <c r="I587">
        <f t="shared" si="19"/>
        <v>2.9415651106235605E-2</v>
      </c>
    </row>
    <row r="588" spans="1:9" x14ac:dyDescent="0.75">
      <c r="A588" s="1">
        <v>44852</v>
      </c>
      <c r="B588">
        <v>82.07</v>
      </c>
      <c r="C588">
        <v>84.8</v>
      </c>
      <c r="D588">
        <v>85.53</v>
      </c>
      <c r="E588">
        <v>81.3</v>
      </c>
      <c r="F588" t="s">
        <v>567</v>
      </c>
      <c r="G588" s="2">
        <v>-2.9100000000000001E-2</v>
      </c>
      <c r="H588">
        <f t="shared" si="18"/>
        <v>-2.9102093931148799E-2</v>
      </c>
      <c r="I588">
        <f t="shared" si="19"/>
        <v>-2.9533959299216136E-2</v>
      </c>
    </row>
    <row r="589" spans="1:9" x14ac:dyDescent="0.75">
      <c r="A589" s="1">
        <v>44851</v>
      </c>
      <c r="B589">
        <v>84.53</v>
      </c>
      <c r="C589">
        <v>84.63</v>
      </c>
      <c r="D589">
        <v>86.18</v>
      </c>
      <c r="E589">
        <v>83.7</v>
      </c>
      <c r="F589" t="s">
        <v>568</v>
      </c>
      <c r="G589" s="2">
        <v>-1.4E-3</v>
      </c>
      <c r="H589">
        <f t="shared" si="18"/>
        <v>-1.4176018901359071E-3</v>
      </c>
      <c r="I589">
        <f t="shared" si="19"/>
        <v>-1.4186076383081248E-3</v>
      </c>
    </row>
    <row r="590" spans="1:9" x14ac:dyDescent="0.75">
      <c r="A590" s="1">
        <v>44848</v>
      </c>
      <c r="B590">
        <v>84.65</v>
      </c>
      <c r="C590">
        <v>88.15</v>
      </c>
      <c r="D590">
        <v>88.52</v>
      </c>
      <c r="E590">
        <v>84.22</v>
      </c>
      <c r="F590" t="s">
        <v>569</v>
      </c>
      <c r="G590" s="2">
        <v>-3.7499999999999999E-2</v>
      </c>
      <c r="H590">
        <f t="shared" si="18"/>
        <v>-3.7521318931210884E-2</v>
      </c>
      <c r="I590">
        <f t="shared" si="19"/>
        <v>-3.8243362604422848E-2</v>
      </c>
    </row>
    <row r="591" spans="1:9" x14ac:dyDescent="0.75">
      <c r="A591" s="1">
        <v>44847</v>
      </c>
      <c r="B591">
        <v>87.95</v>
      </c>
      <c r="C591">
        <v>86.01</v>
      </c>
      <c r="D591">
        <v>88.38</v>
      </c>
      <c r="E591">
        <v>84.43</v>
      </c>
      <c r="F591" t="s">
        <v>570</v>
      </c>
      <c r="G591" s="2">
        <v>2.1999999999999999E-2</v>
      </c>
      <c r="H591">
        <f t="shared" si="18"/>
        <v>2.1961422263537072E-2</v>
      </c>
      <c r="I591">
        <f t="shared" si="19"/>
        <v>2.1723743773113674E-2</v>
      </c>
    </row>
    <row r="592" spans="1:9" x14ac:dyDescent="0.75">
      <c r="A592" s="1">
        <v>44846</v>
      </c>
      <c r="B592">
        <v>86.06</v>
      </c>
      <c r="C592">
        <v>87.25</v>
      </c>
      <c r="D592">
        <v>88.66</v>
      </c>
      <c r="E592">
        <v>85.05</v>
      </c>
      <c r="F592" t="s">
        <v>571</v>
      </c>
      <c r="G592" s="2">
        <v>-2.1700000000000001E-2</v>
      </c>
      <c r="H592">
        <f t="shared" si="18"/>
        <v>-2.1711947254745897E-2</v>
      </c>
      <c r="I592">
        <f t="shared" si="19"/>
        <v>-2.195111985412955E-2</v>
      </c>
    </row>
    <row r="593" spans="1:9" x14ac:dyDescent="0.75">
      <c r="A593" s="1">
        <v>44845</v>
      </c>
      <c r="B593">
        <v>87.97</v>
      </c>
      <c r="C593">
        <v>89.75</v>
      </c>
      <c r="D593">
        <v>90.15</v>
      </c>
      <c r="E593">
        <v>86.59</v>
      </c>
      <c r="F593" t="s">
        <v>572</v>
      </c>
      <c r="G593" s="2">
        <v>-2.0799999999999999E-2</v>
      </c>
      <c r="H593">
        <f t="shared" si="18"/>
        <v>-2.0814781834372267E-2</v>
      </c>
      <c r="I593">
        <f t="shared" si="19"/>
        <v>-2.1034463165604599E-2</v>
      </c>
    </row>
    <row r="594" spans="1:9" x14ac:dyDescent="0.75">
      <c r="A594" s="1">
        <v>44844</v>
      </c>
      <c r="B594">
        <v>89.84</v>
      </c>
      <c r="C594">
        <v>92.23</v>
      </c>
      <c r="D594">
        <v>92.34</v>
      </c>
      <c r="E594">
        <v>89.29</v>
      </c>
      <c r="F594" t="s">
        <v>573</v>
      </c>
      <c r="G594" s="2">
        <v>-1.6500000000000001E-2</v>
      </c>
      <c r="H594">
        <f t="shared" si="18"/>
        <v>-1.6529830322933672E-2</v>
      </c>
      <c r="I594">
        <f t="shared" si="19"/>
        <v>-1.6667972393827855E-2</v>
      </c>
    </row>
    <row r="595" spans="1:9" x14ac:dyDescent="0.75">
      <c r="A595" s="1">
        <v>44841</v>
      </c>
      <c r="B595">
        <v>91.35</v>
      </c>
      <c r="C595">
        <v>88.12</v>
      </c>
      <c r="D595">
        <v>92</v>
      </c>
      <c r="E595">
        <v>87.15</v>
      </c>
      <c r="F595" t="s">
        <v>574</v>
      </c>
      <c r="G595" s="2">
        <v>4.2900000000000001E-2</v>
      </c>
      <c r="H595">
        <f t="shared" si="18"/>
        <v>4.2927274803059606E-2</v>
      </c>
      <c r="I595">
        <f t="shared" si="19"/>
        <v>4.2031446649017985E-2</v>
      </c>
    </row>
    <row r="596" spans="1:9" x14ac:dyDescent="0.75">
      <c r="A596" s="1">
        <v>44840</v>
      </c>
      <c r="B596">
        <v>87.59</v>
      </c>
      <c r="C596">
        <v>87.12</v>
      </c>
      <c r="D596">
        <v>88.2</v>
      </c>
      <c r="E596">
        <v>86.15</v>
      </c>
      <c r="F596" t="s">
        <v>575</v>
      </c>
      <c r="G596" s="2">
        <v>8.6E-3</v>
      </c>
      <c r="H596">
        <f t="shared" si="18"/>
        <v>8.636573007830493E-3</v>
      </c>
      <c r="I596">
        <f t="shared" si="19"/>
        <v>8.5994911649064087E-3</v>
      </c>
    </row>
    <row r="597" spans="1:9" x14ac:dyDescent="0.75">
      <c r="A597" s="1">
        <v>44839</v>
      </c>
      <c r="B597">
        <v>86.84</v>
      </c>
      <c r="C597">
        <v>85.3</v>
      </c>
      <c r="D597">
        <v>87.42</v>
      </c>
      <c r="E597">
        <v>84.53</v>
      </c>
      <c r="F597" t="s">
        <v>576</v>
      </c>
      <c r="G597" s="2">
        <v>1.5699999999999999E-2</v>
      </c>
      <c r="H597">
        <f t="shared" si="18"/>
        <v>1.5672514619883081E-2</v>
      </c>
      <c r="I597">
        <f t="shared" si="19"/>
        <v>1.555096906737658E-2</v>
      </c>
    </row>
    <row r="598" spans="1:9" x14ac:dyDescent="0.75">
      <c r="A598" s="1">
        <v>44838</v>
      </c>
      <c r="B598">
        <v>85.5</v>
      </c>
      <c r="C598">
        <v>82.57</v>
      </c>
      <c r="D598">
        <v>85.98</v>
      </c>
      <c r="E598">
        <v>82.33</v>
      </c>
      <c r="F598" t="s">
        <v>577</v>
      </c>
      <c r="G598" s="2">
        <v>3.39E-2</v>
      </c>
      <c r="H598">
        <f t="shared" si="18"/>
        <v>3.3857315598548939E-2</v>
      </c>
      <c r="I598">
        <f t="shared" si="19"/>
        <v>3.329677391306881E-2</v>
      </c>
    </row>
    <row r="599" spans="1:9" x14ac:dyDescent="0.75">
      <c r="A599" s="1">
        <v>44837</v>
      </c>
      <c r="B599">
        <v>82.7</v>
      </c>
      <c r="C599">
        <v>80.290000000000006</v>
      </c>
      <c r="D599">
        <v>83.61</v>
      </c>
      <c r="E599">
        <v>80.19</v>
      </c>
      <c r="F599" t="s">
        <v>578</v>
      </c>
      <c r="G599" s="2">
        <v>5.0599999999999999E-2</v>
      </c>
      <c r="H599">
        <f t="shared" si="18"/>
        <v>5.0558943089430944E-2</v>
      </c>
      <c r="I599">
        <f t="shared" si="19"/>
        <v>4.9322349285647625E-2</v>
      </c>
    </row>
    <row r="600" spans="1:9" x14ac:dyDescent="0.75">
      <c r="A600" s="1">
        <v>44834</v>
      </c>
      <c r="B600">
        <v>78.72</v>
      </c>
      <c r="C600">
        <v>80.86</v>
      </c>
      <c r="D600">
        <v>81.72</v>
      </c>
      <c r="E600">
        <v>78.36</v>
      </c>
      <c r="F600" t="s">
        <v>579</v>
      </c>
      <c r="G600" s="2">
        <v>-2.1100000000000001E-2</v>
      </c>
      <c r="H600">
        <f t="shared" si="18"/>
        <v>-2.1139020144242762E-2</v>
      </c>
      <c r="I600">
        <f t="shared" si="19"/>
        <v>-2.1365648725129992E-2</v>
      </c>
    </row>
    <row r="601" spans="1:9" x14ac:dyDescent="0.75">
      <c r="A601" s="1">
        <v>44833</v>
      </c>
      <c r="B601">
        <v>80.42</v>
      </c>
      <c r="C601">
        <v>81</v>
      </c>
      <c r="D601">
        <v>81.99</v>
      </c>
      <c r="E601">
        <v>79.45</v>
      </c>
      <c r="F601" t="s">
        <v>580</v>
      </c>
      <c r="G601" s="2">
        <v>-1.01E-2</v>
      </c>
      <c r="H601">
        <f t="shared" si="18"/>
        <v>-1.0093549975381502E-2</v>
      </c>
      <c r="I601">
        <f t="shared" si="19"/>
        <v>-1.0144835243055863E-2</v>
      </c>
    </row>
    <row r="602" spans="1:9" x14ac:dyDescent="0.75">
      <c r="A602" s="1">
        <v>44832</v>
      </c>
      <c r="B602">
        <v>81.239999999999995</v>
      </c>
      <c r="C602">
        <v>77.38</v>
      </c>
      <c r="D602">
        <v>81.400000000000006</v>
      </c>
      <c r="E602">
        <v>75.84</v>
      </c>
      <c r="F602" t="s">
        <v>581</v>
      </c>
      <c r="G602" s="2">
        <v>4.41E-2</v>
      </c>
      <c r="H602">
        <f t="shared" si="18"/>
        <v>4.4081737565865475E-2</v>
      </c>
      <c r="I602">
        <f t="shared" si="19"/>
        <v>4.3137779083345131E-2</v>
      </c>
    </row>
    <row r="603" spans="1:9" x14ac:dyDescent="0.75">
      <c r="A603" s="1">
        <v>44831</v>
      </c>
      <c r="B603">
        <v>77.81</v>
      </c>
      <c r="C603">
        <v>75.900000000000006</v>
      </c>
      <c r="D603">
        <v>78.92</v>
      </c>
      <c r="E603">
        <v>75.88</v>
      </c>
      <c r="F603" t="s">
        <v>582</v>
      </c>
      <c r="G603" s="2">
        <v>2.1399999999999999E-2</v>
      </c>
      <c r="H603">
        <f t="shared" si="18"/>
        <v>2.1396692045156148E-2</v>
      </c>
      <c r="I603">
        <f t="shared" si="19"/>
        <v>2.1170996578380615E-2</v>
      </c>
    </row>
    <row r="604" spans="1:9" x14ac:dyDescent="0.75">
      <c r="A604" s="1">
        <v>44830</v>
      </c>
      <c r="B604">
        <v>76.180000000000007</v>
      </c>
      <c r="C604">
        <v>78.75</v>
      </c>
      <c r="D604">
        <v>79.760000000000005</v>
      </c>
      <c r="E604">
        <v>75.7</v>
      </c>
      <c r="F604" t="s">
        <v>583</v>
      </c>
      <c r="G604" s="2">
        <v>-2.6499999999999999E-2</v>
      </c>
      <c r="H604">
        <f t="shared" si="18"/>
        <v>-2.6453674121405663E-2</v>
      </c>
      <c r="I604">
        <f t="shared" si="19"/>
        <v>-2.6809868369804507E-2</v>
      </c>
    </row>
    <row r="605" spans="1:9" x14ac:dyDescent="0.75">
      <c r="A605" s="1">
        <v>44827</v>
      </c>
      <c r="B605">
        <v>78.25</v>
      </c>
      <c r="C605">
        <v>83.15</v>
      </c>
      <c r="D605">
        <v>83.45</v>
      </c>
      <c r="E605">
        <v>77.64</v>
      </c>
      <c r="F605" t="s">
        <v>584</v>
      </c>
      <c r="G605" s="2">
        <v>-5.7599999999999998E-2</v>
      </c>
      <c r="H605">
        <f t="shared" si="18"/>
        <v>-5.7569553173551738E-2</v>
      </c>
      <c r="I605">
        <f t="shared" si="19"/>
        <v>-5.9293158853676642E-2</v>
      </c>
    </row>
    <row r="606" spans="1:9" x14ac:dyDescent="0.75">
      <c r="A606" s="1">
        <v>44826</v>
      </c>
      <c r="B606">
        <v>83.03</v>
      </c>
      <c r="C606">
        <v>82.54</v>
      </c>
      <c r="D606">
        <v>85.44</v>
      </c>
      <c r="E606">
        <v>81.89</v>
      </c>
      <c r="F606" t="s">
        <v>585</v>
      </c>
      <c r="G606" s="2">
        <v>7.3000000000000001E-3</v>
      </c>
      <c r="H606">
        <f t="shared" si="18"/>
        <v>7.2789033119009371E-3</v>
      </c>
      <c r="I606">
        <f t="shared" si="19"/>
        <v>7.2525399488030393E-3</v>
      </c>
    </row>
    <row r="607" spans="1:9" x14ac:dyDescent="0.75">
      <c r="A607" s="1">
        <v>44825</v>
      </c>
      <c r="B607">
        <v>82.43</v>
      </c>
      <c r="C607">
        <v>83.6</v>
      </c>
      <c r="D607">
        <v>85.99</v>
      </c>
      <c r="E607">
        <v>82</v>
      </c>
      <c r="F607" t="s">
        <v>586</v>
      </c>
      <c r="G607" s="2">
        <v>-1.7999999999999999E-2</v>
      </c>
      <c r="H607">
        <f t="shared" si="18"/>
        <v>-1.7989039790326317E-2</v>
      </c>
      <c r="I607">
        <f t="shared" si="19"/>
        <v>-1.8152809580308522E-2</v>
      </c>
    </row>
    <row r="608" spans="1:9" x14ac:dyDescent="0.75">
      <c r="A608" s="1">
        <v>44824</v>
      </c>
      <c r="B608">
        <v>83.94</v>
      </c>
      <c r="C608">
        <v>85.02</v>
      </c>
      <c r="D608">
        <v>86.12</v>
      </c>
      <c r="E608">
        <v>83.01</v>
      </c>
      <c r="F608" t="s">
        <v>587</v>
      </c>
      <c r="G608" s="2">
        <v>-1.66E-2</v>
      </c>
      <c r="H608">
        <f t="shared" si="18"/>
        <v>-1.6635426429240881E-2</v>
      </c>
      <c r="I608">
        <f t="shared" si="19"/>
        <v>-1.6775349088053129E-2</v>
      </c>
    </row>
    <row r="609" spans="1:9" x14ac:dyDescent="0.75">
      <c r="A609" s="1">
        <v>44823</v>
      </c>
      <c r="B609">
        <v>85.36</v>
      </c>
      <c r="C609">
        <v>84.81</v>
      </c>
      <c r="D609">
        <v>85.88</v>
      </c>
      <c r="E609">
        <v>81.73</v>
      </c>
      <c r="F609" t="s">
        <v>588</v>
      </c>
      <c r="G609" s="2">
        <v>7.1000000000000004E-3</v>
      </c>
      <c r="H609">
        <f t="shared" si="18"/>
        <v>7.0788107597922877E-3</v>
      </c>
      <c r="I609">
        <f t="shared" si="19"/>
        <v>7.0538735933995816E-3</v>
      </c>
    </row>
    <row r="610" spans="1:9" x14ac:dyDescent="0.75">
      <c r="A610" s="1">
        <v>44820</v>
      </c>
      <c r="B610">
        <v>84.76</v>
      </c>
      <c r="C610">
        <v>84.66</v>
      </c>
      <c r="D610">
        <v>86.18</v>
      </c>
      <c r="E610">
        <v>83.86</v>
      </c>
      <c r="F610" t="s">
        <v>589</v>
      </c>
      <c r="G610" s="2">
        <v>1.2999999999999999E-3</v>
      </c>
      <c r="H610">
        <f t="shared" si="18"/>
        <v>1.2994683992911921E-3</v>
      </c>
      <c r="I610">
        <f t="shared" si="19"/>
        <v>1.2986248209540922E-3</v>
      </c>
    </row>
    <row r="611" spans="1:9" x14ac:dyDescent="0.75">
      <c r="A611" s="1">
        <v>44819</v>
      </c>
      <c r="B611">
        <v>84.65</v>
      </c>
      <c r="C611">
        <v>88.7</v>
      </c>
      <c r="D611">
        <v>88.7</v>
      </c>
      <c r="E611">
        <v>84.09</v>
      </c>
      <c r="F611" t="s">
        <v>590</v>
      </c>
      <c r="G611" s="2">
        <v>-3.8600000000000002E-2</v>
      </c>
      <c r="H611">
        <f t="shared" si="18"/>
        <v>-3.8614423622941416E-2</v>
      </c>
      <c r="I611">
        <f t="shared" si="19"/>
        <v>-3.9379726363070737E-2</v>
      </c>
    </row>
    <row r="612" spans="1:9" x14ac:dyDescent="0.75">
      <c r="A612" s="1">
        <v>44818</v>
      </c>
      <c r="B612">
        <v>88.05</v>
      </c>
      <c r="C612">
        <v>87.24</v>
      </c>
      <c r="D612">
        <v>89.63</v>
      </c>
      <c r="E612">
        <v>85.75</v>
      </c>
      <c r="F612" t="s">
        <v>591</v>
      </c>
      <c r="G612" s="2">
        <v>1.34E-2</v>
      </c>
      <c r="H612">
        <f t="shared" si="18"/>
        <v>1.3350212912878313E-2</v>
      </c>
      <c r="I612">
        <f t="shared" si="19"/>
        <v>1.3261884091100583E-2</v>
      </c>
    </row>
    <row r="613" spans="1:9" x14ac:dyDescent="0.75">
      <c r="A613" s="1">
        <v>44817</v>
      </c>
      <c r="B613">
        <v>86.89</v>
      </c>
      <c r="C613">
        <v>87.82</v>
      </c>
      <c r="D613">
        <v>88.9</v>
      </c>
      <c r="E613">
        <v>84.66</v>
      </c>
      <c r="F613" t="s">
        <v>592</v>
      </c>
      <c r="G613" s="2">
        <v>-5.8999999999999999E-3</v>
      </c>
      <c r="H613">
        <f t="shared" si="18"/>
        <v>-5.9489760896922093E-3</v>
      </c>
      <c r="I613">
        <f t="shared" si="19"/>
        <v>-5.9667417412819388E-3</v>
      </c>
    </row>
    <row r="614" spans="1:9" x14ac:dyDescent="0.75">
      <c r="A614" s="1">
        <v>44816</v>
      </c>
      <c r="B614">
        <v>87.41</v>
      </c>
      <c r="C614">
        <v>85.84</v>
      </c>
      <c r="D614">
        <v>88.64</v>
      </c>
      <c r="E614">
        <v>84.78</v>
      </c>
      <c r="F614" t="s">
        <v>593</v>
      </c>
      <c r="G614" s="2">
        <v>1.2200000000000001E-2</v>
      </c>
      <c r="H614">
        <f t="shared" si="18"/>
        <v>1.2158406669754483E-2</v>
      </c>
      <c r="I614">
        <f t="shared" si="19"/>
        <v>1.2085086945789877E-2</v>
      </c>
    </row>
    <row r="615" spans="1:9" x14ac:dyDescent="0.75">
      <c r="A615" s="1">
        <v>44813</v>
      </c>
      <c r="B615">
        <v>86.36</v>
      </c>
      <c r="C615">
        <v>82.3</v>
      </c>
      <c r="D615">
        <v>86.68</v>
      </c>
      <c r="E615">
        <v>82.23</v>
      </c>
      <c r="F615" t="s">
        <v>594</v>
      </c>
      <c r="G615" s="2">
        <v>3.9600000000000003E-2</v>
      </c>
      <c r="H615">
        <f t="shared" si="18"/>
        <v>3.96051522812087E-2</v>
      </c>
      <c r="I615">
        <f t="shared" si="19"/>
        <v>3.8840979795626458E-2</v>
      </c>
    </row>
    <row r="616" spans="1:9" x14ac:dyDescent="0.75">
      <c r="A616" s="1">
        <v>44812</v>
      </c>
      <c r="B616">
        <v>83.07</v>
      </c>
      <c r="C616">
        <v>81.569999999999993</v>
      </c>
      <c r="D616">
        <v>83.72</v>
      </c>
      <c r="E616">
        <v>80.89</v>
      </c>
      <c r="F616" t="s">
        <v>595</v>
      </c>
      <c r="G616" s="2">
        <v>1.7600000000000001E-2</v>
      </c>
      <c r="H616">
        <f t="shared" si="18"/>
        <v>1.7640573318632828E-2</v>
      </c>
      <c r="I616">
        <f t="shared" si="19"/>
        <v>1.7486784387715591E-2</v>
      </c>
    </row>
    <row r="617" spans="1:9" x14ac:dyDescent="0.75">
      <c r="A617" s="1">
        <v>44811</v>
      </c>
      <c r="B617">
        <v>81.63</v>
      </c>
      <c r="C617">
        <v>86.53</v>
      </c>
      <c r="D617">
        <v>87.33</v>
      </c>
      <c r="E617">
        <v>81.180000000000007</v>
      </c>
      <c r="F617" t="s">
        <v>596</v>
      </c>
      <c r="G617" s="2">
        <v>-5.6399999999999999E-2</v>
      </c>
      <c r="H617">
        <f t="shared" si="18"/>
        <v>-5.6409663622702687E-2</v>
      </c>
      <c r="I617">
        <f t="shared" si="19"/>
        <v>-5.8063172729018467E-2</v>
      </c>
    </row>
    <row r="618" spans="1:9" x14ac:dyDescent="0.75">
      <c r="A618" s="1">
        <v>44810</v>
      </c>
      <c r="B618">
        <v>86.51</v>
      </c>
      <c r="C618">
        <v>86.49</v>
      </c>
      <c r="D618">
        <v>89.99</v>
      </c>
      <c r="E618">
        <v>85.88</v>
      </c>
      <c r="F618" t="s">
        <v>597</v>
      </c>
      <c r="G618" s="2">
        <v>-2.75E-2</v>
      </c>
      <c r="H618">
        <f t="shared" si="18"/>
        <v>-2.7540467625899154E-2</v>
      </c>
      <c r="I618">
        <f t="shared" si="19"/>
        <v>-2.7926816309989153E-2</v>
      </c>
    </row>
    <row r="619" spans="1:9" x14ac:dyDescent="0.75">
      <c r="A619" s="1">
        <v>44809</v>
      </c>
      <c r="B619">
        <v>88.96</v>
      </c>
      <c r="C619">
        <v>88.27</v>
      </c>
      <c r="D619">
        <v>90.37</v>
      </c>
      <c r="E619">
        <v>87.98</v>
      </c>
      <c r="G619" s="2">
        <v>8.0000000000000002E-3</v>
      </c>
      <c r="H619">
        <f t="shared" si="18"/>
        <v>8.045325779036756E-3</v>
      </c>
      <c r="I619">
        <f t="shared" si="19"/>
        <v>8.0131346888659867E-3</v>
      </c>
    </row>
    <row r="620" spans="1:9" x14ac:dyDescent="0.75">
      <c r="A620" s="1">
        <v>44808</v>
      </c>
      <c r="B620">
        <v>88.25</v>
      </c>
      <c r="C620">
        <v>86.91</v>
      </c>
      <c r="D620">
        <v>88.28</v>
      </c>
      <c r="E620">
        <v>86.91</v>
      </c>
      <c r="G620" s="2">
        <v>2.0500000000000001E-2</v>
      </c>
      <c r="H620">
        <f t="shared" si="18"/>
        <v>2.0467160037002729E-2</v>
      </c>
      <c r="I620">
        <f t="shared" si="19"/>
        <v>2.026052248245331E-2</v>
      </c>
    </row>
    <row r="621" spans="1:9" x14ac:dyDescent="0.75">
      <c r="A621" s="1">
        <v>44806</v>
      </c>
      <c r="B621">
        <v>86.48</v>
      </c>
      <c r="C621">
        <v>85.99</v>
      </c>
      <c r="D621">
        <v>89.15</v>
      </c>
      <c r="E621">
        <v>85.93</v>
      </c>
      <c r="F621" t="s">
        <v>598</v>
      </c>
      <c r="G621" s="2">
        <v>3.0000000000000001E-3</v>
      </c>
      <c r="H621">
        <f t="shared" si="18"/>
        <v>3.0155416376711334E-3</v>
      </c>
      <c r="I621">
        <f t="shared" si="19"/>
        <v>3.011004011964353E-3</v>
      </c>
    </row>
    <row r="622" spans="1:9" x14ac:dyDescent="0.75">
      <c r="A622" s="1">
        <v>44805</v>
      </c>
      <c r="B622">
        <v>86.22</v>
      </c>
      <c r="C622">
        <v>88.31</v>
      </c>
      <c r="D622">
        <v>89.1</v>
      </c>
      <c r="E622">
        <v>85.62</v>
      </c>
      <c r="F622" t="s">
        <v>599</v>
      </c>
      <c r="G622" s="2">
        <v>-3.1600000000000003E-2</v>
      </c>
      <c r="H622">
        <f t="shared" si="18"/>
        <v>-3.1562394698416291E-2</v>
      </c>
      <c r="I622">
        <f t="shared" si="19"/>
        <v>-3.2071222266591252E-2</v>
      </c>
    </row>
    <row r="623" spans="1:9" x14ac:dyDescent="0.75">
      <c r="A623" s="1">
        <v>44804</v>
      </c>
      <c r="B623">
        <v>89.03</v>
      </c>
      <c r="C623">
        <v>91.85</v>
      </c>
      <c r="D623">
        <v>92.26</v>
      </c>
      <c r="E623">
        <v>87.92</v>
      </c>
      <c r="F623" t="s">
        <v>600</v>
      </c>
      <c r="G623" s="2">
        <v>-2.35E-2</v>
      </c>
      <c r="H623">
        <f t="shared" si="18"/>
        <v>-2.3472633541735226E-2</v>
      </c>
      <c r="I623">
        <f t="shared" si="19"/>
        <v>-2.3752504011231596E-2</v>
      </c>
    </row>
    <row r="624" spans="1:9" x14ac:dyDescent="0.75">
      <c r="A624" s="1">
        <v>44803</v>
      </c>
      <c r="B624">
        <v>91.17</v>
      </c>
      <c r="C624">
        <v>95.8</v>
      </c>
      <c r="D624">
        <v>96.82</v>
      </c>
      <c r="E624">
        <v>90.06</v>
      </c>
      <c r="F624" t="s">
        <v>601</v>
      </c>
      <c r="G624" s="2">
        <v>-5.2200000000000003E-2</v>
      </c>
      <c r="H624">
        <f t="shared" si="18"/>
        <v>-5.2188377170183972E-2</v>
      </c>
      <c r="I624">
        <f t="shared" si="19"/>
        <v>-5.3599506567712778E-2</v>
      </c>
    </row>
    <row r="625" spans="1:9" x14ac:dyDescent="0.75">
      <c r="A625" s="1">
        <v>44802</v>
      </c>
      <c r="B625">
        <v>96.19</v>
      </c>
      <c r="C625">
        <v>92.28</v>
      </c>
      <c r="D625">
        <v>96.46</v>
      </c>
      <c r="E625">
        <v>91.66</v>
      </c>
      <c r="F625" t="s">
        <v>602</v>
      </c>
      <c r="G625" s="2">
        <v>4.1099999999999998E-2</v>
      </c>
      <c r="H625">
        <f t="shared" si="18"/>
        <v>4.1129992423422419E-2</v>
      </c>
      <c r="I625">
        <f t="shared" si="19"/>
        <v>4.0306654481870499E-2</v>
      </c>
    </row>
    <row r="626" spans="1:9" x14ac:dyDescent="0.75">
      <c r="A626" s="1">
        <v>44799</v>
      </c>
      <c r="B626">
        <v>92.39</v>
      </c>
      <c r="C626">
        <v>92.68</v>
      </c>
      <c r="D626">
        <v>93.62</v>
      </c>
      <c r="E626">
        <v>90.69</v>
      </c>
      <c r="F626" t="s">
        <v>603</v>
      </c>
      <c r="G626" s="2">
        <v>2.2000000000000001E-3</v>
      </c>
      <c r="H626">
        <f t="shared" si="18"/>
        <v>2.1694326933507195E-3</v>
      </c>
      <c r="I626">
        <f t="shared" si="19"/>
        <v>2.1670828721508974E-3</v>
      </c>
    </row>
    <row r="627" spans="1:9" x14ac:dyDescent="0.75">
      <c r="A627" s="1">
        <v>44798</v>
      </c>
      <c r="B627">
        <v>92.19</v>
      </c>
      <c r="C627">
        <v>94.82</v>
      </c>
      <c r="D627">
        <v>95.3</v>
      </c>
      <c r="E627">
        <v>91.95</v>
      </c>
      <c r="F627" t="s">
        <v>604</v>
      </c>
      <c r="G627" s="2">
        <v>-2.3400000000000001E-2</v>
      </c>
      <c r="H627">
        <f t="shared" si="18"/>
        <v>-2.3411016949152624E-2</v>
      </c>
      <c r="I627">
        <f t="shared" si="19"/>
        <v>-2.3689408340952081E-2</v>
      </c>
    </row>
    <row r="628" spans="1:9" x14ac:dyDescent="0.75">
      <c r="A628" s="1">
        <v>44797</v>
      </c>
      <c r="B628">
        <v>94.4</v>
      </c>
      <c r="C628">
        <v>93.23</v>
      </c>
      <c r="D628">
        <v>94.92</v>
      </c>
      <c r="E628">
        <v>92.36</v>
      </c>
      <c r="F628" t="s">
        <v>605</v>
      </c>
      <c r="G628" s="2">
        <v>1.23E-2</v>
      </c>
      <c r="H628">
        <f t="shared" si="18"/>
        <v>1.2332439678284244E-2</v>
      </c>
      <c r="I628">
        <f t="shared" si="19"/>
        <v>1.2257014627530134E-2</v>
      </c>
    </row>
    <row r="629" spans="1:9" x14ac:dyDescent="0.75">
      <c r="A629" s="1">
        <v>44796</v>
      </c>
      <c r="B629">
        <v>93.25</v>
      </c>
      <c r="C629">
        <v>90.1</v>
      </c>
      <c r="D629">
        <v>93.65</v>
      </c>
      <c r="E629">
        <v>90.1</v>
      </c>
      <c r="F629" t="s">
        <v>606</v>
      </c>
      <c r="G629" s="2">
        <v>3.2000000000000001E-2</v>
      </c>
      <c r="H629">
        <f t="shared" si="18"/>
        <v>3.1983178397521031E-2</v>
      </c>
      <c r="I629">
        <f t="shared" si="19"/>
        <v>3.148236692412245E-2</v>
      </c>
    </row>
    <row r="630" spans="1:9" x14ac:dyDescent="0.75">
      <c r="A630" s="1">
        <v>44795</v>
      </c>
      <c r="B630">
        <v>90.36</v>
      </c>
      <c r="C630">
        <v>89.63</v>
      </c>
      <c r="D630">
        <v>91.03</v>
      </c>
      <c r="E630">
        <v>86.28</v>
      </c>
      <c r="F630" t="s">
        <v>607</v>
      </c>
      <c r="G630" s="2">
        <v>-8.9999999999999998E-4</v>
      </c>
      <c r="H630">
        <f t="shared" si="18"/>
        <v>-8.8456435205659331E-4</v>
      </c>
      <c r="I630">
        <f t="shared" si="19"/>
        <v>-8.8495580996660246E-4</v>
      </c>
    </row>
    <row r="631" spans="1:9" x14ac:dyDescent="0.75">
      <c r="A631" s="1">
        <v>44792</v>
      </c>
      <c r="B631">
        <v>90.44</v>
      </c>
      <c r="C631">
        <v>90</v>
      </c>
      <c r="D631">
        <v>91.69</v>
      </c>
      <c r="E631">
        <v>87.95</v>
      </c>
      <c r="F631" t="s">
        <v>608</v>
      </c>
      <c r="G631" s="2">
        <v>3.7000000000000002E-3</v>
      </c>
      <c r="H631">
        <f t="shared" si="18"/>
        <v>3.6621906558650351E-3</v>
      </c>
      <c r="I631">
        <f t="shared" si="19"/>
        <v>3.6555011628230127E-3</v>
      </c>
    </row>
    <row r="632" spans="1:9" x14ac:dyDescent="0.75">
      <c r="A632" s="1">
        <v>44791</v>
      </c>
      <c r="B632">
        <v>90.11</v>
      </c>
      <c r="C632">
        <v>87.1</v>
      </c>
      <c r="D632">
        <v>91.03</v>
      </c>
      <c r="E632">
        <v>86.92</v>
      </c>
      <c r="F632" t="s">
        <v>609</v>
      </c>
      <c r="G632" s="2">
        <v>2.76E-2</v>
      </c>
      <c r="H632">
        <f t="shared" si="18"/>
        <v>2.7597217470635212E-2</v>
      </c>
      <c r="I632">
        <f t="shared" si="19"/>
        <v>2.7223278455681656E-2</v>
      </c>
    </row>
    <row r="633" spans="1:9" x14ac:dyDescent="0.75">
      <c r="A633" s="1">
        <v>44790</v>
      </c>
      <c r="B633">
        <v>87.69</v>
      </c>
      <c r="C633">
        <v>86.71</v>
      </c>
      <c r="D633">
        <v>88.66</v>
      </c>
      <c r="E633">
        <v>85.48</v>
      </c>
      <c r="F633" t="s">
        <v>610</v>
      </c>
      <c r="G633" s="2">
        <v>1.78E-2</v>
      </c>
      <c r="H633">
        <f t="shared" si="18"/>
        <v>1.7757660167130932E-2</v>
      </c>
      <c r="I633">
        <f t="shared" si="19"/>
        <v>1.7601834943131202E-2</v>
      </c>
    </row>
    <row r="634" spans="1:9" x14ac:dyDescent="0.75">
      <c r="A634" s="1">
        <v>44789</v>
      </c>
      <c r="B634">
        <v>86.16</v>
      </c>
      <c r="C634">
        <v>87.39</v>
      </c>
      <c r="D634">
        <v>90.07</v>
      </c>
      <c r="E634">
        <v>85.37</v>
      </c>
      <c r="F634" t="s">
        <v>611</v>
      </c>
      <c r="G634" s="2">
        <v>-3.0300000000000001E-2</v>
      </c>
      <c r="H634">
        <f t="shared" si="18"/>
        <v>-3.0275745638716916E-2</v>
      </c>
      <c r="I634">
        <f t="shared" si="19"/>
        <v>-3.074352175252721E-2</v>
      </c>
    </row>
    <row r="635" spans="1:9" x14ac:dyDescent="0.75">
      <c r="A635" s="1">
        <v>44788</v>
      </c>
      <c r="B635">
        <v>88.85</v>
      </c>
      <c r="C635">
        <v>91.3</v>
      </c>
      <c r="D635">
        <v>91.47</v>
      </c>
      <c r="E635">
        <v>86.29</v>
      </c>
      <c r="F635" t="s">
        <v>612</v>
      </c>
      <c r="G635" s="2">
        <v>-2.8500000000000001E-2</v>
      </c>
      <c r="H635">
        <f t="shared" si="18"/>
        <v>-2.8537065383774322E-2</v>
      </c>
      <c r="I635">
        <f t="shared" si="19"/>
        <v>-2.8952163629248778E-2</v>
      </c>
    </row>
    <row r="636" spans="1:9" x14ac:dyDescent="0.75">
      <c r="A636" s="1">
        <v>44785</v>
      </c>
      <c r="B636">
        <v>91.46</v>
      </c>
      <c r="C636">
        <v>93.33</v>
      </c>
      <c r="D636">
        <v>94.02</v>
      </c>
      <c r="E636">
        <v>90.53</v>
      </c>
      <c r="F636" t="s">
        <v>613</v>
      </c>
      <c r="G636" s="2">
        <v>-2.2100000000000002E-2</v>
      </c>
      <c r="H636">
        <f t="shared" si="18"/>
        <v>-2.213193627713041E-2</v>
      </c>
      <c r="I636">
        <f t="shared" si="19"/>
        <v>-2.2380522216550548E-2</v>
      </c>
    </row>
    <row r="637" spans="1:9" x14ac:dyDescent="0.75">
      <c r="A637" s="1">
        <v>44784</v>
      </c>
      <c r="B637">
        <v>93.53</v>
      </c>
      <c r="C637">
        <v>90.82</v>
      </c>
      <c r="D637">
        <v>94.17</v>
      </c>
      <c r="E637">
        <v>90.57</v>
      </c>
      <c r="F637" t="s">
        <v>614</v>
      </c>
      <c r="G637" s="2">
        <v>2.5499999999999998E-2</v>
      </c>
      <c r="H637">
        <f t="shared" si="18"/>
        <v>2.5548245614035067E-2</v>
      </c>
      <c r="I637">
        <f t="shared" si="19"/>
        <v>2.5227343366173837E-2</v>
      </c>
    </row>
    <row r="638" spans="1:9" x14ac:dyDescent="0.75">
      <c r="A638" s="1">
        <v>44783</v>
      </c>
      <c r="B638">
        <v>91.2</v>
      </c>
      <c r="C638">
        <v>89.71</v>
      </c>
      <c r="D638">
        <v>91.63</v>
      </c>
      <c r="E638">
        <v>87.04</v>
      </c>
      <c r="F638" t="s">
        <v>615</v>
      </c>
      <c r="G638" s="2">
        <v>1.7100000000000001E-2</v>
      </c>
      <c r="H638">
        <f t="shared" si="18"/>
        <v>1.7062562730010049E-2</v>
      </c>
      <c r="I638">
        <f t="shared" si="19"/>
        <v>1.6918632116329543E-2</v>
      </c>
    </row>
    <row r="639" spans="1:9" x14ac:dyDescent="0.75">
      <c r="A639" s="1">
        <v>44782</v>
      </c>
      <c r="B639">
        <v>89.67</v>
      </c>
      <c r="C639">
        <v>89.87</v>
      </c>
      <c r="D639">
        <v>91.8</v>
      </c>
      <c r="E639">
        <v>88.29</v>
      </c>
      <c r="F639" t="s">
        <v>616</v>
      </c>
      <c r="G639" s="2">
        <v>-2.8999999999999998E-3</v>
      </c>
      <c r="H639">
        <f t="shared" si="18"/>
        <v>-2.8911375514289457E-3</v>
      </c>
      <c r="I639">
        <f t="shared" si="19"/>
        <v>-2.895324962467913E-3</v>
      </c>
    </row>
    <row r="640" spans="1:9" x14ac:dyDescent="0.75">
      <c r="A640" s="1">
        <v>44781</v>
      </c>
      <c r="B640">
        <v>89.93</v>
      </c>
      <c r="C640">
        <v>87.52</v>
      </c>
      <c r="D640">
        <v>90.06</v>
      </c>
      <c r="E640">
        <v>86.33</v>
      </c>
      <c r="F640" t="s">
        <v>617</v>
      </c>
      <c r="G640" s="2">
        <v>2.1000000000000001E-2</v>
      </c>
      <c r="H640">
        <f t="shared" si="18"/>
        <v>2.1003633060853868E-2</v>
      </c>
      <c r="I640">
        <f t="shared" si="19"/>
        <v>2.0786097511999644E-2</v>
      </c>
    </row>
    <row r="641" spans="1:9" x14ac:dyDescent="0.75">
      <c r="A641" s="1">
        <v>44778</v>
      </c>
      <c r="B641">
        <v>88.08</v>
      </c>
      <c r="C641">
        <v>87.04</v>
      </c>
      <c r="D641">
        <v>89.72</v>
      </c>
      <c r="E641">
        <v>86.06</v>
      </c>
      <c r="F641" t="s">
        <v>618</v>
      </c>
      <c r="G641" s="2">
        <v>5.8999999999999999E-3</v>
      </c>
      <c r="H641">
        <f t="shared" si="18"/>
        <v>5.9387848332571498E-3</v>
      </c>
      <c r="I641">
        <f t="shared" si="19"/>
        <v>5.9212197597621882E-3</v>
      </c>
    </row>
    <row r="642" spans="1:9" x14ac:dyDescent="0.75">
      <c r="A642" s="1">
        <v>44777</v>
      </c>
      <c r="B642">
        <v>87.56</v>
      </c>
      <c r="C642">
        <v>89.99</v>
      </c>
      <c r="D642">
        <v>90.88</v>
      </c>
      <c r="E642">
        <v>86.62</v>
      </c>
      <c r="F642" t="s">
        <v>619</v>
      </c>
      <c r="G642" s="2">
        <v>-2.4299999999999999E-2</v>
      </c>
      <c r="H642">
        <f t="shared" si="18"/>
        <v>-2.4292400267439188E-2</v>
      </c>
      <c r="I642">
        <f t="shared" si="19"/>
        <v>-2.4592327893175E-2</v>
      </c>
    </row>
    <row r="643" spans="1:9" x14ac:dyDescent="0.75">
      <c r="A643" s="1">
        <v>44776</v>
      </c>
      <c r="B643">
        <v>89.74</v>
      </c>
      <c r="C643">
        <v>92.69</v>
      </c>
      <c r="D643">
        <v>95.33</v>
      </c>
      <c r="E643">
        <v>89.47</v>
      </c>
      <c r="F643" t="s">
        <v>620</v>
      </c>
      <c r="G643" s="2">
        <v>-3.73E-2</v>
      </c>
      <c r="H643">
        <f t="shared" ref="H643:H706" si="20">(B643-B644)/B644</f>
        <v>-3.73310448401631E-2</v>
      </c>
      <c r="I643">
        <f t="shared" ref="I643:I706" si="21">LN(B643/B644)</f>
        <v>-3.8045690396757689E-2</v>
      </c>
    </row>
    <row r="644" spans="1:9" x14ac:dyDescent="0.75">
      <c r="A644" s="1">
        <v>44775</v>
      </c>
      <c r="B644">
        <v>93.22</v>
      </c>
      <c r="C644">
        <v>92.2</v>
      </c>
      <c r="D644">
        <v>95.09</v>
      </c>
      <c r="E644">
        <v>91.11</v>
      </c>
      <c r="F644" t="s">
        <v>621</v>
      </c>
      <c r="G644" s="2">
        <v>8.9999999999999993E-3</v>
      </c>
      <c r="H644">
        <f t="shared" si="20"/>
        <v>8.9836562398527796E-3</v>
      </c>
      <c r="I644">
        <f t="shared" si="21"/>
        <v>8.9435432619411823E-3</v>
      </c>
    </row>
    <row r="645" spans="1:9" x14ac:dyDescent="0.75">
      <c r="A645" s="1">
        <v>44774</v>
      </c>
      <c r="B645">
        <v>92.39</v>
      </c>
      <c r="C645">
        <v>96.44</v>
      </c>
      <c r="D645">
        <v>96.68</v>
      </c>
      <c r="E645">
        <v>90.96</v>
      </c>
      <c r="F645" t="s">
        <v>622</v>
      </c>
      <c r="G645" s="2">
        <v>-4.5100000000000001E-2</v>
      </c>
      <c r="H645">
        <f t="shared" si="20"/>
        <v>-4.5064599483204126E-2</v>
      </c>
      <c r="I645">
        <f t="shared" si="21"/>
        <v>-4.6111584227237462E-2</v>
      </c>
    </row>
    <row r="646" spans="1:9" x14ac:dyDescent="0.75">
      <c r="A646" s="1">
        <v>44771</v>
      </c>
      <c r="B646">
        <v>96.75</v>
      </c>
      <c r="C646">
        <v>95.42</v>
      </c>
      <c r="D646">
        <v>99.75</v>
      </c>
      <c r="E646">
        <v>94.59</v>
      </c>
      <c r="F646" t="s">
        <v>623</v>
      </c>
      <c r="G646" s="2">
        <v>2.2200000000000001E-2</v>
      </c>
      <c r="H646">
        <f t="shared" si="20"/>
        <v>2.21870047543581E-2</v>
      </c>
      <c r="I646">
        <f t="shared" si="21"/>
        <v>2.1944454254559365E-2</v>
      </c>
    </row>
    <row r="647" spans="1:9" x14ac:dyDescent="0.75">
      <c r="A647" s="1">
        <v>44770</v>
      </c>
      <c r="B647">
        <v>94.65</v>
      </c>
      <c r="C647">
        <v>96.09</v>
      </c>
      <c r="D647">
        <v>97.82</v>
      </c>
      <c r="E647">
        <v>94.28</v>
      </c>
      <c r="F647" t="s">
        <v>624</v>
      </c>
      <c r="G647" s="2">
        <v>-6.7000000000000002E-3</v>
      </c>
      <c r="H647">
        <f t="shared" si="20"/>
        <v>-6.7163395949207741E-3</v>
      </c>
      <c r="I647">
        <f t="shared" si="21"/>
        <v>-6.7389957047650322E-3</v>
      </c>
    </row>
    <row r="648" spans="1:9" x14ac:dyDescent="0.75">
      <c r="A648" s="1">
        <v>44769</v>
      </c>
      <c r="B648">
        <v>95.29</v>
      </c>
      <c r="C648">
        <v>93.51</v>
      </c>
      <c r="D648">
        <v>96.53</v>
      </c>
      <c r="E648">
        <v>92.3</v>
      </c>
      <c r="F648" t="s">
        <v>625</v>
      </c>
      <c r="G648" s="2">
        <v>2.5899999999999999E-2</v>
      </c>
      <c r="H648">
        <f t="shared" si="20"/>
        <v>2.5947459086994088E-2</v>
      </c>
      <c r="I648">
        <f t="shared" si="21"/>
        <v>2.5616535970460968E-2</v>
      </c>
    </row>
    <row r="649" spans="1:9" x14ac:dyDescent="0.75">
      <c r="A649" s="1">
        <v>44768</v>
      </c>
      <c r="B649">
        <v>92.88</v>
      </c>
      <c r="C649">
        <v>93.95</v>
      </c>
      <c r="D649">
        <v>96.6</v>
      </c>
      <c r="E649">
        <v>92.64</v>
      </c>
      <c r="F649" t="s">
        <v>626</v>
      </c>
      <c r="G649" s="2">
        <v>-1.6299999999999999E-2</v>
      </c>
      <c r="H649">
        <f t="shared" si="20"/>
        <v>-1.631010379156965E-2</v>
      </c>
      <c r="I649">
        <f t="shared" si="21"/>
        <v>-1.6444577728504651E-2</v>
      </c>
    </row>
    <row r="650" spans="1:9" x14ac:dyDescent="0.75">
      <c r="A650" s="1">
        <v>44767</v>
      </c>
      <c r="B650">
        <v>94.42</v>
      </c>
      <c r="C650">
        <v>92.83</v>
      </c>
      <c r="D650">
        <v>94.62</v>
      </c>
      <c r="E650">
        <v>90.79</v>
      </c>
      <c r="F650" t="s">
        <v>627</v>
      </c>
      <c r="G650" s="2">
        <v>2.1499999999999998E-2</v>
      </c>
      <c r="H650">
        <f t="shared" si="20"/>
        <v>2.1529806339932865E-2</v>
      </c>
      <c r="I650">
        <f t="shared" si="21"/>
        <v>2.1301313841454471E-2</v>
      </c>
    </row>
    <row r="651" spans="1:9" x14ac:dyDescent="0.75">
      <c r="A651" s="1">
        <v>44764</v>
      </c>
      <c r="B651">
        <v>92.43</v>
      </c>
      <c r="C651">
        <v>93.78</v>
      </c>
      <c r="D651">
        <v>95.24</v>
      </c>
      <c r="E651">
        <v>91.77</v>
      </c>
      <c r="F651" t="s">
        <v>628</v>
      </c>
      <c r="G651" s="2">
        <v>-1.44E-2</v>
      </c>
      <c r="H651">
        <f t="shared" si="20"/>
        <v>-1.4395393474088232E-2</v>
      </c>
      <c r="I651">
        <f t="shared" si="21"/>
        <v>-1.4500012384753952E-2</v>
      </c>
    </row>
    <row r="652" spans="1:9" x14ac:dyDescent="0.75">
      <c r="A652" s="1">
        <v>44763</v>
      </c>
      <c r="B652">
        <v>93.78</v>
      </c>
      <c r="C652">
        <v>96.88</v>
      </c>
      <c r="D652">
        <v>96.93</v>
      </c>
      <c r="E652">
        <v>91.84</v>
      </c>
      <c r="F652" t="s">
        <v>629</v>
      </c>
      <c r="G652" s="2">
        <v>-6.1100000000000002E-2</v>
      </c>
      <c r="H652">
        <f t="shared" si="20"/>
        <v>-6.1073287945534585E-2</v>
      </c>
      <c r="I652">
        <f t="shared" si="21"/>
        <v>-6.3017851750132151E-2</v>
      </c>
    </row>
    <row r="653" spans="1:9" x14ac:dyDescent="0.75">
      <c r="A653" s="1">
        <v>44762</v>
      </c>
      <c r="B653">
        <v>99.88</v>
      </c>
      <c r="C653">
        <v>100.34</v>
      </c>
      <c r="D653">
        <v>100.72</v>
      </c>
      <c r="E653">
        <v>98.16</v>
      </c>
      <c r="F653" t="s">
        <v>630</v>
      </c>
      <c r="G653" s="2">
        <v>-8.5000000000000006E-3</v>
      </c>
      <c r="H653">
        <f t="shared" si="20"/>
        <v>-8.5368274766726166E-3</v>
      </c>
      <c r="I653">
        <f t="shared" si="21"/>
        <v>-8.5734749059319746E-3</v>
      </c>
    </row>
    <row r="654" spans="1:9" x14ac:dyDescent="0.75">
      <c r="A654" s="1">
        <v>44761</v>
      </c>
      <c r="B654">
        <v>100.74</v>
      </c>
      <c r="C654">
        <v>98.86</v>
      </c>
      <c r="D654">
        <v>100.99</v>
      </c>
      <c r="E654">
        <v>96.52</v>
      </c>
      <c r="F654" t="s">
        <v>631</v>
      </c>
      <c r="G654" s="2">
        <v>1.3299999999999999E-2</v>
      </c>
      <c r="H654">
        <f t="shared" si="20"/>
        <v>1.3277006638503251E-2</v>
      </c>
      <c r="I654">
        <f t="shared" si="21"/>
        <v>1.3189639650977875E-2</v>
      </c>
    </row>
    <row r="655" spans="1:9" x14ac:dyDescent="0.75">
      <c r="A655" s="1">
        <v>44760</v>
      </c>
      <c r="B655">
        <v>99.42</v>
      </c>
      <c r="C655">
        <v>94.34</v>
      </c>
      <c r="D655">
        <v>99.62</v>
      </c>
      <c r="E655">
        <v>92.88</v>
      </c>
      <c r="F655" t="s">
        <v>632</v>
      </c>
      <c r="G655" s="2">
        <v>5.1299999999999998E-2</v>
      </c>
      <c r="H655">
        <f t="shared" si="20"/>
        <v>5.1284762609707192E-2</v>
      </c>
      <c r="I655">
        <f t="shared" si="21"/>
        <v>5.0012999639105916E-2</v>
      </c>
    </row>
    <row r="656" spans="1:9" x14ac:dyDescent="0.75">
      <c r="A656" s="1">
        <v>44757</v>
      </c>
      <c r="B656">
        <v>94.57</v>
      </c>
      <c r="C656">
        <v>93.51</v>
      </c>
      <c r="D656">
        <v>96.05</v>
      </c>
      <c r="E656">
        <v>91.64</v>
      </c>
      <c r="F656" t="s">
        <v>633</v>
      </c>
      <c r="G656" s="2">
        <v>1.8700000000000001E-2</v>
      </c>
      <c r="H656">
        <f t="shared" si="20"/>
        <v>1.874394053646445E-2</v>
      </c>
      <c r="I656">
        <f t="shared" si="21"/>
        <v>1.8570437615579544E-2</v>
      </c>
    </row>
    <row r="657" spans="1:9" x14ac:dyDescent="0.75">
      <c r="A657" s="1">
        <v>44756</v>
      </c>
      <c r="B657">
        <v>92.83</v>
      </c>
      <c r="C657">
        <v>94.14</v>
      </c>
      <c r="D657">
        <v>94.49</v>
      </c>
      <c r="E657">
        <v>88.23</v>
      </c>
      <c r="F657" t="s">
        <v>634</v>
      </c>
      <c r="G657" s="2">
        <v>-1.0699999999999999E-2</v>
      </c>
      <c r="H657">
        <f t="shared" si="20"/>
        <v>-1.065757220505169E-2</v>
      </c>
      <c r="I657">
        <f t="shared" si="21"/>
        <v>-1.0714770890117119E-2</v>
      </c>
    </row>
    <row r="658" spans="1:9" x14ac:dyDescent="0.75">
      <c r="A658" s="1">
        <v>44755</v>
      </c>
      <c r="B658">
        <v>93.83</v>
      </c>
      <c r="C658">
        <v>93.3</v>
      </c>
      <c r="D658">
        <v>95.34</v>
      </c>
      <c r="E658">
        <v>91.14</v>
      </c>
      <c r="F658" t="s">
        <v>635</v>
      </c>
      <c r="G658" s="2">
        <v>5.5999999999999999E-3</v>
      </c>
      <c r="H658">
        <f t="shared" si="20"/>
        <v>5.5728217768727471E-3</v>
      </c>
      <c r="I658">
        <f t="shared" si="21"/>
        <v>5.5573510560275813E-3</v>
      </c>
    </row>
    <row r="659" spans="1:9" x14ac:dyDescent="0.75">
      <c r="A659" s="1">
        <v>44754</v>
      </c>
      <c r="B659">
        <v>93.31</v>
      </c>
      <c r="C659">
        <v>100.57</v>
      </c>
      <c r="D659">
        <v>100.57</v>
      </c>
      <c r="E659">
        <v>92.83</v>
      </c>
      <c r="F659" t="s">
        <v>636</v>
      </c>
      <c r="G659" s="2">
        <v>-7.8100000000000003E-2</v>
      </c>
      <c r="H659">
        <f t="shared" si="20"/>
        <v>-7.8055528109870487E-2</v>
      </c>
      <c r="I659">
        <f t="shared" si="21"/>
        <v>-8.1270282954879133E-2</v>
      </c>
    </row>
    <row r="660" spans="1:9" x14ac:dyDescent="0.75">
      <c r="A660" s="1">
        <v>44753</v>
      </c>
      <c r="B660">
        <v>101.21</v>
      </c>
      <c r="C660">
        <v>101.33</v>
      </c>
      <c r="D660">
        <v>102</v>
      </c>
      <c r="E660">
        <v>97.94</v>
      </c>
      <c r="F660" t="s">
        <v>637</v>
      </c>
      <c r="G660" s="2">
        <v>-3.2000000000000002E-3</v>
      </c>
      <c r="H660">
        <f t="shared" si="20"/>
        <v>-3.1517777996651962E-3</v>
      </c>
      <c r="I660">
        <f t="shared" si="21"/>
        <v>-3.1567551123216331E-3</v>
      </c>
    </row>
    <row r="661" spans="1:9" x14ac:dyDescent="0.75">
      <c r="A661" s="1">
        <v>44750</v>
      </c>
      <c r="B661">
        <v>101.53</v>
      </c>
      <c r="C661">
        <v>98.92</v>
      </c>
      <c r="D661">
        <v>101.97</v>
      </c>
      <c r="E661">
        <v>98.4</v>
      </c>
      <c r="F661" t="s">
        <v>638</v>
      </c>
      <c r="G661" s="2">
        <v>2.3E-2</v>
      </c>
      <c r="H661">
        <f t="shared" si="20"/>
        <v>2.2972292191435779E-2</v>
      </c>
      <c r="I661">
        <f t="shared" si="21"/>
        <v>2.2712401745831477E-2</v>
      </c>
    </row>
    <row r="662" spans="1:9" x14ac:dyDescent="0.75">
      <c r="A662" s="1">
        <v>44749</v>
      </c>
      <c r="B662">
        <v>99.25</v>
      </c>
      <c r="C662">
        <v>94.62</v>
      </c>
      <c r="D662">
        <v>100.78</v>
      </c>
      <c r="E662">
        <v>93</v>
      </c>
      <c r="F662" t="s">
        <v>639</v>
      </c>
      <c r="G662" s="2">
        <v>4.4999999999999998E-2</v>
      </c>
      <c r="H662">
        <f t="shared" si="20"/>
        <v>4.495683301747732E-2</v>
      </c>
      <c r="I662">
        <f t="shared" si="21"/>
        <v>4.3975576446323869E-2</v>
      </c>
    </row>
    <row r="663" spans="1:9" x14ac:dyDescent="0.75">
      <c r="A663" s="1">
        <v>44748</v>
      </c>
      <c r="B663">
        <v>94.98</v>
      </c>
      <c r="C663">
        <v>97.44</v>
      </c>
      <c r="D663">
        <v>99.11</v>
      </c>
      <c r="E663">
        <v>92.18</v>
      </c>
      <c r="F663" t="s">
        <v>640</v>
      </c>
      <c r="G663" s="2">
        <v>-1.6E-2</v>
      </c>
      <c r="H663">
        <f t="shared" si="20"/>
        <v>-1.595524243680058E-2</v>
      </c>
      <c r="I663">
        <f t="shared" si="21"/>
        <v>-1.6083897635855115E-2</v>
      </c>
    </row>
    <row r="664" spans="1:9" x14ac:dyDescent="0.75">
      <c r="A664" s="1">
        <v>44747</v>
      </c>
      <c r="B664">
        <v>96.52</v>
      </c>
      <c r="C664">
        <v>105.6</v>
      </c>
      <c r="D664">
        <v>108.28</v>
      </c>
      <c r="E664">
        <v>94.62</v>
      </c>
      <c r="F664" t="s">
        <v>641</v>
      </c>
      <c r="G664" s="2">
        <v>-0.12570000000000001</v>
      </c>
      <c r="H664">
        <f t="shared" si="20"/>
        <v>-0.12572463768115949</v>
      </c>
      <c r="I664">
        <f t="shared" si="21"/>
        <v>-0.13435989308616403</v>
      </c>
    </row>
    <row r="665" spans="1:9" x14ac:dyDescent="0.75">
      <c r="A665" s="1">
        <v>44746</v>
      </c>
      <c r="B665">
        <v>110.4</v>
      </c>
      <c r="C665">
        <v>108.17</v>
      </c>
      <c r="D665">
        <v>110.77</v>
      </c>
      <c r="E665">
        <v>107.25</v>
      </c>
      <c r="G665" s="2">
        <v>2.0400000000000001E-2</v>
      </c>
      <c r="H665">
        <f t="shared" si="20"/>
        <v>2.0427026527405565E-2</v>
      </c>
      <c r="I665">
        <f t="shared" si="21"/>
        <v>2.0221193143512981E-2</v>
      </c>
    </row>
    <row r="666" spans="1:9" x14ac:dyDescent="0.75">
      <c r="A666" s="1">
        <v>44745</v>
      </c>
      <c r="B666">
        <v>108.19</v>
      </c>
      <c r="C666">
        <v>108.67</v>
      </c>
      <c r="D666">
        <v>108.81</v>
      </c>
      <c r="E666">
        <v>108.14</v>
      </c>
      <c r="G666" s="2">
        <v>2.6599999999999999E-2</v>
      </c>
      <c r="H666">
        <f t="shared" si="20"/>
        <v>2.656798557737923E-2</v>
      </c>
      <c r="I666">
        <f t="shared" si="21"/>
        <v>2.6221185753636699E-2</v>
      </c>
    </row>
    <row r="667" spans="1:9" x14ac:dyDescent="0.75">
      <c r="A667" s="1">
        <v>44743</v>
      </c>
      <c r="B667">
        <v>105.39</v>
      </c>
      <c r="C667">
        <v>103.33</v>
      </c>
      <c r="D667">
        <v>106.26</v>
      </c>
      <c r="E667">
        <v>101.94</v>
      </c>
      <c r="F667" t="s">
        <v>642</v>
      </c>
      <c r="G667" s="2">
        <v>2.2200000000000001E-2</v>
      </c>
      <c r="H667">
        <f t="shared" si="20"/>
        <v>2.2211445198836142E-2</v>
      </c>
      <c r="I667">
        <f t="shared" si="21"/>
        <v>2.1968363922931253E-2</v>
      </c>
    </row>
    <row r="668" spans="1:9" x14ac:dyDescent="0.75">
      <c r="A668" s="1">
        <v>44742</v>
      </c>
      <c r="B668">
        <v>103.1</v>
      </c>
      <c r="C668">
        <v>106.67</v>
      </c>
      <c r="D668">
        <v>107.76</v>
      </c>
      <c r="E668">
        <v>102.68</v>
      </c>
      <c r="F668" t="s">
        <v>643</v>
      </c>
      <c r="G668" s="2">
        <v>-3.6499999999999998E-2</v>
      </c>
      <c r="H668">
        <f t="shared" si="20"/>
        <v>-3.6538641248481551E-2</v>
      </c>
      <c r="I668">
        <f t="shared" si="21"/>
        <v>-3.7222897015995654E-2</v>
      </c>
    </row>
    <row r="669" spans="1:9" x14ac:dyDescent="0.75">
      <c r="A669" s="1">
        <v>44741</v>
      </c>
      <c r="B669">
        <v>107.01</v>
      </c>
      <c r="C669">
        <v>109</v>
      </c>
      <c r="D669">
        <v>111.14</v>
      </c>
      <c r="E669">
        <v>106.45</v>
      </c>
      <c r="F669" t="s">
        <v>644</v>
      </c>
      <c r="G669" s="2">
        <v>-1.7299999999999999E-2</v>
      </c>
      <c r="H669">
        <f t="shared" si="20"/>
        <v>-1.7265129947653553E-2</v>
      </c>
      <c r="I669">
        <f t="shared" si="21"/>
        <v>-1.7415910319059646E-2</v>
      </c>
    </row>
    <row r="670" spans="1:9" x14ac:dyDescent="0.75">
      <c r="A670" s="1">
        <v>44740</v>
      </c>
      <c r="B670">
        <v>108.89</v>
      </c>
      <c r="C670">
        <v>107</v>
      </c>
      <c r="D670">
        <v>109.31</v>
      </c>
      <c r="E670">
        <v>106.59</v>
      </c>
      <c r="F670" t="s">
        <v>645</v>
      </c>
      <c r="G670" s="2">
        <v>2.3599999999999999E-2</v>
      </c>
      <c r="H670">
        <f t="shared" si="20"/>
        <v>2.3594660650498263E-2</v>
      </c>
      <c r="I670">
        <f t="shared" si="21"/>
        <v>2.3320609043798051E-2</v>
      </c>
    </row>
    <row r="671" spans="1:9" x14ac:dyDescent="0.75">
      <c r="A671" s="1">
        <v>44739</v>
      </c>
      <c r="B671">
        <v>106.38</v>
      </c>
      <c r="C671">
        <v>104.37</v>
      </c>
      <c r="D671">
        <v>107.28</v>
      </c>
      <c r="E671">
        <v>102.48</v>
      </c>
      <c r="F671" t="s">
        <v>646</v>
      </c>
      <c r="G671" s="2">
        <v>1.8499999999999999E-2</v>
      </c>
      <c r="H671">
        <f t="shared" si="20"/>
        <v>1.8477740545715583E-2</v>
      </c>
      <c r="I671">
        <f t="shared" si="21"/>
        <v>1.8309101311596573E-2</v>
      </c>
    </row>
    <row r="672" spans="1:9" x14ac:dyDescent="0.75">
      <c r="A672" s="1">
        <v>44736</v>
      </c>
      <c r="B672">
        <v>104.45</v>
      </c>
      <c r="C672">
        <v>101.31</v>
      </c>
      <c r="D672">
        <v>105.44</v>
      </c>
      <c r="E672">
        <v>100.84</v>
      </c>
      <c r="F672" t="s">
        <v>647</v>
      </c>
      <c r="G672" s="2">
        <v>2.8299999999999999E-2</v>
      </c>
      <c r="H672">
        <f t="shared" si="20"/>
        <v>2.8253593227013239E-2</v>
      </c>
      <c r="I672">
        <f t="shared" si="21"/>
        <v>2.7861822629475806E-2</v>
      </c>
    </row>
    <row r="673" spans="1:9" x14ac:dyDescent="0.75">
      <c r="A673" s="1">
        <v>44735</v>
      </c>
      <c r="B673">
        <v>101.58</v>
      </c>
      <c r="C673">
        <v>102.53</v>
      </c>
      <c r="D673">
        <v>104.62</v>
      </c>
      <c r="E673">
        <v>100.24</v>
      </c>
      <c r="F673" t="s">
        <v>648</v>
      </c>
      <c r="G673" s="2">
        <v>-2.3199999999999998E-2</v>
      </c>
      <c r="H673">
        <f t="shared" si="20"/>
        <v>-2.317530531781899E-2</v>
      </c>
      <c r="I673">
        <f t="shared" si="21"/>
        <v>-2.3448075299042401E-2</v>
      </c>
    </row>
    <row r="674" spans="1:9" x14ac:dyDescent="0.75">
      <c r="A674" s="1">
        <v>44734</v>
      </c>
      <c r="B674">
        <v>103.99</v>
      </c>
      <c r="C674">
        <v>107.33</v>
      </c>
      <c r="D674">
        <v>107.56</v>
      </c>
      <c r="E674">
        <v>99.66</v>
      </c>
      <c r="F674" t="s">
        <v>649</v>
      </c>
      <c r="G674" s="2">
        <v>-5.0500000000000003E-2</v>
      </c>
      <c r="H674">
        <f t="shared" si="20"/>
        <v>-5.0493060628195773E-2</v>
      </c>
      <c r="I674">
        <f t="shared" si="21"/>
        <v>-5.1812440308052099E-2</v>
      </c>
    </row>
    <row r="675" spans="1:9" x14ac:dyDescent="0.75">
      <c r="A675" s="1">
        <v>44733</v>
      </c>
      <c r="B675">
        <v>109.52</v>
      </c>
      <c r="C675">
        <v>108.75</v>
      </c>
      <c r="D675">
        <v>111.16</v>
      </c>
      <c r="E675">
        <v>106.82</v>
      </c>
      <c r="F675" t="s">
        <v>650</v>
      </c>
      <c r="G675" s="2">
        <v>6.1999999999999998E-3</v>
      </c>
      <c r="H675">
        <f t="shared" si="20"/>
        <v>6.2477030503490681E-3</v>
      </c>
      <c r="I675">
        <f t="shared" si="21"/>
        <v>6.2282670651479296E-3</v>
      </c>
    </row>
    <row r="676" spans="1:9" x14ac:dyDescent="0.75">
      <c r="A676" s="1">
        <v>44732</v>
      </c>
      <c r="B676">
        <v>108.84</v>
      </c>
      <c r="C676">
        <v>108.97</v>
      </c>
      <c r="D676">
        <v>109.17</v>
      </c>
      <c r="E676">
        <v>106.84</v>
      </c>
      <c r="G676" s="2">
        <v>-8.9999999999999998E-4</v>
      </c>
      <c r="H676">
        <f t="shared" si="20"/>
        <v>-9.1793647879561519E-4</v>
      </c>
      <c r="I676">
        <f t="shared" si="21"/>
        <v>-9.1835804048276274E-4</v>
      </c>
    </row>
    <row r="677" spans="1:9" x14ac:dyDescent="0.75">
      <c r="A677" s="1">
        <v>44731</v>
      </c>
      <c r="B677">
        <v>108.94</v>
      </c>
      <c r="C677">
        <v>108.97</v>
      </c>
      <c r="D677">
        <v>109.34</v>
      </c>
      <c r="E677">
        <v>108.78</v>
      </c>
      <c r="G677" s="2">
        <v>8.8000000000000005E-3</v>
      </c>
      <c r="H677">
        <f t="shared" si="20"/>
        <v>8.7971108435966564E-3</v>
      </c>
      <c r="I677">
        <f t="shared" si="21"/>
        <v>8.7586417108600975E-3</v>
      </c>
    </row>
    <row r="678" spans="1:9" x14ac:dyDescent="0.75">
      <c r="A678" s="1">
        <v>44729</v>
      </c>
      <c r="B678">
        <v>107.99</v>
      </c>
      <c r="C678">
        <v>114.74</v>
      </c>
      <c r="D678">
        <v>116.58</v>
      </c>
      <c r="E678">
        <v>106.4</v>
      </c>
      <c r="F678" t="s">
        <v>651</v>
      </c>
      <c r="G678" s="2">
        <v>-6.3E-2</v>
      </c>
      <c r="H678">
        <f t="shared" si="20"/>
        <v>-6.299349240780916E-2</v>
      </c>
      <c r="I678">
        <f t="shared" si="21"/>
        <v>-6.5065051632089588E-2</v>
      </c>
    </row>
    <row r="679" spans="1:9" x14ac:dyDescent="0.75">
      <c r="A679" s="1">
        <v>44728</v>
      </c>
      <c r="B679">
        <v>115.25</v>
      </c>
      <c r="C679">
        <v>114.09</v>
      </c>
      <c r="D679">
        <v>115.73</v>
      </c>
      <c r="E679">
        <v>110.43</v>
      </c>
      <c r="F679" t="s">
        <v>652</v>
      </c>
      <c r="G679" s="2">
        <v>1.9099999999999999E-2</v>
      </c>
      <c r="H679">
        <f t="shared" si="20"/>
        <v>1.9099831992218555E-2</v>
      </c>
      <c r="I679">
        <f t="shared" si="21"/>
        <v>1.8919719993522356E-2</v>
      </c>
    </row>
    <row r="680" spans="1:9" x14ac:dyDescent="0.75">
      <c r="A680" s="1">
        <v>44727</v>
      </c>
      <c r="B680">
        <v>113.09</v>
      </c>
      <c r="C680">
        <v>116.41</v>
      </c>
      <c r="D680">
        <v>116.93</v>
      </c>
      <c r="E680">
        <v>112.37</v>
      </c>
      <c r="F680" t="s">
        <v>653</v>
      </c>
      <c r="G680" s="2">
        <v>-2.7300000000000001E-2</v>
      </c>
      <c r="H680">
        <f t="shared" si="20"/>
        <v>-2.7266471701359037E-2</v>
      </c>
      <c r="I680">
        <f t="shared" si="21"/>
        <v>-2.7645100389968862E-2</v>
      </c>
    </row>
    <row r="681" spans="1:9" x14ac:dyDescent="0.75">
      <c r="A681" s="1">
        <v>44726</v>
      </c>
      <c r="B681">
        <v>116.26</v>
      </c>
      <c r="C681">
        <v>118.45</v>
      </c>
      <c r="D681">
        <v>120.88</v>
      </c>
      <c r="E681">
        <v>114.2</v>
      </c>
      <c r="F681" t="s">
        <v>654</v>
      </c>
      <c r="G681" s="2">
        <v>-1.6799999999999999E-2</v>
      </c>
      <c r="H681">
        <f t="shared" si="20"/>
        <v>-1.6828752642706089E-2</v>
      </c>
      <c r="I681">
        <f t="shared" si="21"/>
        <v>-1.6971965098837822E-2</v>
      </c>
    </row>
    <row r="682" spans="1:9" x14ac:dyDescent="0.75">
      <c r="A682" s="1">
        <v>44725</v>
      </c>
      <c r="B682">
        <v>118.25</v>
      </c>
      <c r="C682">
        <v>117.71</v>
      </c>
      <c r="D682">
        <v>119.57</v>
      </c>
      <c r="E682">
        <v>114.9</v>
      </c>
      <c r="F682" t="s">
        <v>655</v>
      </c>
      <c r="G682" s="2">
        <v>1.1000000000000001E-3</v>
      </c>
      <c r="H682">
        <f t="shared" si="20"/>
        <v>1.1005756857432733E-3</v>
      </c>
      <c r="I682">
        <f t="shared" si="21"/>
        <v>1.0999704963202944E-3</v>
      </c>
    </row>
    <row r="683" spans="1:9" x14ac:dyDescent="0.75">
      <c r="A683" s="1">
        <v>44722</v>
      </c>
      <c r="B683">
        <v>118.12</v>
      </c>
      <c r="C683">
        <v>119.07</v>
      </c>
      <c r="D683">
        <v>120.15</v>
      </c>
      <c r="E683">
        <v>115.84</v>
      </c>
      <c r="F683" t="s">
        <v>656</v>
      </c>
      <c r="G683" s="2">
        <v>-8.0999999999999996E-3</v>
      </c>
      <c r="H683">
        <f t="shared" si="20"/>
        <v>-8.1451003442774266E-3</v>
      </c>
      <c r="I683">
        <f t="shared" si="21"/>
        <v>-8.1784529041824885E-3</v>
      </c>
    </row>
    <row r="684" spans="1:9" x14ac:dyDescent="0.75">
      <c r="A684" s="1">
        <v>44721</v>
      </c>
      <c r="B684">
        <v>119.09</v>
      </c>
      <c r="C684">
        <v>120.11</v>
      </c>
      <c r="D684">
        <v>120.4</v>
      </c>
      <c r="E684">
        <v>118.52</v>
      </c>
      <c r="F684" t="s">
        <v>657</v>
      </c>
      <c r="G684" s="2">
        <v>-5.7999999999999996E-3</v>
      </c>
      <c r="H684">
        <f t="shared" si="20"/>
        <v>-5.7605610285523271E-3</v>
      </c>
      <c r="I684">
        <f t="shared" si="21"/>
        <v>-5.7772170564119336E-3</v>
      </c>
    </row>
    <row r="685" spans="1:9" x14ac:dyDescent="0.75">
      <c r="A685" s="1">
        <v>44720</v>
      </c>
      <c r="B685">
        <v>119.78</v>
      </c>
      <c r="C685">
        <v>117.7</v>
      </c>
      <c r="D685">
        <v>120.75</v>
      </c>
      <c r="E685">
        <v>117.02</v>
      </c>
      <c r="F685" t="s">
        <v>658</v>
      </c>
      <c r="G685" s="2">
        <v>2.29E-2</v>
      </c>
      <c r="H685">
        <f t="shared" si="20"/>
        <v>2.2886421861656764E-2</v>
      </c>
      <c r="I685">
        <f t="shared" si="21"/>
        <v>2.2628456232644662E-2</v>
      </c>
    </row>
    <row r="686" spans="1:9" x14ac:dyDescent="0.75">
      <c r="A686" s="1">
        <v>44719</v>
      </c>
      <c r="B686">
        <v>117.1</v>
      </c>
      <c r="C686">
        <v>116.66</v>
      </c>
      <c r="D686">
        <v>118</v>
      </c>
      <c r="E686">
        <v>115.04</v>
      </c>
      <c r="F686" t="s">
        <v>659</v>
      </c>
      <c r="G686" s="2">
        <v>8.9999999999999993E-3</v>
      </c>
      <c r="H686">
        <f t="shared" si="20"/>
        <v>8.9608823022573839E-3</v>
      </c>
      <c r="I686">
        <f t="shared" si="21"/>
        <v>8.920971841209319E-3</v>
      </c>
    </row>
    <row r="687" spans="1:9" x14ac:dyDescent="0.75">
      <c r="A687" s="1">
        <v>44718</v>
      </c>
      <c r="B687">
        <v>116.06</v>
      </c>
      <c r="C687">
        <v>118.17</v>
      </c>
      <c r="D687">
        <v>118.28</v>
      </c>
      <c r="E687">
        <v>115.15</v>
      </c>
      <c r="F687" t="s">
        <v>660</v>
      </c>
      <c r="G687" s="2">
        <v>-1.5E-3</v>
      </c>
      <c r="H687">
        <f t="shared" si="20"/>
        <v>-1.4626172244687405E-3</v>
      </c>
      <c r="I687">
        <f t="shared" si="21"/>
        <v>-1.4636878931543632E-3</v>
      </c>
    </row>
    <row r="688" spans="1:9" x14ac:dyDescent="0.75">
      <c r="A688" s="1">
        <v>44715</v>
      </c>
      <c r="B688">
        <v>116.23</v>
      </c>
      <c r="C688">
        <v>114.9</v>
      </c>
      <c r="D688">
        <v>117.77</v>
      </c>
      <c r="E688">
        <v>112.73</v>
      </c>
      <c r="F688" t="s">
        <v>661</v>
      </c>
      <c r="G688" s="2">
        <v>1.6899999999999998E-2</v>
      </c>
      <c r="H688">
        <f t="shared" si="20"/>
        <v>1.6885389326334269E-2</v>
      </c>
      <c r="I688">
        <f t="shared" si="21"/>
        <v>1.674441585485173E-2</v>
      </c>
    </row>
    <row r="689" spans="1:9" x14ac:dyDescent="0.75">
      <c r="A689" s="1">
        <v>44714</v>
      </c>
      <c r="B689">
        <v>114.3</v>
      </c>
      <c r="C689">
        <v>112.27</v>
      </c>
      <c r="D689">
        <v>115.1</v>
      </c>
      <c r="E689">
        <v>108.94</v>
      </c>
      <c r="F689" t="s">
        <v>662</v>
      </c>
      <c r="G689" s="2">
        <v>1.4E-2</v>
      </c>
      <c r="H689">
        <f t="shared" si="20"/>
        <v>1.4017033356990758E-2</v>
      </c>
      <c r="I689">
        <f t="shared" si="21"/>
        <v>1.3919703210340095E-2</v>
      </c>
    </row>
    <row r="690" spans="1:9" x14ac:dyDescent="0.75">
      <c r="A690" s="1">
        <v>44713</v>
      </c>
      <c r="B690">
        <v>112.72</v>
      </c>
      <c r="C690">
        <v>112.74</v>
      </c>
      <c r="D690">
        <v>115</v>
      </c>
      <c r="E690">
        <v>111.86</v>
      </c>
      <c r="F690" t="s">
        <v>663</v>
      </c>
      <c r="G690" s="2">
        <v>7.1999999999999998E-3</v>
      </c>
      <c r="H690">
        <f t="shared" si="20"/>
        <v>7.237959074256119E-3</v>
      </c>
      <c r="I690">
        <f t="shared" si="21"/>
        <v>7.2118907604890531E-3</v>
      </c>
    </row>
    <row r="691" spans="1:9" x14ac:dyDescent="0.75">
      <c r="A691" s="1">
        <v>44712</v>
      </c>
      <c r="B691">
        <v>111.91</v>
      </c>
      <c r="C691">
        <v>112.1</v>
      </c>
      <c r="D691">
        <v>117.07</v>
      </c>
      <c r="E691">
        <v>111.5</v>
      </c>
      <c r="F691" t="s">
        <v>664</v>
      </c>
      <c r="G691" s="2">
        <v>-4.8500000000000001E-2</v>
      </c>
      <c r="H691">
        <f t="shared" si="20"/>
        <v>-4.8465266558966096E-2</v>
      </c>
      <c r="I691">
        <f t="shared" si="21"/>
        <v>-4.9679089033009424E-2</v>
      </c>
    </row>
    <row r="692" spans="1:9" x14ac:dyDescent="0.75">
      <c r="A692" s="1">
        <v>44711</v>
      </c>
      <c r="B692">
        <v>117.61</v>
      </c>
      <c r="C692">
        <v>115.58</v>
      </c>
      <c r="D692">
        <v>117.79</v>
      </c>
      <c r="E692">
        <v>115.39</v>
      </c>
      <c r="G692" s="2">
        <v>1.7299999999999999E-2</v>
      </c>
      <c r="H692">
        <f t="shared" si="20"/>
        <v>1.7299541562148604E-2</v>
      </c>
      <c r="I692">
        <f t="shared" si="21"/>
        <v>1.7151608175714924E-2</v>
      </c>
    </row>
    <row r="693" spans="1:9" x14ac:dyDescent="0.75">
      <c r="A693" s="1">
        <v>44710</v>
      </c>
      <c r="B693">
        <v>115.61</v>
      </c>
      <c r="C693">
        <v>115.3</v>
      </c>
      <c r="D693">
        <v>115.81</v>
      </c>
      <c r="E693">
        <v>115.2</v>
      </c>
      <c r="G693" s="2">
        <v>3.0099999999999998E-2</v>
      </c>
      <c r="H693">
        <f t="shared" si="20"/>
        <v>3.0116724583444669E-2</v>
      </c>
      <c r="I693">
        <f t="shared" si="21"/>
        <v>2.9672120659065736E-2</v>
      </c>
    </row>
    <row r="694" spans="1:9" x14ac:dyDescent="0.75">
      <c r="A694" s="1">
        <v>44708</v>
      </c>
      <c r="B694">
        <v>112.23</v>
      </c>
      <c r="C694">
        <v>111.25</v>
      </c>
      <c r="D694">
        <v>112.42</v>
      </c>
      <c r="E694">
        <v>110.06</v>
      </c>
      <c r="F694" t="s">
        <v>665</v>
      </c>
      <c r="G694" s="2">
        <v>8.8000000000000005E-3</v>
      </c>
      <c r="H694">
        <f t="shared" si="20"/>
        <v>8.8089887640449803E-3</v>
      </c>
      <c r="I694">
        <f t="shared" si="21"/>
        <v>8.7704159818149385E-3</v>
      </c>
    </row>
    <row r="695" spans="1:9" x14ac:dyDescent="0.75">
      <c r="A695" s="1">
        <v>44707</v>
      </c>
      <c r="B695">
        <v>111.25</v>
      </c>
      <c r="C695">
        <v>108.05</v>
      </c>
      <c r="D695">
        <v>111.88</v>
      </c>
      <c r="E695">
        <v>107.6</v>
      </c>
      <c r="F695" t="s">
        <v>666</v>
      </c>
      <c r="G695" s="2">
        <v>3.2500000000000001E-2</v>
      </c>
      <c r="H695">
        <f t="shared" si="20"/>
        <v>3.248259860788863E-2</v>
      </c>
      <c r="I695">
        <f t="shared" si="21"/>
        <v>3.1966192062492502E-2</v>
      </c>
    </row>
    <row r="696" spans="1:9" x14ac:dyDescent="0.75">
      <c r="A696" s="1">
        <v>44706</v>
      </c>
      <c r="B696">
        <v>107.75</v>
      </c>
      <c r="C696">
        <v>107.68</v>
      </c>
      <c r="D696">
        <v>108.97</v>
      </c>
      <c r="E696">
        <v>106.71</v>
      </c>
      <c r="F696" t="s">
        <v>667</v>
      </c>
      <c r="G696" s="2">
        <v>5.1000000000000004E-3</v>
      </c>
      <c r="H696">
        <f t="shared" si="20"/>
        <v>5.1305970149253463E-3</v>
      </c>
      <c r="I696">
        <f t="shared" si="21"/>
        <v>5.1174803471555359E-3</v>
      </c>
    </row>
    <row r="697" spans="1:9" x14ac:dyDescent="0.75">
      <c r="A697" s="1">
        <v>44705</v>
      </c>
      <c r="B697">
        <v>107.2</v>
      </c>
      <c r="C697">
        <v>107.68</v>
      </c>
      <c r="D697">
        <v>108.76</v>
      </c>
      <c r="E697">
        <v>105.94</v>
      </c>
      <c r="F697" t="s">
        <v>668</v>
      </c>
      <c r="G697" s="2">
        <v>-3.2000000000000002E-3</v>
      </c>
      <c r="H697">
        <f t="shared" si="20"/>
        <v>-3.1616142830574985E-3</v>
      </c>
      <c r="I697">
        <f t="shared" si="21"/>
        <v>-3.1666227448304469E-3</v>
      </c>
    </row>
    <row r="698" spans="1:9" x14ac:dyDescent="0.75">
      <c r="A698" s="1">
        <v>44704</v>
      </c>
      <c r="B698">
        <v>107.54</v>
      </c>
      <c r="C698">
        <v>107.34</v>
      </c>
      <c r="D698">
        <v>108.76</v>
      </c>
      <c r="E698">
        <v>106.32</v>
      </c>
      <c r="F698" t="s">
        <v>669</v>
      </c>
      <c r="G698" s="2">
        <v>-2.4799999999999999E-2</v>
      </c>
      <c r="H698">
        <f t="shared" si="20"/>
        <v>-2.4845846935074311E-2</v>
      </c>
      <c r="I698">
        <f t="shared" si="21"/>
        <v>-2.515971477406391E-2</v>
      </c>
    </row>
    <row r="699" spans="1:9" x14ac:dyDescent="0.75">
      <c r="A699" s="1">
        <v>44701</v>
      </c>
      <c r="B699">
        <v>110.28</v>
      </c>
      <c r="C699">
        <v>109.26</v>
      </c>
      <c r="D699">
        <v>111.04</v>
      </c>
      <c r="E699">
        <v>108.13</v>
      </c>
      <c r="F699" t="s">
        <v>670</v>
      </c>
      <c r="G699" s="2">
        <v>3.5000000000000001E-3</v>
      </c>
      <c r="H699">
        <f t="shared" si="20"/>
        <v>3.5490035490035542E-3</v>
      </c>
      <c r="I699">
        <f t="shared" si="21"/>
        <v>3.5427206967633081E-3</v>
      </c>
    </row>
    <row r="700" spans="1:9" x14ac:dyDescent="0.75">
      <c r="A700" s="1">
        <v>44700</v>
      </c>
      <c r="B700">
        <v>109.89</v>
      </c>
      <c r="C700">
        <v>106.96</v>
      </c>
      <c r="D700">
        <v>110.16</v>
      </c>
      <c r="E700">
        <v>103.24</v>
      </c>
      <c r="F700" t="s">
        <v>671</v>
      </c>
      <c r="G700" s="2">
        <v>2.6599999999999999E-2</v>
      </c>
      <c r="H700">
        <f t="shared" si="20"/>
        <v>2.6625560538116537E-2</v>
      </c>
      <c r="I700">
        <f t="shared" si="21"/>
        <v>2.6277269078914273E-2</v>
      </c>
    </row>
    <row r="701" spans="1:9" x14ac:dyDescent="0.75">
      <c r="A701" s="1">
        <v>44699</v>
      </c>
      <c r="B701">
        <v>107.04</v>
      </c>
      <c r="C701">
        <v>110.77</v>
      </c>
      <c r="D701">
        <v>112.39</v>
      </c>
      <c r="E701">
        <v>106.06</v>
      </c>
      <c r="F701" t="s">
        <v>672</v>
      </c>
      <c r="G701" s="2">
        <v>-2.3599999999999999E-2</v>
      </c>
      <c r="H701">
        <f t="shared" si="20"/>
        <v>-2.3624920186080357E-2</v>
      </c>
      <c r="I701">
        <f t="shared" si="21"/>
        <v>-2.3908463306530188E-2</v>
      </c>
    </row>
    <row r="702" spans="1:9" x14ac:dyDescent="0.75">
      <c r="A702" s="1">
        <v>44698</v>
      </c>
      <c r="B702">
        <v>109.63</v>
      </c>
      <c r="C702">
        <v>111.61</v>
      </c>
      <c r="D702">
        <v>113.2</v>
      </c>
      <c r="E702">
        <v>108.96</v>
      </c>
      <c r="F702" t="s">
        <v>673</v>
      </c>
      <c r="G702" s="2">
        <v>-1.9599999999999999E-2</v>
      </c>
      <c r="H702">
        <f t="shared" si="20"/>
        <v>-1.9585047397603271E-2</v>
      </c>
      <c r="I702">
        <f t="shared" si="21"/>
        <v>-1.9779375912050555E-2</v>
      </c>
    </row>
    <row r="703" spans="1:9" x14ac:dyDescent="0.75">
      <c r="A703" s="1">
        <v>44697</v>
      </c>
      <c r="B703">
        <v>111.82</v>
      </c>
      <c r="C703">
        <v>109</v>
      </c>
      <c r="D703">
        <v>112.47</v>
      </c>
      <c r="E703">
        <v>106.27</v>
      </c>
      <c r="F703" t="s">
        <v>674</v>
      </c>
      <c r="G703" s="2">
        <v>2.9399999999999999E-2</v>
      </c>
      <c r="H703">
        <f t="shared" si="20"/>
        <v>2.9365736905090655E-2</v>
      </c>
      <c r="I703">
        <f t="shared" si="21"/>
        <v>2.894282315283965E-2</v>
      </c>
    </row>
    <row r="704" spans="1:9" x14ac:dyDescent="0.75">
      <c r="A704" s="1">
        <v>44694</v>
      </c>
      <c r="B704">
        <v>108.63</v>
      </c>
      <c r="C704">
        <v>104.91</v>
      </c>
      <c r="D704">
        <v>108.77</v>
      </c>
      <c r="E704">
        <v>104.64</v>
      </c>
      <c r="F704" t="s">
        <v>675</v>
      </c>
      <c r="G704" s="2">
        <v>4.0500000000000001E-2</v>
      </c>
      <c r="H704">
        <f t="shared" si="20"/>
        <v>4.0517241379310245E-2</v>
      </c>
      <c r="I704">
        <f t="shared" si="21"/>
        <v>3.9717936997121062E-2</v>
      </c>
    </row>
    <row r="705" spans="1:9" x14ac:dyDescent="0.75">
      <c r="A705" s="1">
        <v>44693</v>
      </c>
      <c r="B705">
        <v>104.4</v>
      </c>
      <c r="C705">
        <v>103.94</v>
      </c>
      <c r="D705">
        <v>105.55</v>
      </c>
      <c r="E705">
        <v>101.11</v>
      </c>
      <c r="F705" t="s">
        <v>676</v>
      </c>
      <c r="G705" s="2">
        <v>3.5999999999999999E-3</v>
      </c>
      <c r="H705">
        <f t="shared" si="20"/>
        <v>3.5566663462463189E-3</v>
      </c>
      <c r="I705">
        <f t="shared" si="21"/>
        <v>3.5503563657345114E-3</v>
      </c>
    </row>
    <row r="706" spans="1:9" x14ac:dyDescent="0.75">
      <c r="A706" s="1">
        <v>44692</v>
      </c>
      <c r="B706">
        <v>104.03</v>
      </c>
      <c r="C706">
        <v>97.74</v>
      </c>
      <c r="D706">
        <v>104.74</v>
      </c>
      <c r="E706">
        <v>96.93</v>
      </c>
      <c r="F706" t="s">
        <v>677</v>
      </c>
      <c r="G706" s="2">
        <v>5.67E-2</v>
      </c>
      <c r="H706">
        <f t="shared" si="20"/>
        <v>5.6678517013712529E-2</v>
      </c>
      <c r="I706">
        <f t="shared" si="21"/>
        <v>5.513051399766928E-2</v>
      </c>
    </row>
    <row r="707" spans="1:9" x14ac:dyDescent="0.75">
      <c r="A707" s="1">
        <v>44691</v>
      </c>
      <c r="B707">
        <v>98.45</v>
      </c>
      <c r="C707">
        <v>100.96</v>
      </c>
      <c r="D707">
        <v>102.78</v>
      </c>
      <c r="E707">
        <v>97.61</v>
      </c>
      <c r="F707" t="s">
        <v>678</v>
      </c>
      <c r="G707" s="2">
        <v>-3.2599999999999997E-2</v>
      </c>
      <c r="H707">
        <f t="shared" ref="H707:H770" si="22">(B707-B708)/B708</f>
        <v>-3.2622580328190952E-2</v>
      </c>
      <c r="I707">
        <f t="shared" ref="I707:I770" si="23">LN(B707/B708)</f>
        <v>-3.3166560118705606E-2</v>
      </c>
    </row>
    <row r="708" spans="1:9" x14ac:dyDescent="0.75">
      <c r="A708" s="1">
        <v>44690</v>
      </c>
      <c r="B708">
        <v>101.77</v>
      </c>
      <c r="C708">
        <v>108.97</v>
      </c>
      <c r="D708">
        <v>109</v>
      </c>
      <c r="E708">
        <v>100.81</v>
      </c>
      <c r="F708" t="s">
        <v>679</v>
      </c>
      <c r="G708" s="2">
        <v>-6.0600000000000001E-2</v>
      </c>
      <c r="H708">
        <f t="shared" si="22"/>
        <v>-6.0555709406443295E-2</v>
      </c>
      <c r="I708">
        <f t="shared" si="23"/>
        <v>-6.2466758753635894E-2</v>
      </c>
    </row>
    <row r="709" spans="1:9" x14ac:dyDescent="0.75">
      <c r="A709" s="1">
        <v>44687</v>
      </c>
      <c r="B709">
        <v>108.33</v>
      </c>
      <c r="C709">
        <v>107.07</v>
      </c>
      <c r="D709">
        <v>109.53</v>
      </c>
      <c r="E709">
        <v>105.72</v>
      </c>
      <c r="F709" t="s">
        <v>680</v>
      </c>
      <c r="G709" s="2">
        <v>1.49E-2</v>
      </c>
      <c r="H709">
        <f t="shared" si="22"/>
        <v>1.4896008993816783E-2</v>
      </c>
      <c r="I709">
        <f t="shared" si="23"/>
        <v>1.4786153051677365E-2</v>
      </c>
    </row>
    <row r="710" spans="1:9" x14ac:dyDescent="0.75">
      <c r="A710" s="1">
        <v>44686</v>
      </c>
      <c r="B710">
        <v>106.74</v>
      </c>
      <c r="C710">
        <v>106.07</v>
      </c>
      <c r="D710">
        <v>109.77</v>
      </c>
      <c r="E710">
        <v>104.95</v>
      </c>
      <c r="F710" t="s">
        <v>681</v>
      </c>
      <c r="G710" s="2">
        <v>4.8999999999999998E-3</v>
      </c>
      <c r="H710">
        <f t="shared" si="22"/>
        <v>4.8954999058557335E-3</v>
      </c>
      <c r="I710">
        <f t="shared" si="23"/>
        <v>4.8835559115456032E-3</v>
      </c>
    </row>
    <row r="711" spans="1:9" x14ac:dyDescent="0.75">
      <c r="A711" s="1">
        <v>44685</v>
      </c>
      <c r="B711">
        <v>106.22</v>
      </c>
      <c r="C711">
        <v>101.99</v>
      </c>
      <c r="D711">
        <v>107</v>
      </c>
      <c r="E711">
        <v>101.41</v>
      </c>
      <c r="F711" t="s">
        <v>682</v>
      </c>
      <c r="G711" s="2">
        <v>5.2699999999999997E-2</v>
      </c>
      <c r="H711">
        <f t="shared" si="22"/>
        <v>5.2725470763131742E-2</v>
      </c>
      <c r="I711">
        <f t="shared" si="23"/>
        <v>5.1382487634689736E-2</v>
      </c>
    </row>
    <row r="712" spans="1:9" x14ac:dyDescent="0.75">
      <c r="A712" s="1">
        <v>44684</v>
      </c>
      <c r="B712">
        <v>100.9</v>
      </c>
      <c r="C712">
        <v>103.19</v>
      </c>
      <c r="D712">
        <v>104.06</v>
      </c>
      <c r="E712">
        <v>100.58</v>
      </c>
      <c r="F712" t="s">
        <v>401</v>
      </c>
      <c r="G712" s="2">
        <v>-2.4400000000000002E-2</v>
      </c>
      <c r="H712">
        <f t="shared" si="22"/>
        <v>-2.4366660220460221E-2</v>
      </c>
      <c r="I712">
        <f t="shared" si="23"/>
        <v>-2.4668439608512074E-2</v>
      </c>
    </row>
    <row r="713" spans="1:9" x14ac:dyDescent="0.75">
      <c r="A713" s="1">
        <v>44683</v>
      </c>
      <c r="B713">
        <v>103.42</v>
      </c>
      <c r="C713">
        <v>102.15</v>
      </c>
      <c r="D713">
        <v>104.19</v>
      </c>
      <c r="E713">
        <v>98.87</v>
      </c>
      <c r="F713" t="s">
        <v>683</v>
      </c>
      <c r="G713" s="2">
        <v>4.7000000000000002E-3</v>
      </c>
      <c r="H713">
        <f t="shared" si="22"/>
        <v>4.6629104332621329E-3</v>
      </c>
      <c r="I713">
        <f t="shared" si="23"/>
        <v>4.6520727434669158E-3</v>
      </c>
    </row>
    <row r="714" spans="1:9" x14ac:dyDescent="0.75">
      <c r="A714" s="1">
        <v>44680</v>
      </c>
      <c r="B714">
        <v>102.94</v>
      </c>
      <c r="C714">
        <v>103.12</v>
      </c>
      <c r="D714">
        <v>105.99</v>
      </c>
      <c r="E714">
        <v>102.14</v>
      </c>
      <c r="F714" t="s">
        <v>684</v>
      </c>
      <c r="G714" s="2">
        <v>-5.1000000000000004E-3</v>
      </c>
      <c r="H714">
        <f t="shared" si="22"/>
        <v>-5.1222576592249072E-3</v>
      </c>
      <c r="I714">
        <f t="shared" si="23"/>
        <v>-5.1354213922507833E-3</v>
      </c>
    </row>
    <row r="715" spans="1:9" x14ac:dyDescent="0.75">
      <c r="A715" s="1">
        <v>44679</v>
      </c>
      <c r="B715">
        <v>103.47</v>
      </c>
      <c r="C715">
        <v>100.59</v>
      </c>
      <c r="D715">
        <v>103.77</v>
      </c>
      <c r="E715">
        <v>98.75</v>
      </c>
      <c r="F715" t="s">
        <v>685</v>
      </c>
      <c r="G715" s="2">
        <v>2.7699999999999999E-2</v>
      </c>
      <c r="H715">
        <f t="shared" si="22"/>
        <v>2.7711561382598251E-2</v>
      </c>
      <c r="I715">
        <f t="shared" si="23"/>
        <v>2.733454534974401E-2</v>
      </c>
    </row>
    <row r="716" spans="1:9" x14ac:dyDescent="0.75">
      <c r="A716" s="1">
        <v>44678</v>
      </c>
      <c r="B716">
        <v>100.68</v>
      </c>
      <c r="C716">
        <v>100.76</v>
      </c>
      <c r="D716">
        <v>101.68</v>
      </c>
      <c r="E716">
        <v>98.65</v>
      </c>
      <c r="F716" t="s">
        <v>686</v>
      </c>
      <c r="G716" s="2">
        <v>2.7000000000000001E-3</v>
      </c>
      <c r="H716">
        <f t="shared" si="22"/>
        <v>2.688975201673242E-3</v>
      </c>
      <c r="I716">
        <f t="shared" si="23"/>
        <v>2.6853663757702619E-3</v>
      </c>
    </row>
    <row r="717" spans="1:9" x14ac:dyDescent="0.75">
      <c r="A717" s="1">
        <v>44677</v>
      </c>
      <c r="B717">
        <v>100.41</v>
      </c>
      <c r="C717">
        <v>97.77</v>
      </c>
      <c r="D717">
        <v>101.5</v>
      </c>
      <c r="E717">
        <v>96.37</v>
      </c>
      <c r="F717" t="s">
        <v>687</v>
      </c>
      <c r="G717" s="2">
        <v>2.81E-2</v>
      </c>
      <c r="H717">
        <f t="shared" si="22"/>
        <v>2.805365004607346E-2</v>
      </c>
      <c r="I717">
        <f t="shared" si="23"/>
        <v>2.7667354431959276E-2</v>
      </c>
    </row>
    <row r="718" spans="1:9" x14ac:dyDescent="0.75">
      <c r="A718" s="1">
        <v>44676</v>
      </c>
      <c r="B718">
        <v>97.67</v>
      </c>
      <c r="C718">
        <v>100.38</v>
      </c>
      <c r="D718">
        <v>100.48</v>
      </c>
      <c r="E718">
        <v>94.47</v>
      </c>
      <c r="F718" t="s">
        <v>688</v>
      </c>
      <c r="G718" s="2">
        <v>-3.3399999999999999E-2</v>
      </c>
      <c r="H718">
        <f t="shared" si="22"/>
        <v>-3.344878772884706E-2</v>
      </c>
      <c r="I718">
        <f t="shared" si="23"/>
        <v>-3.4020994390244322E-2</v>
      </c>
    </row>
    <row r="719" spans="1:9" x14ac:dyDescent="0.75">
      <c r="A719" s="1">
        <v>44673</v>
      </c>
      <c r="B719">
        <v>101.05</v>
      </c>
      <c r="C719">
        <v>102.01</v>
      </c>
      <c r="D719">
        <v>103.34</v>
      </c>
      <c r="E719">
        <v>100.08</v>
      </c>
      <c r="F719" t="s">
        <v>689</v>
      </c>
      <c r="G719" s="2">
        <v>-1.8599999999999998E-2</v>
      </c>
      <c r="H719">
        <f t="shared" si="22"/>
        <v>-1.8550893550893521E-2</v>
      </c>
      <c r="I719">
        <f t="shared" si="23"/>
        <v>-1.8725119438241223E-2</v>
      </c>
    </row>
    <row r="720" spans="1:9" x14ac:dyDescent="0.75">
      <c r="A720" s="1">
        <v>44672</v>
      </c>
      <c r="B720">
        <v>102.96</v>
      </c>
      <c r="C720">
        <v>101.66</v>
      </c>
      <c r="D720">
        <v>104.47</v>
      </c>
      <c r="E720">
        <v>101.25</v>
      </c>
      <c r="F720" t="s">
        <v>690</v>
      </c>
      <c r="G720" s="2">
        <v>7.4999999999999997E-3</v>
      </c>
      <c r="H720">
        <f t="shared" si="22"/>
        <v>7.5349838536059892E-3</v>
      </c>
      <c r="I720">
        <f t="shared" si="23"/>
        <v>7.5067376637535715E-3</v>
      </c>
    </row>
    <row r="721" spans="1:9" x14ac:dyDescent="0.75">
      <c r="A721" s="1">
        <v>44671</v>
      </c>
      <c r="B721">
        <v>102.19</v>
      </c>
      <c r="C721">
        <v>102.38</v>
      </c>
      <c r="D721">
        <v>103.96</v>
      </c>
      <c r="E721">
        <v>99.88</v>
      </c>
      <c r="F721" t="s">
        <v>691</v>
      </c>
      <c r="G721" s="2">
        <v>1.4E-3</v>
      </c>
      <c r="H721">
        <f t="shared" si="22"/>
        <v>1.3718765311122056E-3</v>
      </c>
      <c r="I721">
        <f t="shared" si="23"/>
        <v>1.3709363682638418E-3</v>
      </c>
    </row>
    <row r="722" spans="1:9" x14ac:dyDescent="0.75">
      <c r="A722" s="1">
        <v>44670</v>
      </c>
      <c r="B722">
        <v>102.05</v>
      </c>
      <c r="C722">
        <v>107.06</v>
      </c>
      <c r="D722">
        <v>108.37</v>
      </c>
      <c r="E722">
        <v>101.51</v>
      </c>
      <c r="F722" t="s">
        <v>692</v>
      </c>
      <c r="G722" s="2">
        <v>-5.1700000000000003E-2</v>
      </c>
      <c r="H722">
        <f t="shared" si="22"/>
        <v>-5.1668060589164594E-2</v>
      </c>
      <c r="I722">
        <f t="shared" si="23"/>
        <v>-5.3050690956447148E-2</v>
      </c>
    </row>
    <row r="723" spans="1:9" x14ac:dyDescent="0.75">
      <c r="A723" s="1">
        <v>44669</v>
      </c>
      <c r="B723">
        <v>107.61</v>
      </c>
      <c r="C723">
        <v>106.46</v>
      </c>
      <c r="D723">
        <v>109.2</v>
      </c>
      <c r="E723">
        <v>105.43</v>
      </c>
      <c r="F723" t="s">
        <v>693</v>
      </c>
      <c r="G723" s="2">
        <v>1.1599999999999999E-2</v>
      </c>
      <c r="H723">
        <f t="shared" si="22"/>
        <v>1.15623237450649E-2</v>
      </c>
      <c r="I723">
        <f t="shared" si="23"/>
        <v>1.1495990898129345E-2</v>
      </c>
    </row>
    <row r="724" spans="1:9" x14ac:dyDescent="0.75">
      <c r="A724" s="1">
        <v>44665</v>
      </c>
      <c r="B724">
        <v>106.38</v>
      </c>
      <c r="C724">
        <v>103.79</v>
      </c>
      <c r="D724">
        <v>107</v>
      </c>
      <c r="E724">
        <v>101.69</v>
      </c>
      <c r="F724" t="s">
        <v>694</v>
      </c>
      <c r="G724" s="2">
        <v>2.5000000000000001E-2</v>
      </c>
      <c r="H724">
        <f t="shared" si="22"/>
        <v>2.4954234511995271E-2</v>
      </c>
      <c r="I724">
        <f t="shared" si="23"/>
        <v>2.4647962336973819E-2</v>
      </c>
    </row>
    <row r="725" spans="1:9" x14ac:dyDescent="0.75">
      <c r="A725" s="1">
        <v>44664</v>
      </c>
      <c r="B725">
        <v>103.79</v>
      </c>
      <c r="C725">
        <v>100.35</v>
      </c>
      <c r="D725">
        <v>104</v>
      </c>
      <c r="E725">
        <v>99.51</v>
      </c>
      <c r="F725" t="s">
        <v>695</v>
      </c>
      <c r="G725" s="2">
        <v>3.6299999999999999E-2</v>
      </c>
      <c r="H725">
        <f t="shared" si="22"/>
        <v>3.6345481777334002E-2</v>
      </c>
      <c r="I725">
        <f t="shared" si="23"/>
        <v>3.5700564865370467E-2</v>
      </c>
    </row>
    <row r="726" spans="1:9" x14ac:dyDescent="0.75">
      <c r="A726" s="1">
        <v>44663</v>
      </c>
      <c r="B726">
        <v>100.15</v>
      </c>
      <c r="C726">
        <v>94.84</v>
      </c>
      <c r="D726">
        <v>100.82</v>
      </c>
      <c r="E726">
        <v>94.52</v>
      </c>
      <c r="F726" t="s">
        <v>696</v>
      </c>
      <c r="G726" s="2">
        <v>6.6299999999999998E-2</v>
      </c>
      <c r="H726">
        <f t="shared" si="22"/>
        <v>6.6333049403747915E-2</v>
      </c>
      <c r="I726">
        <f t="shared" si="23"/>
        <v>6.4225706032041016E-2</v>
      </c>
    </row>
    <row r="727" spans="1:9" x14ac:dyDescent="0.75">
      <c r="A727" s="1">
        <v>44662</v>
      </c>
      <c r="B727">
        <v>93.92</v>
      </c>
      <c r="C727">
        <v>97.84</v>
      </c>
      <c r="D727">
        <v>97.95</v>
      </c>
      <c r="E727">
        <v>92.6</v>
      </c>
      <c r="F727" t="s">
        <v>697</v>
      </c>
      <c r="G727" s="2">
        <v>-3.9E-2</v>
      </c>
      <c r="H727">
        <f t="shared" si="22"/>
        <v>-3.898495855929604E-2</v>
      </c>
      <c r="I727">
        <f t="shared" si="23"/>
        <v>-3.9765218270958115E-2</v>
      </c>
    </row>
    <row r="728" spans="1:9" x14ac:dyDescent="0.75">
      <c r="A728" s="1">
        <v>44659</v>
      </c>
      <c r="B728">
        <v>97.73</v>
      </c>
      <c r="C728">
        <v>96.31</v>
      </c>
      <c r="D728">
        <v>98.12</v>
      </c>
      <c r="E728">
        <v>94.72</v>
      </c>
      <c r="F728" t="s">
        <v>348</v>
      </c>
      <c r="G728" s="2">
        <v>2.3199999999999998E-2</v>
      </c>
      <c r="H728">
        <f t="shared" si="22"/>
        <v>2.3243639409485903E-2</v>
      </c>
      <c r="I728">
        <f t="shared" si="23"/>
        <v>2.2977620304098192E-2</v>
      </c>
    </row>
    <row r="729" spans="1:9" x14ac:dyDescent="0.75">
      <c r="A729" s="1">
        <v>44658</v>
      </c>
      <c r="B729">
        <v>95.51</v>
      </c>
      <c r="C729">
        <v>96.29</v>
      </c>
      <c r="D729">
        <v>97.95</v>
      </c>
      <c r="E729">
        <v>93.21</v>
      </c>
      <c r="F729" t="s">
        <v>698</v>
      </c>
      <c r="G729" s="2">
        <v>1E-3</v>
      </c>
      <c r="H729">
        <f t="shared" si="22"/>
        <v>1.0481081647626929E-3</v>
      </c>
      <c r="I729">
        <f t="shared" si="23"/>
        <v>1.0475592828916866E-3</v>
      </c>
    </row>
    <row r="730" spans="1:9" x14ac:dyDescent="0.75">
      <c r="A730" s="1">
        <v>44657</v>
      </c>
      <c r="B730">
        <v>95.41</v>
      </c>
      <c r="C730">
        <v>99.95</v>
      </c>
      <c r="D730">
        <v>102.63</v>
      </c>
      <c r="E730">
        <v>94.93</v>
      </c>
      <c r="F730" t="s">
        <v>699</v>
      </c>
      <c r="G730" s="2">
        <v>-5.2299999999999999E-2</v>
      </c>
      <c r="H730">
        <f t="shared" si="22"/>
        <v>-5.2344060389352499E-2</v>
      </c>
      <c r="I730">
        <f t="shared" si="23"/>
        <v>-5.3763775503360631E-2</v>
      </c>
    </row>
    <row r="731" spans="1:9" x14ac:dyDescent="0.75">
      <c r="A731" s="1">
        <v>44656</v>
      </c>
      <c r="B731">
        <v>100.68</v>
      </c>
      <c r="C731">
        <v>102.16</v>
      </c>
      <c r="D731">
        <v>104.07</v>
      </c>
      <c r="E731">
        <v>98.63</v>
      </c>
      <c r="F731" t="s">
        <v>700</v>
      </c>
      <c r="G731" s="2">
        <v>-1.14E-2</v>
      </c>
      <c r="H731">
        <f t="shared" si="22"/>
        <v>-1.1390416339355818E-2</v>
      </c>
      <c r="I731">
        <f t="shared" si="23"/>
        <v>-1.1455783982035887E-2</v>
      </c>
    </row>
    <row r="732" spans="1:9" x14ac:dyDescent="0.75">
      <c r="A732" s="1">
        <v>44655</v>
      </c>
      <c r="B732">
        <v>101.84</v>
      </c>
      <c r="C732">
        <v>97.68</v>
      </c>
      <c r="D732">
        <v>102.44</v>
      </c>
      <c r="E732">
        <v>96.83</v>
      </c>
      <c r="F732" t="s">
        <v>701</v>
      </c>
      <c r="G732" s="2">
        <v>4.02E-2</v>
      </c>
      <c r="H732">
        <f t="shared" si="22"/>
        <v>4.0245148110316625E-2</v>
      </c>
      <c r="I732">
        <f t="shared" si="23"/>
        <v>3.9456404712686279E-2</v>
      </c>
    </row>
    <row r="733" spans="1:9" x14ac:dyDescent="0.75">
      <c r="A733" s="1">
        <v>44652</v>
      </c>
      <c r="B733">
        <v>97.9</v>
      </c>
      <c r="C733">
        <v>99.77</v>
      </c>
      <c r="D733">
        <v>100</v>
      </c>
      <c r="E733">
        <v>96.22</v>
      </c>
      <c r="F733" t="s">
        <v>702</v>
      </c>
      <c r="G733" s="2">
        <v>-6.3E-3</v>
      </c>
      <c r="H733">
        <f t="shared" si="22"/>
        <v>-6.2931384490457808E-3</v>
      </c>
      <c r="I733">
        <f t="shared" si="23"/>
        <v>-6.3130237158723623E-3</v>
      </c>
    </row>
    <row r="734" spans="1:9" x14ac:dyDescent="0.75">
      <c r="A734" s="1">
        <v>44651</v>
      </c>
      <c r="B734">
        <v>98.52</v>
      </c>
      <c r="C734">
        <v>105.3</v>
      </c>
      <c r="D734">
        <v>105.64</v>
      </c>
      <c r="E734">
        <v>97.88</v>
      </c>
      <c r="F734" t="s">
        <v>703</v>
      </c>
      <c r="G734" s="2">
        <v>-6.7799999999999999E-2</v>
      </c>
      <c r="H734">
        <f t="shared" si="22"/>
        <v>-6.775170325510986E-2</v>
      </c>
      <c r="I734">
        <f t="shared" si="23"/>
        <v>-7.0156086961732769E-2</v>
      </c>
    </row>
    <row r="735" spans="1:9" x14ac:dyDescent="0.75">
      <c r="A735" s="1">
        <v>44650</v>
      </c>
      <c r="B735">
        <v>105.68</v>
      </c>
      <c r="C735">
        <v>103.04</v>
      </c>
      <c r="D735">
        <v>106.44</v>
      </c>
      <c r="E735">
        <v>102.41</v>
      </c>
      <c r="F735" t="s">
        <v>704</v>
      </c>
      <c r="G735" s="2">
        <v>3.56E-2</v>
      </c>
      <c r="H735">
        <f t="shared" si="22"/>
        <v>3.5570798628123568E-2</v>
      </c>
      <c r="I735">
        <f t="shared" si="23"/>
        <v>3.4952770958216119E-2</v>
      </c>
    </row>
    <row r="736" spans="1:9" x14ac:dyDescent="0.75">
      <c r="A736" s="1">
        <v>44649</v>
      </c>
      <c r="B736">
        <v>102.05</v>
      </c>
      <c r="C736">
        <v>101.29</v>
      </c>
      <c r="D736">
        <v>105.45</v>
      </c>
      <c r="E736">
        <v>96.52</v>
      </c>
      <c r="F736" t="s">
        <v>705</v>
      </c>
      <c r="G736" s="2">
        <v>-1.32E-2</v>
      </c>
      <c r="H736">
        <f t="shared" si="22"/>
        <v>-1.3246954167472486E-2</v>
      </c>
      <c r="I736">
        <f t="shared" si="23"/>
        <v>-1.3335477712221634E-2</v>
      </c>
    </row>
    <row r="737" spans="1:9" x14ac:dyDescent="0.75">
      <c r="A737" s="1">
        <v>44648</v>
      </c>
      <c r="B737">
        <v>103.42</v>
      </c>
      <c r="C737">
        <v>110.22</v>
      </c>
      <c r="D737">
        <v>110.22</v>
      </c>
      <c r="E737">
        <v>100.43</v>
      </c>
      <c r="F737" t="s">
        <v>706</v>
      </c>
      <c r="G737" s="2">
        <v>-6.88E-2</v>
      </c>
      <c r="H737">
        <f t="shared" si="22"/>
        <v>-6.8791644156311907E-2</v>
      </c>
      <c r="I737">
        <f t="shared" si="23"/>
        <v>-7.1272228845385713E-2</v>
      </c>
    </row>
    <row r="738" spans="1:9" x14ac:dyDescent="0.75">
      <c r="A738" s="1">
        <v>44645</v>
      </c>
      <c r="B738">
        <v>111.06</v>
      </c>
      <c r="C738">
        <v>108.29</v>
      </c>
      <c r="D738">
        <v>111.26</v>
      </c>
      <c r="E738">
        <v>105.86</v>
      </c>
      <c r="F738" t="s">
        <v>707</v>
      </c>
      <c r="G738" s="2">
        <v>1.49E-2</v>
      </c>
      <c r="H738">
        <f t="shared" si="22"/>
        <v>1.4895366901215346E-2</v>
      </c>
      <c r="I738">
        <f t="shared" si="23"/>
        <v>1.4785520383109395E-2</v>
      </c>
    </row>
    <row r="739" spans="1:9" x14ac:dyDescent="0.75">
      <c r="A739" s="1">
        <v>44644</v>
      </c>
      <c r="B739">
        <v>109.43</v>
      </c>
      <c r="C739">
        <v>111.41</v>
      </c>
      <c r="D739">
        <v>113.51</v>
      </c>
      <c r="E739">
        <v>107.79</v>
      </c>
      <c r="F739" t="s">
        <v>708</v>
      </c>
      <c r="G739" s="2">
        <v>-2.29E-2</v>
      </c>
      <c r="H739">
        <f t="shared" si="22"/>
        <v>-2.2859183855701296E-2</v>
      </c>
      <c r="I739">
        <f t="shared" si="23"/>
        <v>-2.3124506164250408E-2</v>
      </c>
    </row>
    <row r="740" spans="1:9" x14ac:dyDescent="0.75">
      <c r="A740" s="1">
        <v>44643</v>
      </c>
      <c r="B740">
        <v>111.99</v>
      </c>
      <c r="C740">
        <v>105.84</v>
      </c>
      <c r="D740">
        <v>112.34</v>
      </c>
      <c r="E740">
        <v>105.69</v>
      </c>
      <c r="F740" t="s">
        <v>709</v>
      </c>
      <c r="G740" s="2">
        <v>2.4899999999999999E-2</v>
      </c>
      <c r="H740">
        <f t="shared" si="22"/>
        <v>2.4892468198041539E-2</v>
      </c>
      <c r="I740">
        <f t="shared" si="23"/>
        <v>2.4587698011948197E-2</v>
      </c>
    </row>
    <row r="741" spans="1:9" x14ac:dyDescent="0.75">
      <c r="A741" s="1">
        <v>44642</v>
      </c>
      <c r="B741">
        <v>109.27</v>
      </c>
      <c r="C741">
        <v>110.91</v>
      </c>
      <c r="D741">
        <v>113.35</v>
      </c>
      <c r="E741">
        <v>107.1</v>
      </c>
      <c r="F741" t="s">
        <v>710</v>
      </c>
      <c r="G741" s="2">
        <v>-6.4000000000000003E-3</v>
      </c>
      <c r="H741">
        <f t="shared" si="22"/>
        <v>-6.3653723742839218E-3</v>
      </c>
      <c r="I741">
        <f t="shared" si="23"/>
        <v>-6.3857177401891157E-3</v>
      </c>
    </row>
    <row r="742" spans="1:9" x14ac:dyDescent="0.75">
      <c r="A742" s="1">
        <v>44641</v>
      </c>
      <c r="B742">
        <v>109.97</v>
      </c>
      <c r="C742">
        <v>103.62</v>
      </c>
      <c r="D742">
        <v>111.08</v>
      </c>
      <c r="E742">
        <v>102.47</v>
      </c>
      <c r="F742" t="s">
        <v>711</v>
      </c>
      <c r="G742" s="2">
        <v>6.6699999999999995E-2</v>
      </c>
      <c r="H742">
        <f t="shared" si="22"/>
        <v>6.6737801920651818E-2</v>
      </c>
      <c r="I742">
        <f t="shared" si="23"/>
        <v>6.4605208214549598E-2</v>
      </c>
    </row>
    <row r="743" spans="1:9" x14ac:dyDescent="0.75">
      <c r="A743" s="1">
        <v>44638</v>
      </c>
      <c r="B743">
        <v>103.09</v>
      </c>
      <c r="C743">
        <v>102.23</v>
      </c>
      <c r="D743">
        <v>104.67</v>
      </c>
      <c r="E743">
        <v>100.96</v>
      </c>
      <c r="F743" t="s">
        <v>712</v>
      </c>
      <c r="G743" s="2">
        <v>1.4200000000000001E-2</v>
      </c>
      <c r="H743">
        <f t="shared" si="22"/>
        <v>1.4166256763403813E-2</v>
      </c>
      <c r="I743">
        <f t="shared" si="23"/>
        <v>1.406685303393765E-2</v>
      </c>
    </row>
    <row r="744" spans="1:9" x14ac:dyDescent="0.75">
      <c r="A744" s="1">
        <v>44637</v>
      </c>
      <c r="B744">
        <v>101.65</v>
      </c>
      <c r="C744">
        <v>94.08</v>
      </c>
      <c r="D744">
        <v>102.69</v>
      </c>
      <c r="E744">
        <v>93.41</v>
      </c>
      <c r="F744" t="s">
        <v>713</v>
      </c>
      <c r="G744" s="2">
        <v>8.6099999999999996E-2</v>
      </c>
      <c r="H744">
        <f t="shared" si="22"/>
        <v>8.612031199914523E-2</v>
      </c>
      <c r="I744">
        <f t="shared" si="23"/>
        <v>8.2611999905190484E-2</v>
      </c>
    </row>
    <row r="745" spans="1:9" x14ac:dyDescent="0.75">
      <c r="A745" s="1">
        <v>44636</v>
      </c>
      <c r="B745">
        <v>93.59</v>
      </c>
      <c r="C745">
        <v>93.7</v>
      </c>
      <c r="D745">
        <v>97.93</v>
      </c>
      <c r="E745">
        <v>92.68</v>
      </c>
      <c r="F745" t="s">
        <v>714</v>
      </c>
      <c r="G745" s="2">
        <v>-1.2699999999999999E-2</v>
      </c>
      <c r="H745">
        <f t="shared" si="22"/>
        <v>-1.2659563245068074E-2</v>
      </c>
      <c r="I745">
        <f t="shared" si="23"/>
        <v>-1.2740378295785195E-2</v>
      </c>
    </row>
    <row r="746" spans="1:9" x14ac:dyDescent="0.75">
      <c r="A746" s="1">
        <v>44635</v>
      </c>
      <c r="B746">
        <v>94.79</v>
      </c>
      <c r="C746">
        <v>100.55</v>
      </c>
      <c r="D746">
        <v>100.92</v>
      </c>
      <c r="E746">
        <v>92.2</v>
      </c>
      <c r="F746" t="s">
        <v>715</v>
      </c>
      <c r="G746" s="2">
        <v>-6.3200000000000006E-2</v>
      </c>
      <c r="H746">
        <f t="shared" si="22"/>
        <v>-6.3154773670685907E-2</v>
      </c>
      <c r="I746">
        <f t="shared" si="23"/>
        <v>-6.5237190398839781E-2</v>
      </c>
    </row>
    <row r="747" spans="1:9" x14ac:dyDescent="0.75">
      <c r="A747" s="1">
        <v>44634</v>
      </c>
      <c r="B747">
        <v>101.18</v>
      </c>
      <c r="C747">
        <v>106.64</v>
      </c>
      <c r="D747">
        <v>106.65</v>
      </c>
      <c r="E747">
        <v>97.89</v>
      </c>
      <c r="F747" t="s">
        <v>716</v>
      </c>
      <c r="G747" s="2">
        <v>-4.82E-2</v>
      </c>
      <c r="H747">
        <f t="shared" si="22"/>
        <v>-4.8165569143932177E-2</v>
      </c>
      <c r="I747">
        <f t="shared" si="23"/>
        <v>-4.9364176484112156E-2</v>
      </c>
    </row>
    <row r="748" spans="1:9" x14ac:dyDescent="0.75">
      <c r="A748" s="1">
        <v>44631</v>
      </c>
      <c r="B748">
        <v>106.3</v>
      </c>
      <c r="C748">
        <v>103</v>
      </c>
      <c r="D748">
        <v>107.17</v>
      </c>
      <c r="E748">
        <v>101.27</v>
      </c>
      <c r="F748" t="s">
        <v>717</v>
      </c>
      <c r="G748" s="2">
        <v>3.2099999999999997E-2</v>
      </c>
      <c r="H748">
        <f t="shared" si="22"/>
        <v>3.2139042625497646E-2</v>
      </c>
      <c r="I748">
        <f t="shared" si="23"/>
        <v>3.1633389210191959E-2</v>
      </c>
    </row>
    <row r="749" spans="1:9" x14ac:dyDescent="0.75">
      <c r="A749" s="1">
        <v>44630</v>
      </c>
      <c r="B749">
        <v>102.99</v>
      </c>
      <c r="C749">
        <v>106.59</v>
      </c>
      <c r="D749">
        <v>110.91</v>
      </c>
      <c r="E749">
        <v>102.38</v>
      </c>
      <c r="F749" t="s">
        <v>718</v>
      </c>
      <c r="G749" s="2">
        <v>-1.9599999999999999E-2</v>
      </c>
      <c r="H749">
        <f t="shared" si="22"/>
        <v>-1.9609709662065704E-2</v>
      </c>
      <c r="I749">
        <f t="shared" si="23"/>
        <v>-1.9804531153299016E-2</v>
      </c>
    </row>
    <row r="750" spans="1:9" x14ac:dyDescent="0.75">
      <c r="A750" s="1">
        <v>44629</v>
      </c>
      <c r="B750">
        <v>105.05</v>
      </c>
      <c r="C750">
        <v>120.66</v>
      </c>
      <c r="D750">
        <v>122.73</v>
      </c>
      <c r="E750">
        <v>99.55</v>
      </c>
      <c r="F750" t="s">
        <v>719</v>
      </c>
      <c r="G750" s="2">
        <v>-0.122</v>
      </c>
      <c r="H750">
        <f t="shared" si="22"/>
        <v>-0.12202256581696622</v>
      </c>
      <c r="I750">
        <f t="shared" si="23"/>
        <v>-0.13013438706337302</v>
      </c>
    </row>
    <row r="751" spans="1:9" x14ac:dyDescent="0.75">
      <c r="A751" s="1">
        <v>44628</v>
      </c>
      <c r="B751">
        <v>119.65</v>
      </c>
      <c r="C751">
        <v>116.98</v>
      </c>
      <c r="D751">
        <v>124.98</v>
      </c>
      <c r="E751">
        <v>113.66</v>
      </c>
      <c r="F751" t="s">
        <v>720</v>
      </c>
      <c r="G751" s="2">
        <v>3.32E-2</v>
      </c>
      <c r="H751">
        <f t="shared" si="22"/>
        <v>3.3246977547495754E-2</v>
      </c>
      <c r="I751">
        <f t="shared" si="23"/>
        <v>3.2706249215487503E-2</v>
      </c>
    </row>
    <row r="752" spans="1:9" x14ac:dyDescent="0.75">
      <c r="A752" s="1">
        <v>44627</v>
      </c>
      <c r="B752">
        <v>115.8</v>
      </c>
      <c r="C752">
        <v>116.03</v>
      </c>
      <c r="D752">
        <v>126.42</v>
      </c>
      <c r="E752">
        <v>111.87</v>
      </c>
      <c r="F752" t="s">
        <v>721</v>
      </c>
      <c r="G752" s="2">
        <v>3.2899999999999999E-2</v>
      </c>
      <c r="H752">
        <f t="shared" si="22"/>
        <v>3.2914102221032894E-2</v>
      </c>
      <c r="I752">
        <f t="shared" si="23"/>
        <v>3.2384032973392596E-2</v>
      </c>
    </row>
    <row r="753" spans="1:9" x14ac:dyDescent="0.75">
      <c r="A753" s="1">
        <v>44624</v>
      </c>
      <c r="B753">
        <v>112.11</v>
      </c>
      <c r="C753">
        <v>105.04</v>
      </c>
      <c r="D753">
        <v>112.54</v>
      </c>
      <c r="E753">
        <v>104.36</v>
      </c>
      <c r="F753" t="s">
        <v>722</v>
      </c>
      <c r="G753" s="2">
        <v>7.17E-2</v>
      </c>
      <c r="H753">
        <f t="shared" si="22"/>
        <v>7.1694866647548039E-2</v>
      </c>
      <c r="I753">
        <f t="shared" si="23"/>
        <v>6.9241382809832788E-2</v>
      </c>
    </row>
    <row r="754" spans="1:9" x14ac:dyDescent="0.75">
      <c r="A754" s="1">
        <v>44623</v>
      </c>
      <c r="B754">
        <v>104.61</v>
      </c>
      <c r="C754">
        <v>107.27</v>
      </c>
      <c r="D754">
        <v>112.65</v>
      </c>
      <c r="E754">
        <v>103.14</v>
      </c>
      <c r="F754" t="s">
        <v>723</v>
      </c>
      <c r="G754" s="2">
        <v>-2.29E-2</v>
      </c>
      <c r="H754">
        <f t="shared" si="22"/>
        <v>-2.2884363908088949E-2</v>
      </c>
      <c r="I754">
        <f t="shared" si="23"/>
        <v>-2.3150275609565722E-2</v>
      </c>
    </row>
    <row r="755" spans="1:9" x14ac:dyDescent="0.75">
      <c r="A755" s="1">
        <v>44622</v>
      </c>
      <c r="B755">
        <v>107.06</v>
      </c>
      <c r="C755">
        <v>103.43</v>
      </c>
      <c r="D755">
        <v>108.91</v>
      </c>
      <c r="E755">
        <v>101.86</v>
      </c>
      <c r="F755" t="s">
        <v>724</v>
      </c>
      <c r="G755" s="2">
        <v>6.8400000000000002E-2</v>
      </c>
      <c r="H755">
        <f t="shared" si="22"/>
        <v>6.8356451451950989E-2</v>
      </c>
      <c r="I755">
        <f t="shared" si="23"/>
        <v>6.6121440894997829E-2</v>
      </c>
    </row>
    <row r="756" spans="1:9" x14ac:dyDescent="0.75">
      <c r="A756" s="1">
        <v>44621</v>
      </c>
      <c r="B756">
        <v>100.21</v>
      </c>
      <c r="C756">
        <v>93.88</v>
      </c>
      <c r="D756">
        <v>103.06</v>
      </c>
      <c r="E756">
        <v>93.21</v>
      </c>
      <c r="F756" t="s">
        <v>725</v>
      </c>
      <c r="G756" s="2">
        <v>7.1800000000000003E-2</v>
      </c>
      <c r="H756">
        <f t="shared" si="22"/>
        <v>7.1764705882352869E-2</v>
      </c>
      <c r="I756">
        <f t="shared" si="23"/>
        <v>6.9306547775596195E-2</v>
      </c>
    </row>
    <row r="757" spans="1:9" x14ac:dyDescent="0.75">
      <c r="A757" s="1">
        <v>44620</v>
      </c>
      <c r="B757">
        <v>93.5</v>
      </c>
      <c r="C757">
        <v>92.97</v>
      </c>
      <c r="D757">
        <v>96.92</v>
      </c>
      <c r="E757">
        <v>92.42</v>
      </c>
      <c r="F757" t="s">
        <v>726</v>
      </c>
      <c r="G757" s="2">
        <v>4.02E-2</v>
      </c>
      <c r="H757">
        <f t="shared" si="22"/>
        <v>4.0160195794860382E-2</v>
      </c>
      <c r="I757">
        <f t="shared" si="23"/>
        <v>3.9374735709333308E-2</v>
      </c>
    </row>
    <row r="758" spans="1:9" x14ac:dyDescent="0.75">
      <c r="A758" s="1">
        <v>44617</v>
      </c>
      <c r="B758">
        <v>89.89</v>
      </c>
      <c r="C758">
        <v>91.48</v>
      </c>
      <c r="D758">
        <v>93.73</v>
      </c>
      <c r="E758">
        <v>88.49</v>
      </c>
      <c r="F758" t="s">
        <v>727</v>
      </c>
      <c r="G758" s="2">
        <v>-1.15E-2</v>
      </c>
      <c r="H758">
        <f t="shared" si="22"/>
        <v>-1.1546074334726162E-2</v>
      </c>
      <c r="I758">
        <f t="shared" si="23"/>
        <v>-1.1613247811556596E-2</v>
      </c>
    </row>
    <row r="759" spans="1:9" x14ac:dyDescent="0.75">
      <c r="A759" s="1">
        <v>44616</v>
      </c>
      <c r="B759">
        <v>90.94</v>
      </c>
      <c r="C759">
        <v>91.08</v>
      </c>
      <c r="D759">
        <v>98.44</v>
      </c>
      <c r="E759">
        <v>89.65</v>
      </c>
      <c r="F759" t="s">
        <v>728</v>
      </c>
      <c r="G759" s="2">
        <v>2.8E-3</v>
      </c>
      <c r="H759">
        <f t="shared" si="22"/>
        <v>2.7566435108611754E-3</v>
      </c>
      <c r="I759">
        <f t="shared" si="23"/>
        <v>2.7528509373881951E-3</v>
      </c>
    </row>
    <row r="760" spans="1:9" x14ac:dyDescent="0.75">
      <c r="A760" s="1">
        <v>44615</v>
      </c>
      <c r="B760">
        <v>90.69</v>
      </c>
      <c r="C760">
        <v>90.31</v>
      </c>
      <c r="D760">
        <v>92.36</v>
      </c>
      <c r="E760">
        <v>89.34</v>
      </c>
      <c r="F760" t="s">
        <v>729</v>
      </c>
      <c r="G760" s="2">
        <v>-1.3299999999999999E-2</v>
      </c>
      <c r="H760">
        <f t="shared" si="22"/>
        <v>-1.3273854858013263E-2</v>
      </c>
      <c r="I760">
        <f t="shared" si="23"/>
        <v>-1.3362739910541719E-2</v>
      </c>
    </row>
    <row r="761" spans="1:9" x14ac:dyDescent="0.75">
      <c r="A761" s="1">
        <v>44614</v>
      </c>
      <c r="B761">
        <v>91.91</v>
      </c>
      <c r="C761">
        <v>91.32</v>
      </c>
      <c r="D761">
        <v>94.95</v>
      </c>
      <c r="E761">
        <v>89.06</v>
      </c>
      <c r="F761" t="s">
        <v>730</v>
      </c>
      <c r="G761" s="2">
        <v>-8.0000000000000002E-3</v>
      </c>
      <c r="H761">
        <f t="shared" si="22"/>
        <v>-7.9870480302213602E-3</v>
      </c>
      <c r="I761">
        <f t="shared" si="23"/>
        <v>-8.0191153613507222E-3</v>
      </c>
    </row>
    <row r="762" spans="1:9" x14ac:dyDescent="0.75">
      <c r="A762" s="1">
        <v>44613</v>
      </c>
      <c r="B762">
        <v>92.65</v>
      </c>
      <c r="C762">
        <v>91.62</v>
      </c>
      <c r="D762">
        <v>93.91</v>
      </c>
      <c r="E762">
        <v>89.08</v>
      </c>
      <c r="G762" s="2">
        <v>1.12E-2</v>
      </c>
      <c r="H762">
        <f t="shared" si="22"/>
        <v>1.1242086880593768E-2</v>
      </c>
      <c r="I762">
        <f t="shared" si="23"/>
        <v>1.1179364272772767E-2</v>
      </c>
    </row>
    <row r="763" spans="1:9" x14ac:dyDescent="0.75">
      <c r="A763" s="1">
        <v>44612</v>
      </c>
      <c r="B763">
        <v>91.62</v>
      </c>
      <c r="C763">
        <v>91.22</v>
      </c>
      <c r="D763">
        <v>91.74</v>
      </c>
      <c r="E763">
        <v>91.08</v>
      </c>
      <c r="G763" s="2">
        <v>1.5599999999999999E-2</v>
      </c>
      <c r="H763">
        <f t="shared" si="22"/>
        <v>1.5630196208846148E-2</v>
      </c>
      <c r="I763">
        <f t="shared" si="23"/>
        <v>1.5509302790048741E-2</v>
      </c>
    </row>
    <row r="764" spans="1:9" x14ac:dyDescent="0.75">
      <c r="A764" s="1">
        <v>44610</v>
      </c>
      <c r="B764">
        <v>90.21</v>
      </c>
      <c r="C764">
        <v>90.06</v>
      </c>
      <c r="D764">
        <v>91.07</v>
      </c>
      <c r="E764">
        <v>87.46</v>
      </c>
      <c r="F764" t="s">
        <v>731</v>
      </c>
      <c r="G764" s="2">
        <v>1.9E-3</v>
      </c>
      <c r="H764">
        <f t="shared" si="22"/>
        <v>1.8880497556640102E-3</v>
      </c>
      <c r="I764">
        <f t="shared" si="23"/>
        <v>1.8862696300156725E-3</v>
      </c>
    </row>
    <row r="765" spans="1:9" x14ac:dyDescent="0.75">
      <c r="A765" s="1">
        <v>44609</v>
      </c>
      <c r="B765">
        <v>90.04</v>
      </c>
      <c r="C765">
        <v>89.25</v>
      </c>
      <c r="D765">
        <v>91.51</v>
      </c>
      <c r="E765">
        <v>88.83</v>
      </c>
      <c r="F765" t="s">
        <v>732</v>
      </c>
      <c r="G765" s="2">
        <v>-1.95E-2</v>
      </c>
      <c r="H765">
        <f t="shared" si="22"/>
        <v>-1.9492540564085725E-2</v>
      </c>
      <c r="I765">
        <f t="shared" si="23"/>
        <v>-1.9685025586899191E-2</v>
      </c>
    </row>
    <row r="766" spans="1:9" x14ac:dyDescent="0.75">
      <c r="A766" s="1">
        <v>44608</v>
      </c>
      <c r="B766">
        <v>91.83</v>
      </c>
      <c r="C766">
        <v>90.31</v>
      </c>
      <c r="D766">
        <v>93.07</v>
      </c>
      <c r="E766">
        <v>88.2</v>
      </c>
      <c r="F766" t="s">
        <v>733</v>
      </c>
      <c r="G766" s="2">
        <v>1.7999999999999999E-2</v>
      </c>
      <c r="H766">
        <f t="shared" si="22"/>
        <v>1.7958097771865699E-2</v>
      </c>
      <c r="I766">
        <f t="shared" si="23"/>
        <v>1.7798755956883423E-2</v>
      </c>
    </row>
    <row r="767" spans="1:9" x14ac:dyDescent="0.75">
      <c r="A767" s="1">
        <v>44607</v>
      </c>
      <c r="B767">
        <v>90.21</v>
      </c>
      <c r="C767">
        <v>92.84</v>
      </c>
      <c r="D767">
        <v>93.16</v>
      </c>
      <c r="E767">
        <v>88.94</v>
      </c>
      <c r="F767" t="s">
        <v>734</v>
      </c>
      <c r="G767" s="2">
        <v>-3.5200000000000002E-2</v>
      </c>
      <c r="H767">
        <f t="shared" si="22"/>
        <v>-3.5187165775401139E-2</v>
      </c>
      <c r="I767">
        <f t="shared" si="23"/>
        <v>-3.5821150626094006E-2</v>
      </c>
    </row>
    <row r="768" spans="1:9" x14ac:dyDescent="0.75">
      <c r="A768" s="1">
        <v>44606</v>
      </c>
      <c r="B768">
        <v>93.5</v>
      </c>
      <c r="C768">
        <v>92.06</v>
      </c>
      <c r="D768">
        <v>93.83</v>
      </c>
      <c r="E768">
        <v>90.45</v>
      </c>
      <c r="F768" t="s">
        <v>735</v>
      </c>
      <c r="G768" s="2">
        <v>2.2800000000000001E-2</v>
      </c>
      <c r="H768">
        <f t="shared" si="22"/>
        <v>2.2752133012469901E-2</v>
      </c>
      <c r="I768">
        <f t="shared" si="23"/>
        <v>2.24971633910429E-2</v>
      </c>
    </row>
    <row r="769" spans="1:9" x14ac:dyDescent="0.75">
      <c r="A769" s="1">
        <v>44603</v>
      </c>
      <c r="B769">
        <v>91.42</v>
      </c>
      <c r="C769">
        <v>88.56</v>
      </c>
      <c r="D769">
        <v>92.74</v>
      </c>
      <c r="E769">
        <v>87.79</v>
      </c>
      <c r="F769" t="s">
        <v>736</v>
      </c>
      <c r="G769" s="2">
        <v>3.2300000000000002E-2</v>
      </c>
      <c r="H769">
        <f t="shared" si="22"/>
        <v>3.2294489611562775E-2</v>
      </c>
      <c r="I769">
        <f t="shared" si="23"/>
        <v>3.1783984503216761E-2</v>
      </c>
    </row>
    <row r="770" spans="1:9" x14ac:dyDescent="0.75">
      <c r="A770" s="1">
        <v>44602</v>
      </c>
      <c r="B770">
        <v>88.56</v>
      </c>
      <c r="C770">
        <v>88.84</v>
      </c>
      <c r="D770">
        <v>90.26</v>
      </c>
      <c r="E770">
        <v>87.87</v>
      </c>
      <c r="F770" t="s">
        <v>737</v>
      </c>
      <c r="G770" s="2">
        <v>2.9999999999999997E-4</v>
      </c>
      <c r="H770">
        <f t="shared" si="22"/>
        <v>3.3886818027788472E-4</v>
      </c>
      <c r="I770">
        <f t="shared" si="23"/>
        <v>3.388107774236723E-4</v>
      </c>
    </row>
    <row r="771" spans="1:9" x14ac:dyDescent="0.75">
      <c r="A771" s="1">
        <v>44601</v>
      </c>
      <c r="B771">
        <v>88.53</v>
      </c>
      <c r="C771">
        <v>88.4</v>
      </c>
      <c r="D771">
        <v>89.17</v>
      </c>
      <c r="E771">
        <v>87.15</v>
      </c>
      <c r="F771" t="s">
        <v>738</v>
      </c>
      <c r="G771" s="2">
        <v>7.1999999999999998E-3</v>
      </c>
      <c r="H771">
        <f t="shared" ref="H771:H834" si="24">(B771-B772)/B772</f>
        <v>7.1672354948804935E-3</v>
      </c>
      <c r="I771">
        <f t="shared" ref="I771:I834" si="25">LN(B771/B772)</f>
        <v>7.1416729318262845E-3</v>
      </c>
    </row>
    <row r="772" spans="1:9" x14ac:dyDescent="0.75">
      <c r="A772" s="1">
        <v>44600</v>
      </c>
      <c r="B772">
        <v>87.9</v>
      </c>
      <c r="C772">
        <v>89.98</v>
      </c>
      <c r="D772">
        <v>90.07</v>
      </c>
      <c r="E772">
        <v>87.07</v>
      </c>
      <c r="F772" t="s">
        <v>739</v>
      </c>
      <c r="G772" s="2">
        <v>-2.0799999999999999E-2</v>
      </c>
      <c r="H772">
        <f t="shared" si="24"/>
        <v>-2.0831012587724077E-2</v>
      </c>
      <c r="I772">
        <f t="shared" si="25"/>
        <v>-2.1051039077465722E-2</v>
      </c>
    </row>
    <row r="773" spans="1:9" x14ac:dyDescent="0.75">
      <c r="A773" s="1">
        <v>44599</v>
      </c>
      <c r="B773">
        <v>89.77</v>
      </c>
      <c r="C773">
        <v>89.88</v>
      </c>
      <c r="D773">
        <v>90.97</v>
      </c>
      <c r="E773">
        <v>89.08</v>
      </c>
      <c r="F773" t="s">
        <v>740</v>
      </c>
      <c r="G773" s="2">
        <v>-6.1999999999999998E-3</v>
      </c>
      <c r="H773">
        <f t="shared" si="24"/>
        <v>-6.1994907561164873E-3</v>
      </c>
      <c r="I773">
        <f t="shared" si="25"/>
        <v>-6.218787393155077E-3</v>
      </c>
    </row>
    <row r="774" spans="1:9" x14ac:dyDescent="0.75">
      <c r="A774" s="1">
        <v>44596</v>
      </c>
      <c r="B774">
        <v>90.33</v>
      </c>
      <c r="C774">
        <v>88.33</v>
      </c>
      <c r="D774">
        <v>90.98</v>
      </c>
      <c r="E774">
        <v>88.18</v>
      </c>
      <c r="F774" t="s">
        <v>741</v>
      </c>
      <c r="G774" s="2">
        <v>2.1299999999999999E-2</v>
      </c>
      <c r="H774">
        <f t="shared" si="24"/>
        <v>2.1254946297343081E-2</v>
      </c>
      <c r="I774">
        <f t="shared" si="25"/>
        <v>2.1032210555957779E-2</v>
      </c>
    </row>
    <row r="775" spans="1:9" x14ac:dyDescent="0.75">
      <c r="A775" s="1">
        <v>44595</v>
      </c>
      <c r="B775">
        <v>88.45</v>
      </c>
      <c r="C775">
        <v>86.4</v>
      </c>
      <c r="D775">
        <v>88.59</v>
      </c>
      <c r="E775">
        <v>85.24</v>
      </c>
      <c r="F775" t="s">
        <v>742</v>
      </c>
      <c r="G775" s="2">
        <v>2.0299999999999999E-2</v>
      </c>
      <c r="H775">
        <f t="shared" si="24"/>
        <v>2.0302226323682147E-2</v>
      </c>
      <c r="I775">
        <f t="shared" si="25"/>
        <v>2.009888372524523E-2</v>
      </c>
    </row>
    <row r="776" spans="1:9" x14ac:dyDescent="0.75">
      <c r="A776" s="1">
        <v>44594</v>
      </c>
      <c r="B776">
        <v>86.69</v>
      </c>
      <c r="C776">
        <v>86.64</v>
      </c>
      <c r="D776">
        <v>87.93</v>
      </c>
      <c r="E776">
        <v>85.56</v>
      </c>
      <c r="F776" t="s">
        <v>743</v>
      </c>
      <c r="G776" s="2">
        <v>2.7000000000000001E-3</v>
      </c>
      <c r="H776">
        <f t="shared" si="24"/>
        <v>2.6601896830904925E-3</v>
      </c>
      <c r="I776">
        <f t="shared" si="25"/>
        <v>2.6566576410633116E-3</v>
      </c>
    </row>
    <row r="777" spans="1:9" x14ac:dyDescent="0.75">
      <c r="A777" s="1">
        <v>44593</v>
      </c>
      <c r="B777">
        <v>86.46</v>
      </c>
      <c r="C777">
        <v>86.45</v>
      </c>
      <c r="D777">
        <v>87.12</v>
      </c>
      <c r="E777">
        <v>84.92</v>
      </c>
      <c r="F777" t="s">
        <v>744</v>
      </c>
      <c r="G777" s="2">
        <v>-2.9999999999999997E-4</v>
      </c>
      <c r="H777">
        <f t="shared" si="24"/>
        <v>-3.4686090877559416E-4</v>
      </c>
      <c r="I777">
        <f t="shared" si="25"/>
        <v>-3.4692107893476382E-4</v>
      </c>
    </row>
    <row r="778" spans="1:9" x14ac:dyDescent="0.75">
      <c r="A778" s="1">
        <v>44592</v>
      </c>
      <c r="B778">
        <v>86.49</v>
      </c>
      <c r="C778">
        <v>85.92</v>
      </c>
      <c r="D778">
        <v>86.68</v>
      </c>
      <c r="E778">
        <v>84.96</v>
      </c>
      <c r="F778" t="s">
        <v>745</v>
      </c>
      <c r="G778" s="2">
        <v>1.24E-2</v>
      </c>
      <c r="H778">
        <f t="shared" si="24"/>
        <v>1.2407819267236194E-2</v>
      </c>
      <c r="I778">
        <f t="shared" si="25"/>
        <v>1.2331473154893004E-2</v>
      </c>
    </row>
    <row r="779" spans="1:9" x14ac:dyDescent="0.75">
      <c r="A779" s="1">
        <v>44589</v>
      </c>
      <c r="B779">
        <v>85.43</v>
      </c>
      <c r="C779">
        <v>86</v>
      </c>
      <c r="D779">
        <v>87.36</v>
      </c>
      <c r="E779">
        <v>85.06</v>
      </c>
      <c r="F779" t="s">
        <v>746</v>
      </c>
      <c r="G779" s="2">
        <v>1.6000000000000001E-3</v>
      </c>
      <c r="H779">
        <f t="shared" si="24"/>
        <v>1.6414585531715389E-3</v>
      </c>
      <c r="I779">
        <f t="shared" si="25"/>
        <v>1.6401128325090799E-3</v>
      </c>
    </row>
    <row r="780" spans="1:9" x14ac:dyDescent="0.75">
      <c r="A780" s="1">
        <v>44588</v>
      </c>
      <c r="B780">
        <v>85.29</v>
      </c>
      <c r="C780">
        <v>85.71</v>
      </c>
      <c r="D780">
        <v>87.08</v>
      </c>
      <c r="E780">
        <v>84.9</v>
      </c>
      <c r="F780" t="s">
        <v>747</v>
      </c>
      <c r="G780" s="2">
        <v>-7.7999999999999996E-3</v>
      </c>
      <c r="H780">
        <f t="shared" si="24"/>
        <v>-7.7943229409026009E-3</v>
      </c>
      <c r="I780">
        <f t="shared" si="25"/>
        <v>-7.8248574432915104E-3</v>
      </c>
    </row>
    <row r="781" spans="1:9" x14ac:dyDescent="0.75">
      <c r="A781" s="1">
        <v>44587</v>
      </c>
      <c r="B781">
        <v>85.96</v>
      </c>
      <c r="C781">
        <v>84.1</v>
      </c>
      <c r="D781">
        <v>86.51</v>
      </c>
      <c r="E781">
        <v>83.84</v>
      </c>
      <c r="F781" t="s">
        <v>226</v>
      </c>
      <c r="G781" s="2">
        <v>1.8800000000000001E-2</v>
      </c>
      <c r="H781">
        <f t="shared" si="24"/>
        <v>1.8845561218442445E-2</v>
      </c>
      <c r="I781">
        <f t="shared" si="25"/>
        <v>1.8670183596774161E-2</v>
      </c>
    </row>
    <row r="782" spans="1:9" x14ac:dyDescent="0.75">
      <c r="A782" s="1">
        <v>44586</v>
      </c>
      <c r="B782">
        <v>84.37</v>
      </c>
      <c r="C782">
        <v>83.32</v>
      </c>
      <c r="D782">
        <v>84.54</v>
      </c>
      <c r="E782">
        <v>82.14</v>
      </c>
      <c r="F782" t="s">
        <v>748</v>
      </c>
      <c r="G782" s="2">
        <v>2.3800000000000002E-2</v>
      </c>
      <c r="H782">
        <f t="shared" si="24"/>
        <v>2.3783521417303822E-2</v>
      </c>
      <c r="I782">
        <f t="shared" si="25"/>
        <v>2.3505099402243334E-2</v>
      </c>
    </row>
    <row r="783" spans="1:9" x14ac:dyDescent="0.75">
      <c r="A783" s="1">
        <v>44585</v>
      </c>
      <c r="B783">
        <v>82.41</v>
      </c>
      <c r="C783">
        <v>83.84</v>
      </c>
      <c r="D783">
        <v>85.1</v>
      </c>
      <c r="E783">
        <v>81.06</v>
      </c>
      <c r="F783" t="s">
        <v>749</v>
      </c>
      <c r="G783" s="2">
        <v>-2.06E-2</v>
      </c>
      <c r="H783">
        <f t="shared" si="24"/>
        <v>-2.0560969812217781E-2</v>
      </c>
      <c r="I783">
        <f t="shared" si="25"/>
        <v>-2.0775289387082684E-2</v>
      </c>
    </row>
    <row r="784" spans="1:9" x14ac:dyDescent="0.75">
      <c r="A784" s="1">
        <v>44582</v>
      </c>
      <c r="B784">
        <v>84.14</v>
      </c>
      <c r="C784">
        <v>83.65</v>
      </c>
      <c r="D784">
        <v>84.53</v>
      </c>
      <c r="E784">
        <v>81.96</v>
      </c>
      <c r="F784" t="s">
        <v>750</v>
      </c>
      <c r="G784" s="2">
        <v>-1.6500000000000001E-2</v>
      </c>
      <c r="H784">
        <f t="shared" si="24"/>
        <v>-1.6481589713617729E-2</v>
      </c>
      <c r="I784">
        <f t="shared" si="25"/>
        <v>-1.6618922175827573E-2</v>
      </c>
    </row>
    <row r="785" spans="1:9" x14ac:dyDescent="0.75">
      <c r="A785" s="1">
        <v>44581</v>
      </c>
      <c r="B785">
        <v>85.55</v>
      </c>
      <c r="C785">
        <v>85.06</v>
      </c>
      <c r="D785">
        <v>87.1</v>
      </c>
      <c r="E785">
        <v>84.2</v>
      </c>
      <c r="F785" t="s">
        <v>751</v>
      </c>
      <c r="G785" s="2">
        <v>-2.8999999999999998E-3</v>
      </c>
      <c r="H785">
        <f t="shared" si="24"/>
        <v>-2.913752913752914E-3</v>
      </c>
      <c r="I785">
        <f t="shared" si="25"/>
        <v>-2.9180061557141528E-3</v>
      </c>
    </row>
    <row r="786" spans="1:9" x14ac:dyDescent="0.75">
      <c r="A786" s="1">
        <v>44580</v>
      </c>
      <c r="B786">
        <v>85.8</v>
      </c>
      <c r="C786">
        <v>85.89</v>
      </c>
      <c r="D786">
        <v>86.79</v>
      </c>
      <c r="E786">
        <v>84.99</v>
      </c>
      <c r="F786" t="s">
        <v>752</v>
      </c>
      <c r="G786" s="2">
        <v>1.14E-2</v>
      </c>
      <c r="H786">
        <f t="shared" si="24"/>
        <v>1.1434633973830001E-2</v>
      </c>
      <c r="I786">
        <f t="shared" si="25"/>
        <v>1.136975267427325E-2</v>
      </c>
    </row>
    <row r="787" spans="1:9" x14ac:dyDescent="0.75">
      <c r="A787" s="1">
        <v>44579</v>
      </c>
      <c r="B787">
        <v>84.83</v>
      </c>
      <c r="C787">
        <v>83.77</v>
      </c>
      <c r="D787">
        <v>85.98</v>
      </c>
      <c r="E787">
        <v>82.93</v>
      </c>
      <c r="F787" t="s">
        <v>753</v>
      </c>
      <c r="G787" s="2">
        <v>1.3599999999999999E-2</v>
      </c>
      <c r="H787">
        <f t="shared" si="24"/>
        <v>1.3621699127733309E-2</v>
      </c>
      <c r="I787">
        <f t="shared" si="25"/>
        <v>1.3529757774860755E-2</v>
      </c>
    </row>
    <row r="788" spans="1:9" x14ac:dyDescent="0.75">
      <c r="A788" s="1">
        <v>44578</v>
      </c>
      <c r="B788">
        <v>83.69</v>
      </c>
      <c r="C788">
        <v>83.84</v>
      </c>
      <c r="D788">
        <v>83.95</v>
      </c>
      <c r="E788">
        <v>82.94</v>
      </c>
      <c r="G788" s="2">
        <v>-1.6999999999999999E-3</v>
      </c>
      <c r="H788">
        <f t="shared" si="24"/>
        <v>-1.6700465227245684E-3</v>
      </c>
      <c r="I788">
        <f t="shared" si="25"/>
        <v>-1.6714426049833811E-3</v>
      </c>
    </row>
    <row r="789" spans="1:9" x14ac:dyDescent="0.75">
      <c r="A789" s="1">
        <v>44577</v>
      </c>
      <c r="B789">
        <v>83.83</v>
      </c>
      <c r="C789">
        <v>83.78</v>
      </c>
      <c r="D789">
        <v>84.09</v>
      </c>
      <c r="E789">
        <v>83.68</v>
      </c>
      <c r="G789" s="2">
        <v>6.4000000000000003E-3</v>
      </c>
      <c r="H789">
        <f t="shared" si="24"/>
        <v>6.3625450180072171E-3</v>
      </c>
      <c r="I789">
        <f t="shared" si="25"/>
        <v>6.3423894769689456E-3</v>
      </c>
    </row>
    <row r="790" spans="1:9" x14ac:dyDescent="0.75">
      <c r="A790" s="1">
        <v>44575</v>
      </c>
      <c r="B790">
        <v>83.3</v>
      </c>
      <c r="C790">
        <v>81.209999999999994</v>
      </c>
      <c r="D790">
        <v>83.79</v>
      </c>
      <c r="E790">
        <v>81.099999999999994</v>
      </c>
      <c r="F790" t="s">
        <v>754</v>
      </c>
      <c r="G790" s="2">
        <v>2.06E-2</v>
      </c>
      <c r="H790">
        <f t="shared" si="24"/>
        <v>2.0583190394511057E-2</v>
      </c>
      <c r="I790">
        <f t="shared" si="25"/>
        <v>2.0374219195137298E-2</v>
      </c>
    </row>
    <row r="791" spans="1:9" x14ac:dyDescent="0.75">
      <c r="A791" s="1">
        <v>44574</v>
      </c>
      <c r="B791">
        <v>81.62</v>
      </c>
      <c r="C791">
        <v>82.12</v>
      </c>
      <c r="D791">
        <v>82.29</v>
      </c>
      <c r="E791">
        <v>80.91</v>
      </c>
      <c r="F791" t="s">
        <v>755</v>
      </c>
      <c r="G791" s="2">
        <v>-4.8999999999999998E-3</v>
      </c>
      <c r="H791">
        <f t="shared" si="24"/>
        <v>-4.8768593026090159E-3</v>
      </c>
      <c r="I791">
        <f t="shared" si="25"/>
        <v>-4.8887899862535087E-3</v>
      </c>
    </row>
    <row r="792" spans="1:9" x14ac:dyDescent="0.75">
      <c r="A792" s="1">
        <v>44573</v>
      </c>
      <c r="B792">
        <v>82.02</v>
      </c>
      <c r="C792">
        <v>80.709999999999994</v>
      </c>
      <c r="D792">
        <v>82.41</v>
      </c>
      <c r="E792">
        <v>80.55</v>
      </c>
      <c r="F792" t="s">
        <v>756</v>
      </c>
      <c r="G792" s="2">
        <v>1.67E-2</v>
      </c>
      <c r="H792">
        <f t="shared" si="24"/>
        <v>1.6734845667534328E-2</v>
      </c>
      <c r="I792">
        <f t="shared" si="25"/>
        <v>1.6596361015030051E-2</v>
      </c>
    </row>
    <row r="793" spans="1:9" x14ac:dyDescent="0.75">
      <c r="A793" s="1">
        <v>44572</v>
      </c>
      <c r="B793">
        <v>80.67</v>
      </c>
      <c r="C793">
        <v>77.87</v>
      </c>
      <c r="D793">
        <v>80.95</v>
      </c>
      <c r="E793">
        <v>77.83</v>
      </c>
      <c r="F793" t="s">
        <v>757</v>
      </c>
      <c r="G793" s="2">
        <v>3.8199999999999998E-2</v>
      </c>
      <c r="H793">
        <f t="shared" si="24"/>
        <v>3.8223938223938207E-2</v>
      </c>
      <c r="I793">
        <f t="shared" si="25"/>
        <v>3.7511501575281228E-2</v>
      </c>
    </row>
    <row r="794" spans="1:9" x14ac:dyDescent="0.75">
      <c r="A794" s="1">
        <v>44571</v>
      </c>
      <c r="B794">
        <v>77.7</v>
      </c>
      <c r="C794">
        <v>78.510000000000005</v>
      </c>
      <c r="D794">
        <v>78.92</v>
      </c>
      <c r="E794">
        <v>77.34</v>
      </c>
      <c r="F794" t="s">
        <v>758</v>
      </c>
      <c r="G794" s="2">
        <v>-9.4000000000000004E-3</v>
      </c>
      <c r="H794">
        <f t="shared" si="24"/>
        <v>-9.4339622641508789E-3</v>
      </c>
      <c r="I794">
        <f t="shared" si="25"/>
        <v>-9.4787439545436589E-3</v>
      </c>
    </row>
    <row r="795" spans="1:9" x14ac:dyDescent="0.75">
      <c r="A795" s="1">
        <v>44568</v>
      </c>
      <c r="B795">
        <v>78.44</v>
      </c>
      <c r="C795">
        <v>79</v>
      </c>
      <c r="D795">
        <v>79.819999999999993</v>
      </c>
      <c r="E795">
        <v>78.069999999999993</v>
      </c>
      <c r="F795" t="s">
        <v>759</v>
      </c>
      <c r="G795" s="2">
        <v>-5.5999999999999999E-3</v>
      </c>
      <c r="H795">
        <f t="shared" si="24"/>
        <v>-5.5780933062880038E-3</v>
      </c>
      <c r="I795">
        <f t="shared" si="25"/>
        <v>-5.5937089662344164E-3</v>
      </c>
    </row>
    <row r="796" spans="1:9" x14ac:dyDescent="0.75">
      <c r="A796" s="1">
        <v>44567</v>
      </c>
      <c r="B796">
        <v>78.88</v>
      </c>
      <c r="C796">
        <v>76.790000000000006</v>
      </c>
      <c r="D796">
        <v>79.56</v>
      </c>
      <c r="E796">
        <v>76.28</v>
      </c>
      <c r="F796" t="s">
        <v>760</v>
      </c>
      <c r="G796" s="2">
        <v>1.8200000000000001E-2</v>
      </c>
      <c r="H796">
        <f t="shared" si="24"/>
        <v>1.8200593778236691E-2</v>
      </c>
      <c r="I796">
        <f t="shared" si="25"/>
        <v>1.8036945650568882E-2</v>
      </c>
    </row>
    <row r="797" spans="1:9" x14ac:dyDescent="0.75">
      <c r="A797" s="1">
        <v>44566</v>
      </c>
      <c r="B797">
        <v>77.47</v>
      </c>
      <c r="C797">
        <v>76.88</v>
      </c>
      <c r="D797">
        <v>78.16</v>
      </c>
      <c r="E797">
        <v>76.25</v>
      </c>
      <c r="F797" t="s">
        <v>761</v>
      </c>
      <c r="G797" s="2">
        <v>9.4999999999999998E-3</v>
      </c>
      <c r="H797">
        <f t="shared" si="24"/>
        <v>9.5126400833985408E-3</v>
      </c>
      <c r="I797">
        <f t="shared" si="25"/>
        <v>9.4676798250048141E-3</v>
      </c>
    </row>
    <row r="798" spans="1:9" x14ac:dyDescent="0.75">
      <c r="A798" s="1">
        <v>44565</v>
      </c>
      <c r="B798">
        <v>76.739999999999995</v>
      </c>
      <c r="C798">
        <v>75.8</v>
      </c>
      <c r="D798">
        <v>77.400000000000006</v>
      </c>
      <c r="E798">
        <v>75.47</v>
      </c>
      <c r="F798" t="s">
        <v>762</v>
      </c>
      <c r="G798" s="2">
        <v>1.17E-2</v>
      </c>
      <c r="H798">
        <f t="shared" si="24"/>
        <v>1.1733684904416621E-2</v>
      </c>
      <c r="I798">
        <f t="shared" si="25"/>
        <v>1.1665379024265185E-2</v>
      </c>
    </row>
    <row r="799" spans="1:9" x14ac:dyDescent="0.75">
      <c r="A799" s="1">
        <v>44564</v>
      </c>
      <c r="B799">
        <v>75.849999999999994</v>
      </c>
      <c r="C799">
        <v>75.53</v>
      </c>
      <c r="D799">
        <v>76.180000000000007</v>
      </c>
      <c r="E799">
        <v>74.010000000000005</v>
      </c>
      <c r="F799" t="s">
        <v>763</v>
      </c>
      <c r="G799" s="2">
        <v>1.2999999999999999E-2</v>
      </c>
      <c r="H799">
        <f t="shared" si="24"/>
        <v>1.2954059829059814E-2</v>
      </c>
      <c r="I799">
        <f t="shared" si="25"/>
        <v>1.2870873625204657E-2</v>
      </c>
    </row>
    <row r="800" spans="1:9" x14ac:dyDescent="0.75">
      <c r="A800" s="1">
        <v>44561</v>
      </c>
      <c r="B800">
        <v>74.88</v>
      </c>
      <c r="C800">
        <v>76.12</v>
      </c>
      <c r="D800">
        <v>76.680000000000007</v>
      </c>
      <c r="E800">
        <v>74.63</v>
      </c>
      <c r="F800" t="s">
        <v>764</v>
      </c>
      <c r="G800" s="2">
        <v>-2.2599999999999999E-2</v>
      </c>
      <c r="H800">
        <f t="shared" si="24"/>
        <v>-2.2581908367053961E-2</v>
      </c>
      <c r="I800">
        <f t="shared" si="25"/>
        <v>-2.2840784359393022E-2</v>
      </c>
    </row>
    <row r="801" spans="1:9" x14ac:dyDescent="0.75">
      <c r="A801" s="1">
        <v>44560</v>
      </c>
      <c r="B801">
        <v>76.61</v>
      </c>
      <c r="C801">
        <v>76.2</v>
      </c>
      <c r="D801">
        <v>77.06</v>
      </c>
      <c r="E801">
        <v>75.42</v>
      </c>
      <c r="F801" t="s">
        <v>765</v>
      </c>
      <c r="G801" s="2">
        <v>5.5999999999999999E-3</v>
      </c>
      <c r="H801">
        <f t="shared" si="24"/>
        <v>5.6445261223417248E-3</v>
      </c>
      <c r="I801">
        <f t="shared" si="25"/>
        <v>5.628655478271424E-3</v>
      </c>
    </row>
    <row r="802" spans="1:9" x14ac:dyDescent="0.75">
      <c r="A802" s="1">
        <v>44559</v>
      </c>
      <c r="B802">
        <v>76.180000000000007</v>
      </c>
      <c r="C802">
        <v>75.709999999999994</v>
      </c>
      <c r="D802">
        <v>76.989999999999995</v>
      </c>
      <c r="E802">
        <v>75.010000000000005</v>
      </c>
      <c r="F802" t="s">
        <v>766</v>
      </c>
      <c r="G802" s="2">
        <v>7.7000000000000002E-3</v>
      </c>
      <c r="H802">
        <f t="shared" si="24"/>
        <v>7.6719576719578375E-3</v>
      </c>
      <c r="I802">
        <f t="shared" si="25"/>
        <v>7.6426778649709357E-3</v>
      </c>
    </row>
    <row r="803" spans="1:9" x14ac:dyDescent="0.75">
      <c r="A803" s="1">
        <v>44558</v>
      </c>
      <c r="B803">
        <v>75.599999999999994</v>
      </c>
      <c r="C803">
        <v>75.58</v>
      </c>
      <c r="D803">
        <v>76.5</v>
      </c>
      <c r="E803">
        <v>75.12</v>
      </c>
      <c r="F803" t="s">
        <v>767</v>
      </c>
      <c r="G803" s="2">
        <v>5.5999999999999999E-3</v>
      </c>
      <c r="H803">
        <f t="shared" si="24"/>
        <v>5.5865921787707825E-3</v>
      </c>
      <c r="I803">
        <f t="shared" si="25"/>
        <v>5.5710450494552083E-3</v>
      </c>
    </row>
    <row r="804" spans="1:9" x14ac:dyDescent="0.75">
      <c r="A804" s="1">
        <v>44557</v>
      </c>
      <c r="B804">
        <v>75.180000000000007</v>
      </c>
      <c r="C804">
        <v>73</v>
      </c>
      <c r="D804">
        <v>75.680000000000007</v>
      </c>
      <c r="E804">
        <v>72.22</v>
      </c>
      <c r="F804" t="s">
        <v>768</v>
      </c>
      <c r="G804" s="2">
        <v>2.4E-2</v>
      </c>
      <c r="H804">
        <f t="shared" si="24"/>
        <v>2.3971669844729027E-2</v>
      </c>
      <c r="I804">
        <f t="shared" si="25"/>
        <v>2.3688860067343723E-2</v>
      </c>
    </row>
    <row r="805" spans="1:9" x14ac:dyDescent="0.75">
      <c r="A805" s="1">
        <v>44553</v>
      </c>
      <c r="B805">
        <v>73.42</v>
      </c>
      <c r="C805">
        <v>72.59</v>
      </c>
      <c r="D805">
        <v>73.599999999999994</v>
      </c>
      <c r="E805">
        <v>71.84</v>
      </c>
      <c r="F805" t="s">
        <v>769</v>
      </c>
      <c r="G805" s="2">
        <v>1.5100000000000001E-2</v>
      </c>
      <c r="H805">
        <f t="shared" si="24"/>
        <v>1.5069818885662981E-2</v>
      </c>
      <c r="I805">
        <f t="shared" si="25"/>
        <v>1.4957397207498981E-2</v>
      </c>
    </row>
    <row r="806" spans="1:9" x14ac:dyDescent="0.75">
      <c r="A806" s="1">
        <v>44552</v>
      </c>
      <c r="B806">
        <v>72.33</v>
      </c>
      <c r="C806">
        <v>70.97</v>
      </c>
      <c r="D806">
        <v>72.709999999999994</v>
      </c>
      <c r="E806">
        <v>70.48</v>
      </c>
      <c r="F806" t="s">
        <v>770</v>
      </c>
      <c r="G806" s="2">
        <v>2.1299999999999999E-2</v>
      </c>
      <c r="H806">
        <f t="shared" si="24"/>
        <v>2.1321660547867907E-2</v>
      </c>
      <c r="I806">
        <f t="shared" si="25"/>
        <v>2.1097534177431747E-2</v>
      </c>
    </row>
    <row r="807" spans="1:9" x14ac:dyDescent="0.75">
      <c r="A807" s="1">
        <v>44551</v>
      </c>
      <c r="B807">
        <v>70.819999999999993</v>
      </c>
      <c r="C807">
        <v>68.94</v>
      </c>
      <c r="D807">
        <v>71.209999999999994</v>
      </c>
      <c r="E807">
        <v>68.27</v>
      </c>
      <c r="F807" t="s">
        <v>771</v>
      </c>
      <c r="G807" s="2">
        <v>3.2199999999999999E-2</v>
      </c>
      <c r="H807">
        <f t="shared" si="24"/>
        <v>3.221104795219347E-2</v>
      </c>
      <c r="I807">
        <f t="shared" si="25"/>
        <v>3.1703149980958197E-2</v>
      </c>
    </row>
    <row r="808" spans="1:9" x14ac:dyDescent="0.75">
      <c r="A808" s="1">
        <v>44550</v>
      </c>
      <c r="B808">
        <v>68.61</v>
      </c>
      <c r="C808">
        <v>69.88</v>
      </c>
      <c r="D808">
        <v>69.98</v>
      </c>
      <c r="E808">
        <v>66.12</v>
      </c>
      <c r="F808" t="s">
        <v>772</v>
      </c>
      <c r="G808" s="2">
        <v>-2.98E-2</v>
      </c>
      <c r="H808">
        <f t="shared" si="24"/>
        <v>-2.9835972850678724E-2</v>
      </c>
      <c r="I808">
        <f t="shared" si="25"/>
        <v>-3.0290121626588538E-2</v>
      </c>
    </row>
    <row r="809" spans="1:9" x14ac:dyDescent="0.75">
      <c r="A809" s="1">
        <v>44547</v>
      </c>
      <c r="B809">
        <v>70.72</v>
      </c>
      <c r="C809">
        <v>71.790000000000006</v>
      </c>
      <c r="D809">
        <v>72.05</v>
      </c>
      <c r="E809">
        <v>69.7</v>
      </c>
      <c r="F809" t="s">
        <v>773</v>
      </c>
      <c r="G809" s="2">
        <v>-1.9800000000000002E-2</v>
      </c>
      <c r="H809">
        <f t="shared" si="24"/>
        <v>-1.9819819819819912E-2</v>
      </c>
      <c r="I809">
        <f t="shared" si="25"/>
        <v>-2.0018866890492017E-2</v>
      </c>
    </row>
    <row r="810" spans="1:9" x14ac:dyDescent="0.75">
      <c r="A810" s="1">
        <v>44546</v>
      </c>
      <c r="B810">
        <v>72.150000000000006</v>
      </c>
      <c r="C810">
        <v>71.28</v>
      </c>
      <c r="D810">
        <v>72.739999999999995</v>
      </c>
      <c r="E810">
        <v>70.87</v>
      </c>
      <c r="F810" t="s">
        <v>774</v>
      </c>
      <c r="G810" s="2">
        <v>2.1100000000000001E-2</v>
      </c>
      <c r="H810">
        <f t="shared" si="24"/>
        <v>2.1086894990093533E-2</v>
      </c>
      <c r="I810">
        <f t="shared" si="25"/>
        <v>2.0867643288880841E-2</v>
      </c>
    </row>
    <row r="811" spans="1:9" x14ac:dyDescent="0.75">
      <c r="A811" s="1">
        <v>44545</v>
      </c>
      <c r="B811">
        <v>70.66</v>
      </c>
      <c r="C811">
        <v>70.12</v>
      </c>
      <c r="D811">
        <v>71.45</v>
      </c>
      <c r="E811">
        <v>69.209999999999994</v>
      </c>
      <c r="F811" t="s">
        <v>775</v>
      </c>
      <c r="G811" s="2">
        <v>2E-3</v>
      </c>
      <c r="H811">
        <f t="shared" si="24"/>
        <v>1.9852524106636496E-3</v>
      </c>
      <c r="I811">
        <f t="shared" si="25"/>
        <v>1.9832844013296467E-3</v>
      </c>
    </row>
    <row r="812" spans="1:9" x14ac:dyDescent="0.75">
      <c r="A812" s="1">
        <v>44544</v>
      </c>
      <c r="B812">
        <v>70.52</v>
      </c>
      <c r="C812">
        <v>70.91</v>
      </c>
      <c r="D812">
        <v>71.790000000000006</v>
      </c>
      <c r="E812">
        <v>69.319999999999993</v>
      </c>
      <c r="F812" t="s">
        <v>776</v>
      </c>
      <c r="G812" s="2">
        <v>-7.6E-3</v>
      </c>
      <c r="H812">
        <f t="shared" si="24"/>
        <v>-7.5992119335773463E-3</v>
      </c>
      <c r="I812">
        <f t="shared" si="25"/>
        <v>-7.6282330632116667E-3</v>
      </c>
    </row>
    <row r="813" spans="1:9" x14ac:dyDescent="0.75">
      <c r="A813" s="1">
        <v>44543</v>
      </c>
      <c r="B813">
        <v>71.06</v>
      </c>
      <c r="C813">
        <v>71.84</v>
      </c>
      <c r="D813">
        <v>72.819999999999993</v>
      </c>
      <c r="E813">
        <v>70.540000000000006</v>
      </c>
      <c r="F813" t="s">
        <v>777</v>
      </c>
      <c r="G813" s="2">
        <v>-5.8999999999999999E-3</v>
      </c>
      <c r="H813">
        <f t="shared" si="24"/>
        <v>-5.8757694459989039E-3</v>
      </c>
      <c r="I813">
        <f t="shared" si="25"/>
        <v>-5.8930996983462651E-3</v>
      </c>
    </row>
    <row r="814" spans="1:9" x14ac:dyDescent="0.75">
      <c r="A814" s="1">
        <v>44540</v>
      </c>
      <c r="B814">
        <v>71.48</v>
      </c>
      <c r="C814">
        <v>70.52</v>
      </c>
      <c r="D814">
        <v>72.150000000000006</v>
      </c>
      <c r="E814">
        <v>70.19</v>
      </c>
      <c r="F814" t="s">
        <v>778</v>
      </c>
      <c r="G814" s="2">
        <v>9.7000000000000003E-3</v>
      </c>
      <c r="H814">
        <f t="shared" si="24"/>
        <v>9.7471394264726334E-3</v>
      </c>
      <c r="I814">
        <f t="shared" si="25"/>
        <v>9.6999425051292887E-3</v>
      </c>
    </row>
    <row r="815" spans="1:9" x14ac:dyDescent="0.75">
      <c r="A815" s="1">
        <v>44539</v>
      </c>
      <c r="B815">
        <v>70.790000000000006</v>
      </c>
      <c r="C815">
        <v>72.36</v>
      </c>
      <c r="D815">
        <v>73.13</v>
      </c>
      <c r="E815">
        <v>70.23</v>
      </c>
      <c r="F815" t="s">
        <v>779</v>
      </c>
      <c r="G815" s="2">
        <v>-1.9300000000000001E-2</v>
      </c>
      <c r="H815">
        <f t="shared" si="24"/>
        <v>-1.9257412025491832E-2</v>
      </c>
      <c r="I815">
        <f t="shared" si="25"/>
        <v>-1.944525142854461E-2</v>
      </c>
    </row>
    <row r="816" spans="1:9" x14ac:dyDescent="0.75">
      <c r="A816" s="1">
        <v>44538</v>
      </c>
      <c r="B816">
        <v>72.180000000000007</v>
      </c>
      <c r="C816">
        <v>71.62</v>
      </c>
      <c r="D816">
        <v>72.75</v>
      </c>
      <c r="E816">
        <v>70.739999999999995</v>
      </c>
      <c r="F816" t="s">
        <v>780</v>
      </c>
      <c r="G816" s="2">
        <v>4.7000000000000002E-3</v>
      </c>
      <c r="H816">
        <f t="shared" si="24"/>
        <v>4.7327394209354589E-3</v>
      </c>
      <c r="I816">
        <f t="shared" si="25"/>
        <v>4.7215752206984842E-3</v>
      </c>
    </row>
    <row r="817" spans="1:9" x14ac:dyDescent="0.75">
      <c r="A817" s="1">
        <v>44537</v>
      </c>
      <c r="B817">
        <v>71.84</v>
      </c>
      <c r="C817">
        <v>69.28</v>
      </c>
      <c r="D817">
        <v>72.72</v>
      </c>
      <c r="E817">
        <v>69.28</v>
      </c>
      <c r="F817" t="s">
        <v>781</v>
      </c>
      <c r="G817" s="2">
        <v>3.6700000000000003E-2</v>
      </c>
      <c r="H817">
        <f t="shared" si="24"/>
        <v>3.6652236652236742E-2</v>
      </c>
      <c r="I817">
        <f t="shared" si="25"/>
        <v>3.5996517798086783E-2</v>
      </c>
    </row>
    <row r="818" spans="1:9" x14ac:dyDescent="0.75">
      <c r="A818" s="1">
        <v>44536</v>
      </c>
      <c r="B818">
        <v>69.3</v>
      </c>
      <c r="C818">
        <v>66.849999999999994</v>
      </c>
      <c r="D818">
        <v>69.95</v>
      </c>
      <c r="E818">
        <v>66.62</v>
      </c>
      <c r="F818" t="s">
        <v>782</v>
      </c>
      <c r="G818" s="2">
        <v>4.8399999999999999E-2</v>
      </c>
      <c r="H818">
        <f t="shared" si="24"/>
        <v>4.8411497730711094E-2</v>
      </c>
      <c r="I818">
        <f t="shared" si="25"/>
        <v>4.7276159338216973E-2</v>
      </c>
    </row>
    <row r="819" spans="1:9" x14ac:dyDescent="0.75">
      <c r="A819" s="1">
        <v>44533</v>
      </c>
      <c r="B819">
        <v>66.099999999999994</v>
      </c>
      <c r="C819">
        <v>67.17</v>
      </c>
      <c r="D819">
        <v>68.959999999999994</v>
      </c>
      <c r="E819">
        <v>65.45</v>
      </c>
      <c r="F819" t="s">
        <v>783</v>
      </c>
      <c r="G819" s="2">
        <v>-2.5999999999999999E-3</v>
      </c>
      <c r="H819">
        <f t="shared" si="24"/>
        <v>-2.5652633167345964E-3</v>
      </c>
      <c r="I819">
        <f t="shared" si="25"/>
        <v>-2.568559242494892E-3</v>
      </c>
    </row>
    <row r="820" spans="1:9" x14ac:dyDescent="0.75">
      <c r="A820" s="1">
        <v>44532</v>
      </c>
      <c r="B820">
        <v>66.27</v>
      </c>
      <c r="C820">
        <v>65.38</v>
      </c>
      <c r="D820">
        <v>67.23</v>
      </c>
      <c r="E820">
        <v>62.26</v>
      </c>
      <c r="F820" t="s">
        <v>784</v>
      </c>
      <c r="G820" s="2">
        <v>1.38E-2</v>
      </c>
      <c r="H820">
        <f t="shared" si="24"/>
        <v>1.3767783386874581E-2</v>
      </c>
      <c r="I820">
        <f t="shared" si="25"/>
        <v>1.3673868475497153E-2</v>
      </c>
    </row>
    <row r="821" spans="1:9" x14ac:dyDescent="0.75">
      <c r="A821" s="1">
        <v>44531</v>
      </c>
      <c r="B821">
        <v>65.37</v>
      </c>
      <c r="C821">
        <v>66.680000000000007</v>
      </c>
      <c r="D821">
        <v>69.180000000000007</v>
      </c>
      <c r="E821">
        <v>64.62</v>
      </c>
      <c r="F821" t="s">
        <v>785</v>
      </c>
      <c r="G821" s="2">
        <v>-7.3000000000000001E-3</v>
      </c>
      <c r="H821">
        <f t="shared" si="24"/>
        <v>-7.2892938496581594E-3</v>
      </c>
      <c r="I821">
        <f t="shared" si="25"/>
        <v>-7.3159905646516853E-3</v>
      </c>
    </row>
    <row r="822" spans="1:9" x14ac:dyDescent="0.75">
      <c r="A822" s="1">
        <v>44530</v>
      </c>
      <c r="B822">
        <v>65.849999999999994</v>
      </c>
      <c r="C822">
        <v>69.69</v>
      </c>
      <c r="D822">
        <v>70.86</v>
      </c>
      <c r="E822">
        <v>64.16</v>
      </c>
      <c r="F822" t="s">
        <v>178</v>
      </c>
      <c r="G822" s="2">
        <v>-5.4199999999999998E-2</v>
      </c>
      <c r="H822">
        <f t="shared" si="24"/>
        <v>-5.4151106004021975E-2</v>
      </c>
      <c r="I822">
        <f t="shared" si="25"/>
        <v>-5.5672454194002921E-2</v>
      </c>
    </row>
    <row r="823" spans="1:9" x14ac:dyDescent="0.75">
      <c r="A823" s="1">
        <v>44529</v>
      </c>
      <c r="B823">
        <v>69.62</v>
      </c>
      <c r="C823">
        <v>68.930000000000007</v>
      </c>
      <c r="D823">
        <v>72.48</v>
      </c>
      <c r="E823">
        <v>68.400000000000006</v>
      </c>
      <c r="F823" t="s">
        <v>786</v>
      </c>
      <c r="G823" s="2">
        <v>2.6200000000000001E-2</v>
      </c>
      <c r="H823">
        <f t="shared" si="24"/>
        <v>2.6238207547169826E-2</v>
      </c>
      <c r="I823">
        <f t="shared" si="25"/>
        <v>2.5899890899645277E-2</v>
      </c>
    </row>
    <row r="824" spans="1:9" x14ac:dyDescent="0.75">
      <c r="A824" s="1">
        <v>44526</v>
      </c>
      <c r="B824">
        <v>67.84</v>
      </c>
      <c r="C824">
        <v>77.75</v>
      </c>
      <c r="D824">
        <v>78.069999999999993</v>
      </c>
      <c r="E824">
        <v>67.14</v>
      </c>
      <c r="F824" t="s">
        <v>787</v>
      </c>
      <c r="G824" s="2">
        <v>-0.1236</v>
      </c>
      <c r="H824">
        <f t="shared" si="24"/>
        <v>-0.12362743831546304</v>
      </c>
      <c r="I824">
        <f t="shared" si="25"/>
        <v>-0.13196397973297438</v>
      </c>
    </row>
    <row r="825" spans="1:9" x14ac:dyDescent="0.75">
      <c r="A825" s="1">
        <v>44525</v>
      </c>
      <c r="B825">
        <v>77.41</v>
      </c>
      <c r="C825">
        <v>78.38</v>
      </c>
      <c r="D825">
        <v>78.650000000000006</v>
      </c>
      <c r="E825">
        <v>77.28</v>
      </c>
      <c r="G825" s="2">
        <v>-5.1000000000000004E-3</v>
      </c>
      <c r="H825">
        <f t="shared" si="24"/>
        <v>-5.1407274129290021E-3</v>
      </c>
      <c r="I825">
        <f t="shared" si="25"/>
        <v>-5.1539864122168216E-3</v>
      </c>
    </row>
    <row r="826" spans="1:9" x14ac:dyDescent="0.75">
      <c r="A826" s="1">
        <v>44524</v>
      </c>
      <c r="B826">
        <v>77.81</v>
      </c>
      <c r="C826">
        <v>77.900000000000006</v>
      </c>
      <c r="D826">
        <v>78.59</v>
      </c>
      <c r="E826">
        <v>77.41</v>
      </c>
      <c r="F826" t="s">
        <v>788</v>
      </c>
      <c r="G826" s="2">
        <v>-1.6999999999999999E-3</v>
      </c>
      <c r="H826">
        <f t="shared" si="24"/>
        <v>-1.6679497049011478E-3</v>
      </c>
      <c r="I826">
        <f t="shared" si="25"/>
        <v>-1.6693422817243399E-3</v>
      </c>
    </row>
    <row r="827" spans="1:9" x14ac:dyDescent="0.75">
      <c r="A827" s="1">
        <v>44523</v>
      </c>
      <c r="B827">
        <v>77.94</v>
      </c>
      <c r="C827">
        <v>75.81</v>
      </c>
      <c r="D827">
        <v>78.23</v>
      </c>
      <c r="E827">
        <v>74.77</v>
      </c>
      <c r="F827" t="s">
        <v>789</v>
      </c>
      <c r="G827" s="2">
        <v>2.3900000000000001E-2</v>
      </c>
      <c r="H827">
        <f t="shared" si="24"/>
        <v>2.3909616395165437E-2</v>
      </c>
      <c r="I827">
        <f t="shared" si="25"/>
        <v>2.3628257482614434E-2</v>
      </c>
    </row>
    <row r="828" spans="1:9" x14ac:dyDescent="0.75">
      <c r="A828" s="1">
        <v>44522</v>
      </c>
      <c r="B828">
        <v>76.12</v>
      </c>
      <c r="C828">
        <v>75.069999999999993</v>
      </c>
      <c r="D828">
        <v>76.47</v>
      </c>
      <c r="E828">
        <v>74.06</v>
      </c>
      <c r="F828" t="s">
        <v>790</v>
      </c>
      <c r="G828" s="2">
        <v>2.3999999999999998E-3</v>
      </c>
      <c r="H828">
        <f t="shared" si="24"/>
        <v>2.3702923360548701E-3</v>
      </c>
      <c r="I828">
        <f t="shared" si="25"/>
        <v>2.3674876242925974E-3</v>
      </c>
    </row>
    <row r="829" spans="1:9" x14ac:dyDescent="0.75">
      <c r="A829" s="1">
        <v>44519</v>
      </c>
      <c r="B829">
        <v>75.94</v>
      </c>
      <c r="C829">
        <v>78.290000000000006</v>
      </c>
      <c r="D829">
        <v>79.33</v>
      </c>
      <c r="E829">
        <v>75.09</v>
      </c>
      <c r="F829" t="s">
        <v>791</v>
      </c>
      <c r="G829" s="2">
        <v>-3.15E-2</v>
      </c>
      <c r="H829">
        <f t="shared" si="24"/>
        <v>-3.1501084045402361E-2</v>
      </c>
      <c r="I829">
        <f t="shared" si="25"/>
        <v>-3.2007915439174243E-2</v>
      </c>
    </row>
    <row r="830" spans="1:9" x14ac:dyDescent="0.75">
      <c r="A830" s="1">
        <v>44518</v>
      </c>
      <c r="B830">
        <v>78.41</v>
      </c>
      <c r="C830">
        <v>77.489999999999995</v>
      </c>
      <c r="D830">
        <v>78.8</v>
      </c>
      <c r="E830">
        <v>76.44</v>
      </c>
      <c r="F830" t="s">
        <v>792</v>
      </c>
      <c r="G830" s="2">
        <v>1.11E-2</v>
      </c>
      <c r="H830">
        <f t="shared" si="24"/>
        <v>1.108961960025789E-2</v>
      </c>
      <c r="I830">
        <f t="shared" si="25"/>
        <v>1.1028580620282745E-2</v>
      </c>
    </row>
    <row r="831" spans="1:9" x14ac:dyDescent="0.75">
      <c r="A831" s="1">
        <v>44517</v>
      </c>
      <c r="B831">
        <v>77.55</v>
      </c>
      <c r="C831">
        <v>79.599999999999994</v>
      </c>
      <c r="D831">
        <v>79.709999999999994</v>
      </c>
      <c r="E831">
        <v>76.930000000000007</v>
      </c>
      <c r="F831" t="s">
        <v>793</v>
      </c>
      <c r="G831" s="2">
        <v>-2.75E-2</v>
      </c>
      <c r="H831">
        <f t="shared" si="24"/>
        <v>-2.7464258841233984E-2</v>
      </c>
      <c r="I831">
        <f t="shared" si="25"/>
        <v>-2.7848452330661057E-2</v>
      </c>
    </row>
    <row r="832" spans="1:9" x14ac:dyDescent="0.75">
      <c r="A832" s="1">
        <v>44516</v>
      </c>
      <c r="B832">
        <v>79.739999999999995</v>
      </c>
      <c r="C832">
        <v>79.8</v>
      </c>
      <c r="D832">
        <v>80.680000000000007</v>
      </c>
      <c r="E832">
        <v>78.97</v>
      </c>
      <c r="F832" t="s">
        <v>794</v>
      </c>
      <c r="G832" s="2">
        <v>-1E-4</v>
      </c>
      <c r="H832">
        <f t="shared" si="24"/>
        <v>-1.2539184952984472E-4</v>
      </c>
      <c r="I832">
        <f t="shared" si="25"/>
        <v>-1.253997117450752E-4</v>
      </c>
    </row>
    <row r="833" spans="1:9" x14ac:dyDescent="0.75">
      <c r="A833" s="1">
        <v>44515</v>
      </c>
      <c r="B833">
        <v>79.75</v>
      </c>
      <c r="C833">
        <v>79.59</v>
      </c>
      <c r="D833">
        <v>80.040000000000006</v>
      </c>
      <c r="E833">
        <v>78.28</v>
      </c>
      <c r="F833" t="s">
        <v>795</v>
      </c>
      <c r="G833" s="2">
        <v>8.0000000000000004E-4</v>
      </c>
      <c r="H833">
        <f t="shared" si="24"/>
        <v>7.5291755552769825E-4</v>
      </c>
      <c r="I833">
        <f t="shared" si="25"/>
        <v>7.526342552971587E-4</v>
      </c>
    </row>
    <row r="834" spans="1:9" x14ac:dyDescent="0.75">
      <c r="A834" s="1">
        <v>44512</v>
      </c>
      <c r="B834">
        <v>79.69</v>
      </c>
      <c r="C834">
        <v>80.08</v>
      </c>
      <c r="D834">
        <v>80.36</v>
      </c>
      <c r="E834">
        <v>78.67</v>
      </c>
      <c r="F834" t="s">
        <v>796</v>
      </c>
      <c r="G834" s="2">
        <v>-9.1000000000000004E-3</v>
      </c>
      <c r="H834">
        <f t="shared" si="24"/>
        <v>-9.0773439442925138E-3</v>
      </c>
      <c r="I834">
        <f t="shared" si="25"/>
        <v>-9.1187940594712243E-3</v>
      </c>
    </row>
    <row r="835" spans="1:9" x14ac:dyDescent="0.75">
      <c r="A835" s="1">
        <v>44511</v>
      </c>
      <c r="B835">
        <v>80.42</v>
      </c>
      <c r="C835">
        <v>80.099999999999994</v>
      </c>
      <c r="D835">
        <v>80.95</v>
      </c>
      <c r="E835">
        <v>78.98</v>
      </c>
      <c r="F835" t="s">
        <v>797</v>
      </c>
      <c r="G835" s="2">
        <v>4.4999999999999997E-3</v>
      </c>
      <c r="H835">
        <f t="shared" ref="H835:H898" si="26">(B835-B836)/B836</f>
        <v>4.4966275293529777E-3</v>
      </c>
      <c r="I835">
        <f t="shared" ref="I835:I898" si="27">LN(B835/B836)</f>
        <v>4.4865479047004001E-3</v>
      </c>
    </row>
    <row r="836" spans="1:9" x14ac:dyDescent="0.75">
      <c r="A836" s="1">
        <v>44510</v>
      </c>
      <c r="B836">
        <v>80.06</v>
      </c>
      <c r="C836">
        <v>82.89</v>
      </c>
      <c r="D836">
        <v>83.3</v>
      </c>
      <c r="E836">
        <v>79.53</v>
      </c>
      <c r="F836" t="s">
        <v>798</v>
      </c>
      <c r="G836" s="2">
        <v>-3.0300000000000001E-2</v>
      </c>
      <c r="H836">
        <f t="shared" si="26"/>
        <v>-3.0281007751937983E-2</v>
      </c>
      <c r="I836">
        <f t="shared" si="27"/>
        <v>-3.0748948168825042E-2</v>
      </c>
    </row>
    <row r="837" spans="1:9" x14ac:dyDescent="0.75">
      <c r="A837" s="1">
        <v>44509</v>
      </c>
      <c r="B837">
        <v>82.56</v>
      </c>
      <c r="C837">
        <v>80.87</v>
      </c>
      <c r="D837">
        <v>82.99</v>
      </c>
      <c r="E837">
        <v>80.56</v>
      </c>
      <c r="F837" t="s">
        <v>799</v>
      </c>
      <c r="G837" s="2">
        <v>2.2499999999999999E-2</v>
      </c>
      <c r="H837">
        <f t="shared" si="26"/>
        <v>2.2541491206341434E-2</v>
      </c>
      <c r="I837">
        <f t="shared" si="27"/>
        <v>2.2291186308458024E-2</v>
      </c>
    </row>
    <row r="838" spans="1:9" x14ac:dyDescent="0.75">
      <c r="A838" s="1">
        <v>44508</v>
      </c>
      <c r="B838">
        <v>80.739999999999995</v>
      </c>
      <c r="C838">
        <v>80</v>
      </c>
      <c r="D838">
        <v>81.42</v>
      </c>
      <c r="E838">
        <v>79.95</v>
      </c>
      <c r="F838" t="s">
        <v>800</v>
      </c>
      <c r="G838" s="2">
        <v>7.6E-3</v>
      </c>
      <c r="H838">
        <f t="shared" si="26"/>
        <v>7.6126294770997062E-3</v>
      </c>
      <c r="I838">
        <f t="shared" si="27"/>
        <v>7.5837996348155825E-3</v>
      </c>
    </row>
    <row r="839" spans="1:9" x14ac:dyDescent="0.75">
      <c r="A839" s="1">
        <v>44505</v>
      </c>
      <c r="B839">
        <v>80.13</v>
      </c>
      <c r="C839">
        <v>78.319999999999993</v>
      </c>
      <c r="D839">
        <v>80.510000000000005</v>
      </c>
      <c r="E839">
        <v>77.78</v>
      </c>
      <c r="F839" t="s">
        <v>801</v>
      </c>
      <c r="G839" s="2">
        <v>3.1300000000000001E-2</v>
      </c>
      <c r="H839">
        <f t="shared" si="26"/>
        <v>3.127413127413118E-2</v>
      </c>
      <c r="I839">
        <f t="shared" si="27"/>
        <v>3.0795058416377311E-2</v>
      </c>
    </row>
    <row r="840" spans="1:9" x14ac:dyDescent="0.75">
      <c r="A840" s="1">
        <v>44504</v>
      </c>
      <c r="B840">
        <v>77.7</v>
      </c>
      <c r="C840">
        <v>78.930000000000007</v>
      </c>
      <c r="D840">
        <v>82.05</v>
      </c>
      <c r="E840">
        <v>77.23</v>
      </c>
      <c r="F840" t="s">
        <v>802</v>
      </c>
      <c r="G840" s="2">
        <v>-2.35E-2</v>
      </c>
      <c r="H840">
        <f t="shared" si="26"/>
        <v>-2.3501319592811241E-2</v>
      </c>
      <c r="I840">
        <f t="shared" si="27"/>
        <v>-2.3781880015841549E-2</v>
      </c>
    </row>
    <row r="841" spans="1:9" x14ac:dyDescent="0.75">
      <c r="A841" s="1">
        <v>44503</v>
      </c>
      <c r="B841">
        <v>79.569999999999993</v>
      </c>
      <c r="C841">
        <v>81.7</v>
      </c>
      <c r="D841">
        <v>81.7</v>
      </c>
      <c r="E841">
        <v>78.52</v>
      </c>
      <c r="F841" t="s">
        <v>803</v>
      </c>
      <c r="G841" s="2">
        <v>-3.4799999999999998E-2</v>
      </c>
      <c r="H841">
        <f t="shared" si="26"/>
        <v>-3.4813197476952995E-2</v>
      </c>
      <c r="I841">
        <f t="shared" si="27"/>
        <v>-3.5433618632814884E-2</v>
      </c>
    </row>
    <row r="842" spans="1:9" x14ac:dyDescent="0.75">
      <c r="A842" s="1">
        <v>44502</v>
      </c>
      <c r="B842">
        <v>82.44</v>
      </c>
      <c r="C842">
        <v>82.3</v>
      </c>
      <c r="D842">
        <v>82.86</v>
      </c>
      <c r="E842">
        <v>81.489999999999995</v>
      </c>
      <c r="F842" t="s">
        <v>804</v>
      </c>
      <c r="G842" s="2">
        <v>-1E-4</v>
      </c>
      <c r="H842">
        <f t="shared" si="26"/>
        <v>-1.2128562765318515E-4</v>
      </c>
      <c r="I842">
        <f t="shared" si="27"/>
        <v>-1.2129298334973751E-4</v>
      </c>
    </row>
    <row r="843" spans="1:9" x14ac:dyDescent="0.75">
      <c r="A843" s="1">
        <v>44501</v>
      </c>
      <c r="B843">
        <v>82.45</v>
      </c>
      <c r="C843">
        <v>81.58</v>
      </c>
      <c r="D843">
        <v>83.07</v>
      </c>
      <c r="E843">
        <v>81.05</v>
      </c>
      <c r="F843" t="s">
        <v>805</v>
      </c>
      <c r="G843" s="2">
        <v>8.2000000000000007E-3</v>
      </c>
      <c r="H843">
        <f t="shared" si="26"/>
        <v>8.1927121545610389E-3</v>
      </c>
      <c r="I843">
        <f t="shared" si="27"/>
        <v>8.1593340691117205E-3</v>
      </c>
    </row>
    <row r="844" spans="1:9" x14ac:dyDescent="0.75">
      <c r="A844" s="1">
        <v>44498</v>
      </c>
      <c r="B844">
        <v>81.78</v>
      </c>
      <c r="C844">
        <v>81.709999999999994</v>
      </c>
      <c r="D844">
        <v>81.96</v>
      </c>
      <c r="E844">
        <v>80.14</v>
      </c>
      <c r="F844" t="s">
        <v>806</v>
      </c>
      <c r="G844" s="2">
        <v>3.8999999999999998E-3</v>
      </c>
      <c r="H844">
        <f t="shared" si="26"/>
        <v>3.9283083722073094E-3</v>
      </c>
      <c r="I844">
        <f t="shared" si="27"/>
        <v>3.9206127162297634E-3</v>
      </c>
    </row>
    <row r="845" spans="1:9" x14ac:dyDescent="0.75">
      <c r="A845" s="1">
        <v>44497</v>
      </c>
      <c r="B845">
        <v>81.459999999999994</v>
      </c>
      <c r="C845">
        <v>81.05</v>
      </c>
      <c r="D845">
        <v>81.849999999999994</v>
      </c>
      <c r="E845">
        <v>79.37</v>
      </c>
      <c r="F845" t="s">
        <v>807</v>
      </c>
      <c r="G845" s="2">
        <v>-2.0000000000000001E-4</v>
      </c>
      <c r="H845">
        <f t="shared" si="26"/>
        <v>-2.4545900834573183E-4</v>
      </c>
      <c r="I845">
        <f t="shared" si="27"/>
        <v>-2.4548913833865845E-4</v>
      </c>
    </row>
    <row r="846" spans="1:9" x14ac:dyDescent="0.75">
      <c r="A846" s="1">
        <v>44496</v>
      </c>
      <c r="B846">
        <v>81.48</v>
      </c>
      <c r="C846">
        <v>83.11</v>
      </c>
      <c r="D846">
        <v>83.21</v>
      </c>
      <c r="E846">
        <v>80.84</v>
      </c>
      <c r="F846" t="s">
        <v>808</v>
      </c>
      <c r="G846" s="2">
        <v>-2.2599999999999999E-2</v>
      </c>
      <c r="H846">
        <f t="shared" si="26"/>
        <v>-2.2552783109404936E-2</v>
      </c>
      <c r="I846">
        <f t="shared" si="27"/>
        <v>-2.281098664645162E-2</v>
      </c>
    </row>
    <row r="847" spans="1:9" x14ac:dyDescent="0.75">
      <c r="A847" s="1">
        <v>44495</v>
      </c>
      <c r="B847">
        <v>83.36</v>
      </c>
      <c r="C847">
        <v>82.61</v>
      </c>
      <c r="D847">
        <v>83.51</v>
      </c>
      <c r="E847">
        <v>81.97</v>
      </c>
      <c r="F847" t="s">
        <v>809</v>
      </c>
      <c r="G847" s="2">
        <v>9.1000000000000004E-3</v>
      </c>
      <c r="H847">
        <f t="shared" si="26"/>
        <v>9.0788040188839129E-3</v>
      </c>
      <c r="I847">
        <f t="shared" si="27"/>
        <v>9.0378394306427912E-3</v>
      </c>
    </row>
    <row r="848" spans="1:9" x14ac:dyDescent="0.75">
      <c r="A848" s="1">
        <v>44494</v>
      </c>
      <c r="B848">
        <v>82.61</v>
      </c>
      <c r="C848">
        <v>82.64</v>
      </c>
      <c r="D848">
        <v>83.83</v>
      </c>
      <c r="E848">
        <v>82.24</v>
      </c>
      <c r="F848" t="s">
        <v>810</v>
      </c>
      <c r="G848" s="2">
        <v>1.2999999999999999E-3</v>
      </c>
      <c r="H848">
        <f t="shared" si="26"/>
        <v>1.3333333333333263E-3</v>
      </c>
      <c r="I848">
        <f t="shared" si="27"/>
        <v>1.3324452337786948E-3</v>
      </c>
    </row>
    <row r="849" spans="1:9" x14ac:dyDescent="0.75">
      <c r="A849" s="1">
        <v>44491</v>
      </c>
      <c r="B849">
        <v>82.5</v>
      </c>
      <c r="C849">
        <v>81.430000000000007</v>
      </c>
      <c r="D849">
        <v>82.92</v>
      </c>
      <c r="E849">
        <v>80.62</v>
      </c>
      <c r="F849" t="s">
        <v>811</v>
      </c>
      <c r="G849" s="2">
        <v>1.4E-2</v>
      </c>
      <c r="H849">
        <f t="shared" si="26"/>
        <v>1.4011799410029505E-2</v>
      </c>
      <c r="I849">
        <f t="shared" si="27"/>
        <v>1.3914541600330793E-2</v>
      </c>
    </row>
    <row r="850" spans="1:9" x14ac:dyDescent="0.75">
      <c r="A850" s="1">
        <v>44490</v>
      </c>
      <c r="B850">
        <v>81.36</v>
      </c>
      <c r="C850">
        <v>82.45</v>
      </c>
      <c r="D850">
        <v>82.71</v>
      </c>
      <c r="E850">
        <v>79.790000000000006</v>
      </c>
      <c r="F850" t="s">
        <v>812</v>
      </c>
      <c r="G850" s="2">
        <v>-2.47E-2</v>
      </c>
      <c r="H850">
        <f t="shared" si="26"/>
        <v>-2.4694317909374278E-2</v>
      </c>
      <c r="I850">
        <f t="shared" si="27"/>
        <v>-2.5004337028494687E-2</v>
      </c>
    </row>
    <row r="851" spans="1:9" x14ac:dyDescent="0.75">
      <c r="A851" s="1">
        <v>44489</v>
      </c>
      <c r="B851">
        <v>83.42</v>
      </c>
      <c r="C851">
        <v>82.46</v>
      </c>
      <c r="D851">
        <v>83.65</v>
      </c>
      <c r="E851">
        <v>80.78</v>
      </c>
      <c r="F851" t="s">
        <v>813</v>
      </c>
      <c r="G851" s="2">
        <v>1.1900000000000001E-2</v>
      </c>
      <c r="H851">
        <f t="shared" si="26"/>
        <v>1.1887433284813245E-2</v>
      </c>
      <c r="I851">
        <f t="shared" si="27"/>
        <v>1.1817332746541048E-2</v>
      </c>
    </row>
    <row r="852" spans="1:9" x14ac:dyDescent="0.75">
      <c r="A852" s="1">
        <v>44488</v>
      </c>
      <c r="B852">
        <v>82.44</v>
      </c>
      <c r="C852">
        <v>81.58</v>
      </c>
      <c r="D852">
        <v>82.99</v>
      </c>
      <c r="E852">
        <v>81.08</v>
      </c>
      <c r="F852" t="s">
        <v>814</v>
      </c>
      <c r="G852" s="2">
        <v>9.1999999999999998E-3</v>
      </c>
      <c r="H852">
        <f t="shared" si="26"/>
        <v>9.1810503121557106E-3</v>
      </c>
      <c r="I852">
        <f t="shared" si="27"/>
        <v>9.1391606684803096E-3</v>
      </c>
    </row>
    <row r="853" spans="1:9" x14ac:dyDescent="0.75">
      <c r="A853" s="1">
        <v>44487</v>
      </c>
      <c r="B853">
        <v>81.69</v>
      </c>
      <c r="C853">
        <v>82</v>
      </c>
      <c r="D853">
        <v>83.18</v>
      </c>
      <c r="E853">
        <v>81.209999999999994</v>
      </c>
      <c r="F853" t="s">
        <v>815</v>
      </c>
      <c r="G853" s="2">
        <v>-5.0000000000000001E-4</v>
      </c>
      <c r="H853">
        <f t="shared" si="26"/>
        <v>-4.8941637097768564E-4</v>
      </c>
      <c r="I853">
        <f t="shared" si="27"/>
        <v>-4.8953617426046819E-4</v>
      </c>
    </row>
    <row r="854" spans="1:9" x14ac:dyDescent="0.75">
      <c r="A854" s="1">
        <v>44484</v>
      </c>
      <c r="B854">
        <v>81.73</v>
      </c>
      <c r="C854">
        <v>80.930000000000007</v>
      </c>
      <c r="D854">
        <v>82</v>
      </c>
      <c r="E854">
        <v>80.86</v>
      </c>
      <c r="F854" t="s">
        <v>816</v>
      </c>
      <c r="G854" s="2">
        <v>1.1900000000000001E-2</v>
      </c>
      <c r="H854">
        <f t="shared" si="26"/>
        <v>1.1885601089513533E-2</v>
      </c>
      <c r="I854">
        <f t="shared" si="27"/>
        <v>1.1815522073833604E-2</v>
      </c>
    </row>
    <row r="855" spans="1:9" x14ac:dyDescent="0.75">
      <c r="A855" s="1">
        <v>44483</v>
      </c>
      <c r="B855">
        <v>80.77</v>
      </c>
      <c r="C855">
        <v>79.94</v>
      </c>
      <c r="D855">
        <v>81.14</v>
      </c>
      <c r="E855">
        <v>79.790000000000006</v>
      </c>
      <c r="F855" t="s">
        <v>817</v>
      </c>
      <c r="G855" s="2">
        <v>1.1900000000000001E-2</v>
      </c>
      <c r="H855">
        <f t="shared" si="26"/>
        <v>1.1901779002756237E-2</v>
      </c>
      <c r="I855">
        <f t="shared" si="27"/>
        <v>1.183150983361715E-2</v>
      </c>
    </row>
    <row r="856" spans="1:9" x14ac:dyDescent="0.75">
      <c r="A856" s="1">
        <v>44482</v>
      </c>
      <c r="B856">
        <v>79.819999999999993</v>
      </c>
      <c r="C856">
        <v>79.83</v>
      </c>
      <c r="D856">
        <v>80.36</v>
      </c>
      <c r="E856">
        <v>78.78</v>
      </c>
      <c r="F856" t="s">
        <v>818</v>
      </c>
      <c r="G856" s="2">
        <v>-1.2999999999999999E-3</v>
      </c>
      <c r="H856">
        <f t="shared" si="26"/>
        <v>-1.2512512512513579E-3</v>
      </c>
      <c r="I856">
        <f t="shared" si="27"/>
        <v>-1.2520347197103585E-3</v>
      </c>
    </row>
    <row r="857" spans="1:9" x14ac:dyDescent="0.75">
      <c r="A857" s="1">
        <v>44481</v>
      </c>
      <c r="B857">
        <v>79.92</v>
      </c>
      <c r="C857">
        <v>79.89</v>
      </c>
      <c r="D857">
        <v>80.790000000000006</v>
      </c>
      <c r="E857">
        <v>78.88</v>
      </c>
      <c r="F857" t="s">
        <v>819</v>
      </c>
      <c r="G857" s="2">
        <v>0</v>
      </c>
      <c r="H857">
        <f t="shared" si="26"/>
        <v>0</v>
      </c>
      <c r="I857">
        <f t="shared" si="27"/>
        <v>0</v>
      </c>
    </row>
    <row r="858" spans="1:9" x14ac:dyDescent="0.75">
      <c r="A858" s="1">
        <v>44480</v>
      </c>
      <c r="B858">
        <v>79.92</v>
      </c>
      <c r="C858">
        <v>79.010000000000005</v>
      </c>
      <c r="D858">
        <v>81.08</v>
      </c>
      <c r="E858">
        <v>78.95</v>
      </c>
      <c r="F858" t="s">
        <v>820</v>
      </c>
      <c r="G858" s="2">
        <v>1.47E-2</v>
      </c>
      <c r="H858">
        <f t="shared" si="26"/>
        <v>1.4728288471305187E-2</v>
      </c>
      <c r="I858">
        <f t="shared" si="27"/>
        <v>1.4620880569373197E-2</v>
      </c>
    </row>
    <row r="859" spans="1:9" x14ac:dyDescent="0.75">
      <c r="A859" s="1">
        <v>44477</v>
      </c>
      <c r="B859">
        <v>78.760000000000005</v>
      </c>
      <c r="C859">
        <v>78.47</v>
      </c>
      <c r="D859">
        <v>79.62</v>
      </c>
      <c r="E859">
        <v>78.2</v>
      </c>
      <c r="F859" t="s">
        <v>821</v>
      </c>
      <c r="G859" s="2">
        <v>1.03E-2</v>
      </c>
      <c r="H859">
        <f t="shared" si="26"/>
        <v>1.0261672652642528E-2</v>
      </c>
      <c r="I859">
        <f t="shared" si="27"/>
        <v>1.0209379131564897E-2</v>
      </c>
    </row>
    <row r="860" spans="1:9" x14ac:dyDescent="0.75">
      <c r="A860" s="1">
        <v>44476</v>
      </c>
      <c r="B860">
        <v>77.959999999999994</v>
      </c>
      <c r="C860">
        <v>76.63</v>
      </c>
      <c r="D860">
        <v>78.540000000000006</v>
      </c>
      <c r="E860">
        <v>74.67</v>
      </c>
      <c r="F860" t="s">
        <v>822</v>
      </c>
      <c r="G860" s="2">
        <v>1.17E-2</v>
      </c>
      <c r="H860">
        <f t="shared" si="26"/>
        <v>1.1679211004412035E-2</v>
      </c>
      <c r="I860">
        <f t="shared" si="27"/>
        <v>1.1611535441348327E-2</v>
      </c>
    </row>
    <row r="861" spans="1:9" x14ac:dyDescent="0.75">
      <c r="A861" s="1">
        <v>44475</v>
      </c>
      <c r="B861">
        <v>77.06</v>
      </c>
      <c r="C861">
        <v>78.58</v>
      </c>
      <c r="D861">
        <v>79.39</v>
      </c>
      <c r="E861">
        <v>76.48</v>
      </c>
      <c r="F861" t="s">
        <v>823</v>
      </c>
      <c r="G861" s="2">
        <v>-1.9199999999999998E-2</v>
      </c>
      <c r="H861">
        <f t="shared" si="26"/>
        <v>-1.921853124602254E-2</v>
      </c>
      <c r="I861">
        <f t="shared" si="27"/>
        <v>-1.9405607989718611E-2</v>
      </c>
    </row>
    <row r="862" spans="1:9" x14ac:dyDescent="0.75">
      <c r="A862" s="1">
        <v>44474</v>
      </c>
      <c r="B862">
        <v>78.569999999999993</v>
      </c>
      <c r="C862">
        <v>77.290000000000006</v>
      </c>
      <c r="D862">
        <v>79.09</v>
      </c>
      <c r="E862">
        <v>77.17</v>
      </c>
      <c r="F862" t="s">
        <v>824</v>
      </c>
      <c r="G862" s="2">
        <v>1.6E-2</v>
      </c>
      <c r="H862">
        <f t="shared" si="26"/>
        <v>1.6035173929910707E-2</v>
      </c>
      <c r="I862">
        <f t="shared" si="27"/>
        <v>1.5907968566786085E-2</v>
      </c>
    </row>
    <row r="863" spans="1:9" x14ac:dyDescent="0.75">
      <c r="A863" s="1">
        <v>44473</v>
      </c>
      <c r="B863">
        <v>77.33</v>
      </c>
      <c r="C863">
        <v>75.63</v>
      </c>
      <c r="D863">
        <v>78.069999999999993</v>
      </c>
      <c r="E863">
        <v>75.03</v>
      </c>
      <c r="F863" t="s">
        <v>825</v>
      </c>
      <c r="G863" s="2">
        <v>2.3199999999999998E-2</v>
      </c>
      <c r="H863">
        <f t="shared" si="26"/>
        <v>2.315427361735909E-2</v>
      </c>
      <c r="I863">
        <f t="shared" si="27"/>
        <v>2.2890280699601192E-2</v>
      </c>
    </row>
    <row r="864" spans="1:9" x14ac:dyDescent="0.75">
      <c r="A864" s="1">
        <v>44470</v>
      </c>
      <c r="B864">
        <v>75.58</v>
      </c>
      <c r="C864">
        <v>74.739999999999995</v>
      </c>
      <c r="D864">
        <v>75.680000000000007</v>
      </c>
      <c r="E864">
        <v>73.92</v>
      </c>
      <c r="F864" t="s">
        <v>826</v>
      </c>
      <c r="G864" s="2">
        <v>1.18E-2</v>
      </c>
      <c r="H864">
        <f t="shared" si="26"/>
        <v>1.1780455153949069E-2</v>
      </c>
      <c r="I864">
        <f t="shared" si="27"/>
        <v>1.1711605782571256E-2</v>
      </c>
    </row>
    <row r="865" spans="1:9" x14ac:dyDescent="0.75">
      <c r="A865" s="1">
        <v>44469</v>
      </c>
      <c r="B865">
        <v>74.7</v>
      </c>
      <c r="C865">
        <v>74.47</v>
      </c>
      <c r="D865">
        <v>75.72</v>
      </c>
      <c r="E865">
        <v>72.819999999999993</v>
      </c>
      <c r="F865" t="s">
        <v>827</v>
      </c>
      <c r="G865" s="2">
        <v>2.7000000000000001E-3</v>
      </c>
      <c r="H865">
        <f t="shared" si="26"/>
        <v>2.6845637583892998E-3</v>
      </c>
      <c r="I865">
        <f t="shared" si="27"/>
        <v>2.6809667532577425E-3</v>
      </c>
    </row>
    <row r="866" spans="1:9" x14ac:dyDescent="0.75">
      <c r="A866" s="1">
        <v>44468</v>
      </c>
      <c r="B866">
        <v>74.5</v>
      </c>
      <c r="C866">
        <v>73.95</v>
      </c>
      <c r="D866">
        <v>75.39</v>
      </c>
      <c r="E866">
        <v>73.37</v>
      </c>
      <c r="F866" t="s">
        <v>828</v>
      </c>
      <c r="G866" s="2">
        <v>-5.3E-3</v>
      </c>
      <c r="H866">
        <f t="shared" si="26"/>
        <v>-5.340453938584855E-3</v>
      </c>
      <c r="I866">
        <f t="shared" si="27"/>
        <v>-5.3547651376600275E-3</v>
      </c>
    </row>
    <row r="867" spans="1:9" x14ac:dyDescent="0.75">
      <c r="A867" s="1">
        <v>44467</v>
      </c>
      <c r="B867">
        <v>74.900000000000006</v>
      </c>
      <c r="C867">
        <v>75.05</v>
      </c>
      <c r="D867">
        <v>76.260000000000005</v>
      </c>
      <c r="E867">
        <v>73.86</v>
      </c>
      <c r="F867" t="s">
        <v>829</v>
      </c>
      <c r="G867" s="2">
        <v>-2.3999999999999998E-3</v>
      </c>
      <c r="H867">
        <f t="shared" si="26"/>
        <v>-2.3974427277569607E-3</v>
      </c>
      <c r="I867">
        <f t="shared" si="27"/>
        <v>-2.4003211951342091E-3</v>
      </c>
    </row>
    <row r="868" spans="1:9" x14ac:dyDescent="0.75">
      <c r="A868" s="1">
        <v>44466</v>
      </c>
      <c r="B868">
        <v>75.08</v>
      </c>
      <c r="C868">
        <v>73.83</v>
      </c>
      <c r="D868">
        <v>75.349999999999994</v>
      </c>
      <c r="E868">
        <v>73.790000000000006</v>
      </c>
      <c r="F868" t="s">
        <v>830</v>
      </c>
      <c r="G868" s="2">
        <v>0.02</v>
      </c>
      <c r="H868">
        <f t="shared" si="26"/>
        <v>1.997011275641895E-2</v>
      </c>
      <c r="I868">
        <f t="shared" si="27"/>
        <v>1.9773325647693459E-2</v>
      </c>
    </row>
    <row r="869" spans="1:9" x14ac:dyDescent="0.75">
      <c r="A869" s="1">
        <v>44463</v>
      </c>
      <c r="B869">
        <v>73.61</v>
      </c>
      <c r="C869">
        <v>72.91</v>
      </c>
      <c r="D869">
        <v>73.86</v>
      </c>
      <c r="E869">
        <v>72.47</v>
      </c>
      <c r="F869" t="s">
        <v>831</v>
      </c>
      <c r="G869" s="2">
        <v>8.9999999999999993E-3</v>
      </c>
      <c r="H869">
        <f t="shared" si="26"/>
        <v>9.0472926662096848E-3</v>
      </c>
      <c r="I869">
        <f t="shared" si="27"/>
        <v>9.006611101819913E-3</v>
      </c>
    </row>
    <row r="870" spans="1:9" x14ac:dyDescent="0.75">
      <c r="A870" s="1">
        <v>44462</v>
      </c>
      <c r="B870">
        <v>72.95</v>
      </c>
      <c r="C870">
        <v>71.599999999999994</v>
      </c>
      <c r="D870">
        <v>73.099999999999994</v>
      </c>
      <c r="E870">
        <v>71.290000000000006</v>
      </c>
      <c r="F870" t="s">
        <v>832</v>
      </c>
      <c r="G870" s="2">
        <v>1.47E-2</v>
      </c>
      <c r="H870">
        <f t="shared" si="26"/>
        <v>1.4744748921964144E-2</v>
      </c>
      <c r="I870">
        <f t="shared" si="27"/>
        <v>1.4637101973014464E-2</v>
      </c>
    </row>
    <row r="871" spans="1:9" x14ac:dyDescent="0.75">
      <c r="A871" s="1">
        <v>44461</v>
      </c>
      <c r="B871">
        <v>71.89</v>
      </c>
      <c r="C871">
        <v>70.48</v>
      </c>
      <c r="D871">
        <v>71.959999999999994</v>
      </c>
      <c r="E871">
        <v>70.27</v>
      </c>
      <c r="F871" t="s">
        <v>833</v>
      </c>
      <c r="G871" s="2">
        <v>1.9900000000000001E-2</v>
      </c>
      <c r="H871">
        <f t="shared" si="26"/>
        <v>1.986097318768628E-2</v>
      </c>
      <c r="I871">
        <f t="shared" si="27"/>
        <v>1.9666317209995943E-2</v>
      </c>
    </row>
    <row r="872" spans="1:9" x14ac:dyDescent="0.75">
      <c r="A872" s="1">
        <v>44460</v>
      </c>
      <c r="B872">
        <v>70.489999999999995</v>
      </c>
      <c r="C872">
        <v>70.430000000000007</v>
      </c>
      <c r="D872">
        <v>71.48</v>
      </c>
      <c r="E872">
        <v>69.39</v>
      </c>
      <c r="F872" t="s">
        <v>834</v>
      </c>
      <c r="G872" s="2">
        <v>5.0000000000000001E-3</v>
      </c>
      <c r="H872">
        <f t="shared" si="26"/>
        <v>4.9900199600797597E-3</v>
      </c>
      <c r="I872">
        <f t="shared" si="27"/>
        <v>4.9776110737522064E-3</v>
      </c>
    </row>
    <row r="873" spans="1:9" x14ac:dyDescent="0.75">
      <c r="A873" s="1">
        <v>44459</v>
      </c>
      <c r="B873">
        <v>70.14</v>
      </c>
      <c r="C873">
        <v>71.81</v>
      </c>
      <c r="D873">
        <v>71.930000000000007</v>
      </c>
      <c r="E873">
        <v>69.709999999999994</v>
      </c>
      <c r="F873" t="s">
        <v>835</v>
      </c>
      <c r="G873" s="2">
        <v>-2.3400000000000001E-2</v>
      </c>
      <c r="H873">
        <f t="shared" si="26"/>
        <v>-2.3391812865496974E-2</v>
      </c>
      <c r="I873">
        <f t="shared" si="27"/>
        <v>-2.366974408590462E-2</v>
      </c>
    </row>
    <row r="874" spans="1:9" x14ac:dyDescent="0.75">
      <c r="A874" s="1">
        <v>44456</v>
      </c>
      <c r="B874">
        <v>71.819999999999993</v>
      </c>
      <c r="C874">
        <v>72.33</v>
      </c>
      <c r="D874">
        <v>72.5</v>
      </c>
      <c r="E874">
        <v>71.03</v>
      </c>
      <c r="F874" t="s">
        <v>836</v>
      </c>
      <c r="G874" s="2">
        <v>-7.6E-3</v>
      </c>
      <c r="H874">
        <f t="shared" si="26"/>
        <v>-7.5998341854361107E-3</v>
      </c>
      <c r="I874">
        <f t="shared" si="27"/>
        <v>-7.628860080099672E-3</v>
      </c>
    </row>
    <row r="875" spans="1:9" x14ac:dyDescent="0.75">
      <c r="A875" s="1">
        <v>44455</v>
      </c>
      <c r="B875">
        <v>72.37</v>
      </c>
      <c r="C875">
        <v>72.42</v>
      </c>
      <c r="D875">
        <v>72.72</v>
      </c>
      <c r="E875">
        <v>71.290000000000006</v>
      </c>
      <c r="F875" t="s">
        <v>837</v>
      </c>
      <c r="G875" s="2">
        <v>5.9999999999999995E-4</v>
      </c>
      <c r="H875">
        <f t="shared" si="26"/>
        <v>5.530208765381758E-4</v>
      </c>
      <c r="I875">
        <f t="shared" si="27"/>
        <v>5.5286801684693984E-4</v>
      </c>
    </row>
    <row r="876" spans="1:9" x14ac:dyDescent="0.75">
      <c r="A876" s="1">
        <v>44454</v>
      </c>
      <c r="B876">
        <v>72.33</v>
      </c>
      <c r="C876">
        <v>70.47</v>
      </c>
      <c r="D876">
        <v>72.87</v>
      </c>
      <c r="E876">
        <v>70.430000000000007</v>
      </c>
      <c r="F876" t="s">
        <v>838</v>
      </c>
      <c r="G876" s="2">
        <v>2.9899999999999999E-2</v>
      </c>
      <c r="H876">
        <f t="shared" si="26"/>
        <v>2.9901751388295518E-2</v>
      </c>
      <c r="I876">
        <f t="shared" si="27"/>
        <v>2.9463410690260223E-2</v>
      </c>
    </row>
    <row r="877" spans="1:9" x14ac:dyDescent="0.75">
      <c r="A877" s="1">
        <v>44453</v>
      </c>
      <c r="B877">
        <v>70.23</v>
      </c>
      <c r="C877">
        <v>70.38</v>
      </c>
      <c r="D877">
        <v>70.97</v>
      </c>
      <c r="E877">
        <v>69.75</v>
      </c>
      <c r="F877" t="s">
        <v>839</v>
      </c>
      <c r="G877" s="2">
        <v>5.9999999999999995E-4</v>
      </c>
      <c r="H877">
        <f t="shared" si="26"/>
        <v>5.6988174953706019E-4</v>
      </c>
      <c r="I877">
        <f t="shared" si="27"/>
        <v>5.6971942859898703E-4</v>
      </c>
    </row>
    <row r="878" spans="1:9" x14ac:dyDescent="0.75">
      <c r="A878" s="1">
        <v>44452</v>
      </c>
      <c r="B878">
        <v>70.19</v>
      </c>
      <c r="C878">
        <v>69.349999999999994</v>
      </c>
      <c r="D878">
        <v>70.680000000000007</v>
      </c>
      <c r="E878">
        <v>69.260000000000005</v>
      </c>
      <c r="F878" t="s">
        <v>840</v>
      </c>
      <c r="G878" s="2">
        <v>1.04E-2</v>
      </c>
      <c r="H878">
        <f t="shared" si="26"/>
        <v>1.0364185979559506E-2</v>
      </c>
      <c r="I878">
        <f t="shared" si="27"/>
        <v>1.0310846037540618E-2</v>
      </c>
    </row>
    <row r="879" spans="1:9" x14ac:dyDescent="0.75">
      <c r="A879" s="1">
        <v>44449</v>
      </c>
      <c r="B879">
        <v>69.47</v>
      </c>
      <c r="C879">
        <v>67.73</v>
      </c>
      <c r="D879">
        <v>69.709999999999994</v>
      </c>
      <c r="E879">
        <v>67.48</v>
      </c>
      <c r="F879" t="s">
        <v>841</v>
      </c>
      <c r="G879" s="2">
        <v>2.2800000000000001E-2</v>
      </c>
      <c r="H879">
        <f t="shared" si="26"/>
        <v>2.2820965842167213E-2</v>
      </c>
      <c r="I879">
        <f t="shared" si="27"/>
        <v>2.2564462701697607E-2</v>
      </c>
    </row>
    <row r="880" spans="1:9" x14ac:dyDescent="0.75">
      <c r="A880" s="1">
        <v>44448</v>
      </c>
      <c r="B880">
        <v>67.92</v>
      </c>
      <c r="C880">
        <v>69.11</v>
      </c>
      <c r="D880">
        <v>69.61</v>
      </c>
      <c r="E880">
        <v>67.349999999999994</v>
      </c>
      <c r="F880" t="s">
        <v>842</v>
      </c>
      <c r="G880" s="2">
        <v>-1.6400000000000001E-2</v>
      </c>
      <c r="H880">
        <f t="shared" si="26"/>
        <v>-1.6364952932657429E-2</v>
      </c>
      <c r="I880">
        <f t="shared" si="27"/>
        <v>-1.6500337852209137E-2</v>
      </c>
    </row>
    <row r="881" spans="1:9" x14ac:dyDescent="0.75">
      <c r="A881" s="1">
        <v>44447</v>
      </c>
      <c r="B881">
        <v>69.05</v>
      </c>
      <c r="C881">
        <v>68.13</v>
      </c>
      <c r="D881">
        <v>69.489999999999995</v>
      </c>
      <c r="E881">
        <v>68.08</v>
      </c>
      <c r="F881" t="s">
        <v>843</v>
      </c>
      <c r="G881" s="2">
        <v>1.35E-2</v>
      </c>
      <c r="H881">
        <f t="shared" si="26"/>
        <v>1.3503596066343781E-2</v>
      </c>
      <c r="I881">
        <f t="shared" si="27"/>
        <v>1.341323506972446E-2</v>
      </c>
    </row>
    <row r="882" spans="1:9" x14ac:dyDescent="0.75">
      <c r="A882" s="1">
        <v>44446</v>
      </c>
      <c r="B882">
        <v>68.13</v>
      </c>
      <c r="C882">
        <v>68.900000000000006</v>
      </c>
      <c r="D882">
        <v>69.239999999999995</v>
      </c>
      <c r="E882">
        <v>67.44</v>
      </c>
      <c r="F882" t="s">
        <v>844</v>
      </c>
      <c r="G882" s="2">
        <v>-9.7000000000000003E-3</v>
      </c>
      <c r="H882">
        <f t="shared" si="26"/>
        <v>-9.7383720930232804E-3</v>
      </c>
      <c r="I882">
        <f t="shared" si="27"/>
        <v>-9.7861001537212378E-3</v>
      </c>
    </row>
    <row r="883" spans="1:9" x14ac:dyDescent="0.75">
      <c r="A883" s="1">
        <v>44445</v>
      </c>
      <c r="B883">
        <v>68.8</v>
      </c>
      <c r="C883">
        <v>68.75</v>
      </c>
      <c r="D883">
        <v>69.47</v>
      </c>
      <c r="E883">
        <v>68.27</v>
      </c>
      <c r="G883" s="2">
        <v>6.9999999999999999E-4</v>
      </c>
      <c r="H883">
        <f t="shared" si="26"/>
        <v>7.2727272727268592E-4</v>
      </c>
      <c r="I883">
        <f t="shared" si="27"/>
        <v>7.2700839261726304E-4</v>
      </c>
    </row>
    <row r="884" spans="1:9" x14ac:dyDescent="0.75">
      <c r="A884" s="1">
        <v>44444</v>
      </c>
      <c r="B884">
        <v>68.75</v>
      </c>
      <c r="C884">
        <v>69.22</v>
      </c>
      <c r="D884">
        <v>69.23</v>
      </c>
      <c r="E884">
        <v>68.73</v>
      </c>
      <c r="G884" s="2">
        <v>-4.5999999999999999E-3</v>
      </c>
      <c r="H884">
        <f t="shared" si="26"/>
        <v>-4.6329810337337948E-3</v>
      </c>
      <c r="I884">
        <f t="shared" si="27"/>
        <v>-4.643746554200745E-3</v>
      </c>
    </row>
    <row r="885" spans="1:9" x14ac:dyDescent="0.75">
      <c r="A885" s="1">
        <v>44442</v>
      </c>
      <c r="B885">
        <v>69.069999999999993</v>
      </c>
      <c r="C885">
        <v>69.510000000000005</v>
      </c>
      <c r="D885">
        <v>70.27</v>
      </c>
      <c r="E885">
        <v>68.87</v>
      </c>
      <c r="F885" t="s">
        <v>845</v>
      </c>
      <c r="G885" s="2">
        <v>-9.4999999999999998E-3</v>
      </c>
      <c r="H885">
        <f t="shared" si="26"/>
        <v>-9.4650795927149114E-3</v>
      </c>
      <c r="I885">
        <f t="shared" si="27"/>
        <v>-9.5101581320379894E-3</v>
      </c>
    </row>
    <row r="886" spans="1:9" x14ac:dyDescent="0.75">
      <c r="A886" s="1">
        <v>44441</v>
      </c>
      <c r="B886">
        <v>69.73</v>
      </c>
      <c r="C886">
        <v>67.989999999999995</v>
      </c>
      <c r="D886">
        <v>70.31</v>
      </c>
      <c r="E886">
        <v>67.58</v>
      </c>
      <c r="F886" t="s">
        <v>846</v>
      </c>
      <c r="G886" s="2">
        <v>2.06E-2</v>
      </c>
      <c r="H886">
        <f t="shared" si="26"/>
        <v>2.063817330210789E-2</v>
      </c>
      <c r="I886">
        <f t="shared" si="27"/>
        <v>2.042809175260514E-2</v>
      </c>
    </row>
    <row r="887" spans="1:9" x14ac:dyDescent="0.75">
      <c r="A887" s="1">
        <v>44440</v>
      </c>
      <c r="B887">
        <v>68.319999999999993</v>
      </c>
      <c r="C887">
        <v>68.31</v>
      </c>
      <c r="D887">
        <v>68.98</v>
      </c>
      <c r="E887">
        <v>66.92</v>
      </c>
      <c r="F887" t="s">
        <v>847</v>
      </c>
      <c r="G887" s="2">
        <v>8.9999999999999998E-4</v>
      </c>
      <c r="H887">
        <f t="shared" si="26"/>
        <v>8.7899208907102344E-4</v>
      </c>
      <c r="I887">
        <f t="shared" si="27"/>
        <v>8.7860600175329389E-4</v>
      </c>
    </row>
    <row r="888" spans="1:9" x14ac:dyDescent="0.75">
      <c r="A888" s="1">
        <v>44439</v>
      </c>
      <c r="B888">
        <v>68.260000000000005</v>
      </c>
      <c r="C888">
        <v>68.89</v>
      </c>
      <c r="D888">
        <v>69.069999999999993</v>
      </c>
      <c r="E888">
        <v>67.92</v>
      </c>
      <c r="F888" t="s">
        <v>848</v>
      </c>
      <c r="G888" s="2">
        <v>-9.7000000000000003E-3</v>
      </c>
      <c r="H888">
        <f t="shared" si="26"/>
        <v>-9.7200058029885631E-3</v>
      </c>
      <c r="I888">
        <f t="shared" si="27"/>
        <v>-9.7675534189995243E-3</v>
      </c>
    </row>
    <row r="889" spans="1:9" x14ac:dyDescent="0.75">
      <c r="A889" s="1">
        <v>44438</v>
      </c>
      <c r="B889">
        <v>68.930000000000007</v>
      </c>
      <c r="C889">
        <v>68.94</v>
      </c>
      <c r="D889">
        <v>69.36</v>
      </c>
      <c r="E889">
        <v>67.53</v>
      </c>
      <c r="F889" t="s">
        <v>849</v>
      </c>
      <c r="G889" s="2">
        <v>6.6E-3</v>
      </c>
      <c r="H889">
        <f t="shared" si="26"/>
        <v>6.5712616822430321E-3</v>
      </c>
      <c r="I889">
        <f t="shared" si="27"/>
        <v>6.5497650640738867E-3</v>
      </c>
    </row>
    <row r="890" spans="1:9" x14ac:dyDescent="0.75">
      <c r="A890" s="1">
        <v>44435</v>
      </c>
      <c r="B890">
        <v>68.48</v>
      </c>
      <c r="C890">
        <v>67.47</v>
      </c>
      <c r="D890">
        <v>68.69</v>
      </c>
      <c r="E890">
        <v>67.180000000000007</v>
      </c>
      <c r="F890" t="s">
        <v>850</v>
      </c>
      <c r="G890" s="2">
        <v>2.06E-2</v>
      </c>
      <c r="H890">
        <f t="shared" si="26"/>
        <v>2.056631892697481E-2</v>
      </c>
      <c r="I890">
        <f t="shared" si="27"/>
        <v>2.0357687855850796E-2</v>
      </c>
    </row>
    <row r="891" spans="1:9" x14ac:dyDescent="0.75">
      <c r="A891" s="1">
        <v>44434</v>
      </c>
      <c r="B891">
        <v>67.099999999999994</v>
      </c>
      <c r="C891">
        <v>67.78</v>
      </c>
      <c r="D891">
        <v>67.97</v>
      </c>
      <c r="E891">
        <v>66.709999999999994</v>
      </c>
      <c r="F891" t="s">
        <v>851</v>
      </c>
      <c r="G891" s="2">
        <v>-1.41E-2</v>
      </c>
      <c r="H891">
        <f t="shared" si="26"/>
        <v>-1.4105201292976901E-2</v>
      </c>
      <c r="I891">
        <f t="shared" si="27"/>
        <v>-1.4205625095123653E-2</v>
      </c>
    </row>
    <row r="892" spans="1:9" x14ac:dyDescent="0.75">
      <c r="A892" s="1">
        <v>44433</v>
      </c>
      <c r="B892">
        <v>68.06</v>
      </c>
      <c r="C892">
        <v>67.33</v>
      </c>
      <c r="D892">
        <v>68.23</v>
      </c>
      <c r="E892">
        <v>66.63</v>
      </c>
      <c r="F892" t="s">
        <v>852</v>
      </c>
      <c r="G892" s="2">
        <v>1.2E-2</v>
      </c>
      <c r="H892">
        <f t="shared" si="26"/>
        <v>1.2044609665427542E-2</v>
      </c>
      <c r="I892">
        <f t="shared" si="27"/>
        <v>1.1972650590811311E-2</v>
      </c>
    </row>
    <row r="893" spans="1:9" x14ac:dyDescent="0.75">
      <c r="A893" s="1">
        <v>44432</v>
      </c>
      <c r="B893">
        <v>67.25</v>
      </c>
      <c r="C893">
        <v>65.239999999999995</v>
      </c>
      <c r="D893">
        <v>67.489999999999995</v>
      </c>
      <c r="E893">
        <v>65.150000000000006</v>
      </c>
      <c r="F893" t="s">
        <v>853</v>
      </c>
      <c r="G893" s="2">
        <v>2.92E-2</v>
      </c>
      <c r="H893">
        <f t="shared" si="26"/>
        <v>2.9231711049892816E-2</v>
      </c>
      <c r="I893">
        <f t="shared" si="27"/>
        <v>2.8812612309024269E-2</v>
      </c>
    </row>
    <row r="894" spans="1:9" x14ac:dyDescent="0.75">
      <c r="A894" s="1">
        <v>44431</v>
      </c>
      <c r="B894">
        <v>65.34</v>
      </c>
      <c r="C894">
        <v>61.75</v>
      </c>
      <c r="D894">
        <v>65.66</v>
      </c>
      <c r="E894">
        <v>61.5</v>
      </c>
      <c r="F894" t="s">
        <v>628</v>
      </c>
      <c r="G894" s="2">
        <v>5.1499999999999997E-2</v>
      </c>
      <c r="H894">
        <f t="shared" si="26"/>
        <v>5.1496620534277483E-2</v>
      </c>
      <c r="I894">
        <f t="shared" si="27"/>
        <v>5.0214502208022822E-2</v>
      </c>
    </row>
    <row r="895" spans="1:9" x14ac:dyDescent="0.75">
      <c r="A895" s="1">
        <v>44428</v>
      </c>
      <c r="B895">
        <v>62.14</v>
      </c>
      <c r="C895">
        <v>63.65</v>
      </c>
      <c r="D895">
        <v>64.040000000000006</v>
      </c>
      <c r="E895">
        <v>61.82</v>
      </c>
      <c r="F895" t="s">
        <v>854</v>
      </c>
      <c r="G895" s="2">
        <v>-2.1399999999999999E-2</v>
      </c>
      <c r="H895">
        <f t="shared" si="26"/>
        <v>-2.1417322834645661E-2</v>
      </c>
      <c r="I895">
        <f t="shared" si="27"/>
        <v>-2.1650001933744653E-2</v>
      </c>
    </row>
    <row r="896" spans="1:9" x14ac:dyDescent="0.75">
      <c r="A896" s="1">
        <v>44427</v>
      </c>
      <c r="B896">
        <v>63.5</v>
      </c>
      <c r="C896">
        <v>64.45</v>
      </c>
      <c r="D896">
        <v>64.569999999999993</v>
      </c>
      <c r="E896">
        <v>62.41</v>
      </c>
      <c r="F896" t="s">
        <v>855</v>
      </c>
      <c r="G896" s="2">
        <v>-2.6200000000000001E-2</v>
      </c>
      <c r="H896">
        <f t="shared" si="26"/>
        <v>-2.6222971936819411E-2</v>
      </c>
      <c r="I896">
        <f t="shared" si="27"/>
        <v>-2.6572925506464878E-2</v>
      </c>
    </row>
    <row r="897" spans="1:9" x14ac:dyDescent="0.75">
      <c r="A897" s="1">
        <v>44426</v>
      </c>
      <c r="B897">
        <v>65.209999999999994</v>
      </c>
      <c r="C897">
        <v>66.34</v>
      </c>
      <c r="D897">
        <v>67.23</v>
      </c>
      <c r="E897">
        <v>64.17</v>
      </c>
      <c r="F897" t="s">
        <v>856</v>
      </c>
      <c r="G897" s="2">
        <v>-1.7000000000000001E-2</v>
      </c>
      <c r="H897">
        <f t="shared" si="26"/>
        <v>-1.7033463973470147E-2</v>
      </c>
      <c r="I897">
        <f t="shared" si="27"/>
        <v>-1.7180202113795614E-2</v>
      </c>
    </row>
    <row r="898" spans="1:9" x14ac:dyDescent="0.75">
      <c r="A898" s="1">
        <v>44425</v>
      </c>
      <c r="B898">
        <v>66.34</v>
      </c>
      <c r="C898">
        <v>67.17</v>
      </c>
      <c r="D898">
        <v>67.459999999999994</v>
      </c>
      <c r="E898">
        <v>66.09</v>
      </c>
      <c r="F898" t="s">
        <v>857</v>
      </c>
      <c r="G898" s="2">
        <v>-1.06E-2</v>
      </c>
      <c r="H898">
        <f t="shared" si="26"/>
        <v>-1.0589112602535328E-2</v>
      </c>
      <c r="I898">
        <f t="shared" si="27"/>
        <v>-1.0645576208781114E-2</v>
      </c>
    </row>
    <row r="899" spans="1:9" x14ac:dyDescent="0.75">
      <c r="A899" s="1">
        <v>44424</v>
      </c>
      <c r="B899">
        <v>67.05</v>
      </c>
      <c r="C899">
        <v>67.63</v>
      </c>
      <c r="D899">
        <v>68.03</v>
      </c>
      <c r="E899">
        <v>65.510000000000005</v>
      </c>
      <c r="F899" t="s">
        <v>320</v>
      </c>
      <c r="G899" s="2">
        <v>-1.7000000000000001E-2</v>
      </c>
      <c r="H899">
        <f t="shared" ref="H899:H962" si="28">(B899-B900)/B900</f>
        <v>-1.7006304060988076E-2</v>
      </c>
      <c r="I899">
        <f t="shared" ref="I899:I962" si="29">LN(B899/B900)</f>
        <v>-1.7152571938940441E-2</v>
      </c>
    </row>
    <row r="900" spans="1:9" x14ac:dyDescent="0.75">
      <c r="A900" s="1">
        <v>44421</v>
      </c>
      <c r="B900">
        <v>68.209999999999994</v>
      </c>
      <c r="C900">
        <v>68.75</v>
      </c>
      <c r="D900">
        <v>68.989999999999995</v>
      </c>
      <c r="E900">
        <v>67.55</v>
      </c>
      <c r="F900" t="s">
        <v>858</v>
      </c>
      <c r="G900" s="2">
        <v>-0.01</v>
      </c>
      <c r="H900">
        <f t="shared" si="28"/>
        <v>-1.0014513788098867E-2</v>
      </c>
      <c r="I900">
        <f t="shared" si="29"/>
        <v>-1.006499635298504E-2</v>
      </c>
    </row>
    <row r="901" spans="1:9" x14ac:dyDescent="0.75">
      <c r="A901" s="1">
        <v>44420</v>
      </c>
      <c r="B901">
        <v>68.900000000000006</v>
      </c>
      <c r="C901">
        <v>69.150000000000006</v>
      </c>
      <c r="D901">
        <v>69.39</v>
      </c>
      <c r="E901">
        <v>68.239999999999995</v>
      </c>
      <c r="F901" t="s">
        <v>859</v>
      </c>
      <c r="G901" s="2">
        <v>-1.6999999999999999E-3</v>
      </c>
      <c r="H901">
        <f t="shared" si="28"/>
        <v>-1.7386264850766495E-3</v>
      </c>
      <c r="I901">
        <f t="shared" si="29"/>
        <v>-1.7401396502442889E-3</v>
      </c>
    </row>
    <row r="902" spans="1:9" x14ac:dyDescent="0.75">
      <c r="A902" s="1">
        <v>44419</v>
      </c>
      <c r="B902">
        <v>69.02</v>
      </c>
      <c r="C902">
        <v>68.28</v>
      </c>
      <c r="D902">
        <v>69.19</v>
      </c>
      <c r="E902">
        <v>66.47</v>
      </c>
      <c r="F902" t="s">
        <v>860</v>
      </c>
      <c r="G902" s="2">
        <v>1.41E-2</v>
      </c>
      <c r="H902">
        <f t="shared" si="28"/>
        <v>1.4105201292976693E-2</v>
      </c>
      <c r="I902">
        <f t="shared" si="29"/>
        <v>1.4006648597097666E-2</v>
      </c>
    </row>
    <row r="903" spans="1:9" x14ac:dyDescent="0.75">
      <c r="A903" s="1">
        <v>44418</v>
      </c>
      <c r="B903">
        <v>68.06</v>
      </c>
      <c r="C903">
        <v>66.62</v>
      </c>
      <c r="D903">
        <v>68.66</v>
      </c>
      <c r="E903">
        <v>66.290000000000006</v>
      </c>
      <c r="F903" t="s">
        <v>861</v>
      </c>
      <c r="G903" s="2">
        <v>2.6499999999999999E-2</v>
      </c>
      <c r="H903">
        <f t="shared" si="28"/>
        <v>2.6546003016591331E-2</v>
      </c>
      <c r="I903">
        <f t="shared" si="29"/>
        <v>2.6199771880942968E-2</v>
      </c>
    </row>
    <row r="904" spans="1:9" x14ac:dyDescent="0.75">
      <c r="A904" s="1">
        <v>44417</v>
      </c>
      <c r="B904">
        <v>66.3</v>
      </c>
      <c r="C904">
        <v>67.62</v>
      </c>
      <c r="D904">
        <v>67.67</v>
      </c>
      <c r="E904">
        <v>65</v>
      </c>
      <c r="F904" t="s">
        <v>862</v>
      </c>
      <c r="G904" s="2">
        <v>-2.64E-2</v>
      </c>
      <c r="H904">
        <f t="shared" si="28"/>
        <v>-2.6431718061673968E-2</v>
      </c>
      <c r="I904">
        <f t="shared" si="29"/>
        <v>-2.6787315963649843E-2</v>
      </c>
    </row>
    <row r="905" spans="1:9" x14ac:dyDescent="0.75">
      <c r="A905" s="1">
        <v>44414</v>
      </c>
      <c r="B905">
        <v>68.099999999999994</v>
      </c>
      <c r="C905">
        <v>68.77</v>
      </c>
      <c r="D905">
        <v>69.87</v>
      </c>
      <c r="E905">
        <v>67.62</v>
      </c>
      <c r="F905" t="s">
        <v>863</v>
      </c>
      <c r="G905" s="2">
        <v>-9.2999999999999992E-3</v>
      </c>
      <c r="H905">
        <f t="shared" si="28"/>
        <v>-9.310445155659014E-3</v>
      </c>
      <c r="I905">
        <f t="shared" si="29"/>
        <v>-9.3540582662211807E-3</v>
      </c>
    </row>
    <row r="906" spans="1:9" x14ac:dyDescent="0.75">
      <c r="A906" s="1">
        <v>44413</v>
      </c>
      <c r="B906">
        <v>68.739999999999995</v>
      </c>
      <c r="C906">
        <v>67.64</v>
      </c>
      <c r="D906">
        <v>68.97</v>
      </c>
      <c r="E906">
        <v>67.22</v>
      </c>
      <c r="F906" t="s">
        <v>864</v>
      </c>
      <c r="G906" s="2">
        <v>1.4E-2</v>
      </c>
      <c r="H906">
        <f t="shared" si="28"/>
        <v>1.4013866351969148E-2</v>
      </c>
      <c r="I906">
        <f t="shared" si="29"/>
        <v>1.3916579978813372E-2</v>
      </c>
    </row>
    <row r="907" spans="1:9" x14ac:dyDescent="0.75">
      <c r="A907" s="1">
        <v>44412</v>
      </c>
      <c r="B907">
        <v>67.790000000000006</v>
      </c>
      <c r="C907">
        <v>69.88</v>
      </c>
      <c r="D907">
        <v>70.31</v>
      </c>
      <c r="E907">
        <v>67.52</v>
      </c>
      <c r="F907" t="s">
        <v>865</v>
      </c>
      <c r="G907" s="2">
        <v>-3.2000000000000001E-2</v>
      </c>
      <c r="H907">
        <f t="shared" si="28"/>
        <v>-3.1986291589318788E-2</v>
      </c>
      <c r="I907">
        <f t="shared" si="29"/>
        <v>-3.250903022455201E-2</v>
      </c>
    </row>
    <row r="908" spans="1:9" x14ac:dyDescent="0.75">
      <c r="A908" s="1">
        <v>44411</v>
      </c>
      <c r="B908">
        <v>70.03</v>
      </c>
      <c r="C908">
        <v>70.86</v>
      </c>
      <c r="D908">
        <v>71.290000000000006</v>
      </c>
      <c r="E908">
        <v>68.650000000000006</v>
      </c>
      <c r="F908" t="s">
        <v>866</v>
      </c>
      <c r="G908" s="2">
        <v>-8.2000000000000007E-3</v>
      </c>
      <c r="H908">
        <f t="shared" si="28"/>
        <v>-8.2141339753575744E-3</v>
      </c>
      <c r="I908">
        <f t="shared" si="29"/>
        <v>-8.2480558608290476E-3</v>
      </c>
    </row>
    <row r="909" spans="1:9" x14ac:dyDescent="0.75">
      <c r="A909" s="1">
        <v>44410</v>
      </c>
      <c r="B909">
        <v>70.61</v>
      </c>
      <c r="C909">
        <v>73.11</v>
      </c>
      <c r="D909">
        <v>73.19</v>
      </c>
      <c r="E909">
        <v>69.959999999999994</v>
      </c>
      <c r="F909" t="s">
        <v>867</v>
      </c>
      <c r="G909" s="2">
        <v>-3.5799999999999998E-2</v>
      </c>
      <c r="H909">
        <f t="shared" si="28"/>
        <v>-3.5777686740406996E-2</v>
      </c>
      <c r="I909">
        <f t="shared" si="29"/>
        <v>-3.6433395544723024E-2</v>
      </c>
    </row>
    <row r="910" spans="1:9" x14ac:dyDescent="0.75">
      <c r="A910" s="1">
        <v>44407</v>
      </c>
      <c r="B910">
        <v>73.23</v>
      </c>
      <c r="C910">
        <v>72.75</v>
      </c>
      <c r="D910">
        <v>73.52</v>
      </c>
      <c r="E910">
        <v>72.3</v>
      </c>
      <c r="F910" t="s">
        <v>868</v>
      </c>
      <c r="G910" s="2">
        <v>3.3999999999999998E-3</v>
      </c>
      <c r="H910">
        <f t="shared" si="28"/>
        <v>3.4255960537133458E-3</v>
      </c>
      <c r="I910">
        <f t="shared" si="29"/>
        <v>3.41974206467675E-3</v>
      </c>
    </row>
    <row r="911" spans="1:9" x14ac:dyDescent="0.75">
      <c r="A911" s="1">
        <v>44406</v>
      </c>
      <c r="B911">
        <v>72.98</v>
      </c>
      <c r="C911">
        <v>71.8</v>
      </c>
      <c r="D911">
        <v>73.02</v>
      </c>
      <c r="E911">
        <v>71.66</v>
      </c>
      <c r="F911" t="s">
        <v>869</v>
      </c>
      <c r="G911" s="2">
        <v>1.66E-2</v>
      </c>
      <c r="H911">
        <f t="shared" si="28"/>
        <v>1.6576124808469112E-2</v>
      </c>
      <c r="I911">
        <f t="shared" si="29"/>
        <v>1.6440240419909831E-2</v>
      </c>
    </row>
    <row r="912" spans="1:9" x14ac:dyDescent="0.75">
      <c r="A912" s="1">
        <v>44405</v>
      </c>
      <c r="B912">
        <v>71.790000000000006</v>
      </c>
      <c r="C912">
        <v>71.36</v>
      </c>
      <c r="D912">
        <v>72</v>
      </c>
      <c r="E912">
        <v>71.16</v>
      </c>
      <c r="F912" t="s">
        <v>870</v>
      </c>
      <c r="G912" s="2">
        <v>9.1000000000000004E-3</v>
      </c>
      <c r="H912">
        <f t="shared" si="28"/>
        <v>9.136913129041406E-3</v>
      </c>
      <c r="I912">
        <f t="shared" si="29"/>
        <v>9.0954240680824819E-3</v>
      </c>
    </row>
    <row r="913" spans="1:9" x14ac:dyDescent="0.75">
      <c r="A913" s="1">
        <v>44404</v>
      </c>
      <c r="B913">
        <v>71.14</v>
      </c>
      <c r="C913">
        <v>71.61</v>
      </c>
      <c r="D913">
        <v>71.760000000000005</v>
      </c>
      <c r="E913">
        <v>70.62</v>
      </c>
      <c r="F913" t="s">
        <v>871</v>
      </c>
      <c r="G913" s="2">
        <v>-2.8E-3</v>
      </c>
      <c r="H913">
        <f t="shared" si="28"/>
        <v>-2.8034763106252148E-3</v>
      </c>
      <c r="I913">
        <f t="shared" si="29"/>
        <v>-2.807413410436312E-3</v>
      </c>
    </row>
    <row r="914" spans="1:9" x14ac:dyDescent="0.75">
      <c r="A914" s="1">
        <v>44403</v>
      </c>
      <c r="B914">
        <v>71.34</v>
      </c>
      <c r="C914">
        <v>71.459999999999994</v>
      </c>
      <c r="D914">
        <v>71.709999999999994</v>
      </c>
      <c r="E914">
        <v>69.900000000000006</v>
      </c>
      <c r="F914" t="s">
        <v>872</v>
      </c>
      <c r="G914" s="2">
        <v>-5.9999999999999995E-4</v>
      </c>
      <c r="H914">
        <f t="shared" si="28"/>
        <v>-5.6038105912009032E-4</v>
      </c>
      <c r="I914">
        <f t="shared" si="29"/>
        <v>-5.6053813126866355E-4</v>
      </c>
    </row>
    <row r="915" spans="1:9" x14ac:dyDescent="0.75">
      <c r="A915" s="1">
        <v>44400</v>
      </c>
      <c r="B915">
        <v>71.38</v>
      </c>
      <c r="C915">
        <v>70.97</v>
      </c>
      <c r="D915">
        <v>71.48</v>
      </c>
      <c r="E915">
        <v>70.69</v>
      </c>
      <c r="F915" t="s">
        <v>873</v>
      </c>
      <c r="G915" s="2">
        <v>3.3999999999999998E-3</v>
      </c>
      <c r="H915">
        <f t="shared" si="28"/>
        <v>3.3736294630305717E-3</v>
      </c>
      <c r="I915">
        <f t="shared" si="29"/>
        <v>3.3679515417051626E-3</v>
      </c>
    </row>
    <row r="916" spans="1:9" x14ac:dyDescent="0.75">
      <c r="A916" s="1">
        <v>44399</v>
      </c>
      <c r="B916">
        <v>71.14</v>
      </c>
      <c r="C916">
        <v>69.5</v>
      </c>
      <c r="D916">
        <v>71.260000000000005</v>
      </c>
      <c r="E916">
        <v>69.11</v>
      </c>
      <c r="F916" t="s">
        <v>874</v>
      </c>
      <c r="G916" s="2">
        <v>2.2599999999999999E-2</v>
      </c>
      <c r="H916">
        <f t="shared" si="28"/>
        <v>2.2567198505102883E-2</v>
      </c>
      <c r="I916">
        <f t="shared" si="29"/>
        <v>2.2316326584759193E-2</v>
      </c>
    </row>
    <row r="917" spans="1:9" x14ac:dyDescent="0.75">
      <c r="A917" s="1">
        <v>44398</v>
      </c>
      <c r="B917">
        <v>69.569999999999993</v>
      </c>
      <c r="C917">
        <v>65.86</v>
      </c>
      <c r="D917">
        <v>69.75</v>
      </c>
      <c r="E917">
        <v>65.86</v>
      </c>
      <c r="F917" t="s">
        <v>875</v>
      </c>
      <c r="G917" s="2">
        <v>3.5299999999999998E-2</v>
      </c>
      <c r="H917">
        <f t="shared" si="28"/>
        <v>3.5267857142856997E-2</v>
      </c>
      <c r="I917">
        <f t="shared" si="29"/>
        <v>3.466019240644605E-2</v>
      </c>
    </row>
    <row r="918" spans="1:9" x14ac:dyDescent="0.75">
      <c r="A918" s="1">
        <v>44397</v>
      </c>
      <c r="B918">
        <v>67.2</v>
      </c>
      <c r="C918">
        <v>66.61</v>
      </c>
      <c r="D918">
        <v>67.61</v>
      </c>
      <c r="E918">
        <v>65.010000000000005</v>
      </c>
      <c r="F918" t="s">
        <v>876</v>
      </c>
      <c r="G918" s="2">
        <v>1.2800000000000001E-2</v>
      </c>
      <c r="H918">
        <f t="shared" si="28"/>
        <v>1.281085154483811E-2</v>
      </c>
      <c r="I918">
        <f t="shared" si="29"/>
        <v>1.2729486750887547E-2</v>
      </c>
    </row>
    <row r="919" spans="1:9" x14ac:dyDescent="0.75">
      <c r="A919" s="1">
        <v>44396</v>
      </c>
      <c r="B919">
        <v>66.349999999999994</v>
      </c>
      <c r="C919">
        <v>71.09</v>
      </c>
      <c r="D919">
        <v>71.400000000000006</v>
      </c>
      <c r="E919">
        <v>65.56</v>
      </c>
      <c r="F919" t="s">
        <v>877</v>
      </c>
      <c r="G919" s="2">
        <v>-7.2800000000000004E-2</v>
      </c>
      <c r="H919">
        <f t="shared" si="28"/>
        <v>-7.2806036892118606E-2</v>
      </c>
      <c r="I919">
        <f t="shared" si="29"/>
        <v>-7.5592497862302016E-2</v>
      </c>
    </row>
    <row r="920" spans="1:9" x14ac:dyDescent="0.75">
      <c r="A920" s="1">
        <v>44393</v>
      </c>
      <c r="B920">
        <v>71.56</v>
      </c>
      <c r="C920">
        <v>71.209999999999994</v>
      </c>
      <c r="D920">
        <v>72.040000000000006</v>
      </c>
      <c r="E920">
        <v>70.16</v>
      </c>
      <c r="F920" t="s">
        <v>878</v>
      </c>
      <c r="G920" s="2">
        <v>2.5000000000000001E-3</v>
      </c>
      <c r="H920">
        <f t="shared" si="28"/>
        <v>2.5217147660410036E-3</v>
      </c>
      <c r="I920">
        <f t="shared" si="29"/>
        <v>2.5185405785042307E-3</v>
      </c>
    </row>
    <row r="921" spans="1:9" x14ac:dyDescent="0.75">
      <c r="A921" s="1">
        <v>44392</v>
      </c>
      <c r="B921">
        <v>71.38</v>
      </c>
      <c r="C921">
        <v>72.430000000000007</v>
      </c>
      <c r="D921">
        <v>72.48</v>
      </c>
      <c r="E921">
        <v>71.02</v>
      </c>
      <c r="F921" t="s">
        <v>879</v>
      </c>
      <c r="G921" s="2">
        <v>-1.7299999999999999E-2</v>
      </c>
      <c r="H921">
        <f t="shared" si="28"/>
        <v>-1.7345814977973637E-2</v>
      </c>
      <c r="I921">
        <f t="shared" si="29"/>
        <v>-1.7498016231023605E-2</v>
      </c>
    </row>
    <row r="922" spans="1:9" x14ac:dyDescent="0.75">
      <c r="A922" s="1">
        <v>44391</v>
      </c>
      <c r="B922">
        <v>72.64</v>
      </c>
      <c r="C922">
        <v>74.58</v>
      </c>
      <c r="D922">
        <v>74.89</v>
      </c>
      <c r="E922">
        <v>71.7</v>
      </c>
      <c r="F922" t="s">
        <v>880</v>
      </c>
      <c r="G922" s="2">
        <v>-2.7400000000000001E-2</v>
      </c>
      <c r="H922">
        <f t="shared" si="28"/>
        <v>-2.7446780024099574E-2</v>
      </c>
      <c r="I922">
        <f t="shared" si="29"/>
        <v>-2.7830480075937452E-2</v>
      </c>
    </row>
    <row r="923" spans="1:9" x14ac:dyDescent="0.75">
      <c r="A923" s="1">
        <v>44390</v>
      </c>
      <c r="B923">
        <v>74.69</v>
      </c>
      <c r="C923">
        <v>73.510000000000005</v>
      </c>
      <c r="D923">
        <v>74.900000000000006</v>
      </c>
      <c r="E923">
        <v>73.069999999999993</v>
      </c>
      <c r="F923" t="s">
        <v>881</v>
      </c>
      <c r="G923" s="2">
        <v>1.7000000000000001E-2</v>
      </c>
      <c r="H923">
        <f t="shared" si="28"/>
        <v>1.7020697167755991E-2</v>
      </c>
      <c r="I923">
        <f t="shared" si="29"/>
        <v>1.6877468056740293E-2</v>
      </c>
    </row>
    <row r="924" spans="1:9" x14ac:dyDescent="0.75">
      <c r="A924" s="1">
        <v>44389</v>
      </c>
      <c r="B924">
        <v>73.44</v>
      </c>
      <c r="C924">
        <v>73.92</v>
      </c>
      <c r="D924">
        <v>74.150000000000006</v>
      </c>
      <c r="E924">
        <v>72.45</v>
      </c>
      <c r="F924" t="s">
        <v>882</v>
      </c>
      <c r="G924" s="2">
        <v>-5.0000000000000001E-3</v>
      </c>
      <c r="H924">
        <f t="shared" si="28"/>
        <v>-5.0128708847040314E-3</v>
      </c>
      <c r="I924">
        <f t="shared" si="29"/>
        <v>-5.0254774697260102E-3</v>
      </c>
    </row>
    <row r="925" spans="1:9" x14ac:dyDescent="0.75">
      <c r="A925" s="1">
        <v>44386</v>
      </c>
      <c r="B925">
        <v>73.81</v>
      </c>
      <c r="C925">
        <v>72.510000000000005</v>
      </c>
      <c r="D925">
        <v>73.98</v>
      </c>
      <c r="E925">
        <v>71.97</v>
      </c>
      <c r="F925" t="s">
        <v>883</v>
      </c>
      <c r="G925" s="2">
        <v>2.1999999999999999E-2</v>
      </c>
      <c r="H925">
        <f t="shared" si="28"/>
        <v>2.2016062032677978E-2</v>
      </c>
      <c r="I925">
        <f t="shared" si="29"/>
        <v>2.177720793264927E-2</v>
      </c>
    </row>
    <row r="926" spans="1:9" x14ac:dyDescent="0.75">
      <c r="A926" s="1">
        <v>44385</v>
      </c>
      <c r="B926">
        <v>72.22</v>
      </c>
      <c r="C926">
        <v>71.55</v>
      </c>
      <c r="D926">
        <v>72.510000000000005</v>
      </c>
      <c r="E926">
        <v>70.099999999999994</v>
      </c>
      <c r="F926" t="s">
        <v>884</v>
      </c>
      <c r="G926" s="2">
        <v>1.01E-2</v>
      </c>
      <c r="H926">
        <f t="shared" si="28"/>
        <v>1.0069930069930054E-2</v>
      </c>
      <c r="I926">
        <f t="shared" si="29"/>
        <v>1.0019566149349715E-2</v>
      </c>
    </row>
    <row r="927" spans="1:9" x14ac:dyDescent="0.75">
      <c r="A927" s="1">
        <v>44384</v>
      </c>
      <c r="B927">
        <v>71.5</v>
      </c>
      <c r="C927">
        <v>73</v>
      </c>
      <c r="D927">
        <v>74.06</v>
      </c>
      <c r="E927">
        <v>70.44</v>
      </c>
      <c r="F927" t="s">
        <v>885</v>
      </c>
      <c r="G927" s="2">
        <v>-1.49E-2</v>
      </c>
      <c r="H927">
        <f t="shared" si="28"/>
        <v>-1.4880132267842358E-2</v>
      </c>
      <c r="I927">
        <f t="shared" si="29"/>
        <v>-1.4991952084962273E-2</v>
      </c>
    </row>
    <row r="928" spans="1:9" x14ac:dyDescent="0.75">
      <c r="A928" s="1">
        <v>44383</v>
      </c>
      <c r="B928">
        <v>72.58</v>
      </c>
      <c r="C928">
        <v>74.430000000000007</v>
      </c>
      <c r="D928">
        <v>76.069999999999993</v>
      </c>
      <c r="E928">
        <v>72.16</v>
      </c>
      <c r="F928" t="s">
        <v>886</v>
      </c>
      <c r="G928" s="2">
        <v>-4.8099999999999997E-2</v>
      </c>
      <c r="H928">
        <f t="shared" si="28"/>
        <v>-4.8131147540983632E-2</v>
      </c>
      <c r="I928">
        <f t="shared" si="29"/>
        <v>-4.93280137025967E-2</v>
      </c>
    </row>
    <row r="929" spans="1:9" x14ac:dyDescent="0.75">
      <c r="A929" s="1">
        <v>44382</v>
      </c>
      <c r="B929">
        <v>76.25</v>
      </c>
      <c r="C929">
        <v>75.150000000000006</v>
      </c>
      <c r="D929">
        <v>76.400000000000006</v>
      </c>
      <c r="E929">
        <v>74.75</v>
      </c>
      <c r="G929" s="2">
        <v>1.4800000000000001E-2</v>
      </c>
      <c r="H929">
        <f t="shared" si="28"/>
        <v>1.4772424807026875E-2</v>
      </c>
      <c r="I929">
        <f t="shared" si="29"/>
        <v>1.4664375341698179E-2</v>
      </c>
    </row>
    <row r="930" spans="1:9" x14ac:dyDescent="0.75">
      <c r="A930" s="1">
        <v>44381</v>
      </c>
      <c r="B930">
        <v>75.14</v>
      </c>
      <c r="C930">
        <v>75.22</v>
      </c>
      <c r="D930">
        <v>75.28</v>
      </c>
      <c r="E930">
        <v>75</v>
      </c>
      <c r="G930" s="2">
        <v>1.0500000000000001E-2</v>
      </c>
      <c r="H930">
        <f t="shared" si="28"/>
        <v>1.0489510489510506E-2</v>
      </c>
      <c r="I930">
        <f t="shared" si="29"/>
        <v>1.0434877292579494E-2</v>
      </c>
    </row>
    <row r="931" spans="1:9" x14ac:dyDescent="0.75">
      <c r="A931" s="1">
        <v>44379</v>
      </c>
      <c r="B931">
        <v>74.36</v>
      </c>
      <c r="C931">
        <v>74.069999999999993</v>
      </c>
      <c r="D931">
        <v>74.67</v>
      </c>
      <c r="E931">
        <v>73.569999999999993</v>
      </c>
      <c r="F931" t="s">
        <v>887</v>
      </c>
      <c r="G931" s="2">
        <v>4.0000000000000002E-4</v>
      </c>
      <c r="H931">
        <f t="shared" si="28"/>
        <v>4.0360554284947042E-4</v>
      </c>
      <c r="I931">
        <f t="shared" si="29"/>
        <v>4.0352411604126676E-4</v>
      </c>
    </row>
    <row r="932" spans="1:9" x14ac:dyDescent="0.75">
      <c r="A932" s="1">
        <v>44378</v>
      </c>
      <c r="B932">
        <v>74.33</v>
      </c>
      <c r="C932">
        <v>72.78</v>
      </c>
      <c r="D932">
        <v>75.23</v>
      </c>
      <c r="E932">
        <v>72.66</v>
      </c>
      <c r="F932" t="s">
        <v>888</v>
      </c>
      <c r="G932" s="2">
        <v>2.1399999999999999E-2</v>
      </c>
      <c r="H932">
        <f t="shared" si="28"/>
        <v>2.1437405524254532E-2</v>
      </c>
      <c r="I932">
        <f t="shared" si="29"/>
        <v>2.1210856378207084E-2</v>
      </c>
    </row>
    <row r="933" spans="1:9" x14ac:dyDescent="0.75">
      <c r="A933" s="1">
        <v>44377</v>
      </c>
      <c r="B933">
        <v>72.77</v>
      </c>
      <c r="C933">
        <v>72.77</v>
      </c>
      <c r="D933">
        <v>73.45</v>
      </c>
      <c r="E933">
        <v>72.099999999999994</v>
      </c>
      <c r="F933" t="s">
        <v>889</v>
      </c>
      <c r="G933" s="2">
        <v>6.4000000000000003E-3</v>
      </c>
      <c r="H933">
        <f t="shared" si="28"/>
        <v>6.3614991010924318E-3</v>
      </c>
      <c r="I933">
        <f t="shared" si="29"/>
        <v>6.3413501721345956E-3</v>
      </c>
    </row>
    <row r="934" spans="1:9" x14ac:dyDescent="0.75">
      <c r="A934" s="1">
        <v>44376</v>
      </c>
      <c r="B934">
        <v>72.31</v>
      </c>
      <c r="C934">
        <v>72.040000000000006</v>
      </c>
      <c r="D934">
        <v>73.069999999999993</v>
      </c>
      <c r="E934">
        <v>71.28</v>
      </c>
      <c r="F934" t="s">
        <v>890</v>
      </c>
      <c r="G934" s="2">
        <v>1.5E-3</v>
      </c>
      <c r="H934">
        <f t="shared" si="28"/>
        <v>1.5235457063711832E-3</v>
      </c>
      <c r="I934">
        <f t="shared" si="29"/>
        <v>1.5223862880798904E-3</v>
      </c>
    </row>
    <row r="935" spans="1:9" x14ac:dyDescent="0.75">
      <c r="A935" s="1">
        <v>44375</v>
      </c>
      <c r="B935">
        <v>72.2</v>
      </c>
      <c r="C935">
        <v>73.27</v>
      </c>
      <c r="D935">
        <v>73.7</v>
      </c>
      <c r="E935">
        <v>71.92</v>
      </c>
      <c r="F935" t="s">
        <v>597</v>
      </c>
      <c r="G935" s="2">
        <v>-1.54E-2</v>
      </c>
      <c r="H935">
        <f t="shared" si="28"/>
        <v>-1.5409791354152399E-2</v>
      </c>
      <c r="I935">
        <f t="shared" si="29"/>
        <v>-1.5529756206927571E-2</v>
      </c>
    </row>
    <row r="936" spans="1:9" x14ac:dyDescent="0.75">
      <c r="A936" s="1">
        <v>44372</v>
      </c>
      <c r="B936">
        <v>73.33</v>
      </c>
      <c r="C936">
        <v>72.650000000000006</v>
      </c>
      <c r="D936">
        <v>73.400000000000006</v>
      </c>
      <c r="E936">
        <v>72.11</v>
      </c>
      <c r="F936" t="s">
        <v>891</v>
      </c>
      <c r="G936" s="2">
        <v>9.5999999999999992E-3</v>
      </c>
      <c r="H936">
        <f t="shared" si="28"/>
        <v>9.6378906787829115E-3</v>
      </c>
      <c r="I936">
        <f t="shared" si="29"/>
        <v>9.5917424876313054E-3</v>
      </c>
    </row>
    <row r="937" spans="1:9" x14ac:dyDescent="0.75">
      <c r="A937" s="1">
        <v>44371</v>
      </c>
      <c r="B937">
        <v>72.63</v>
      </c>
      <c r="C937">
        <v>72.56</v>
      </c>
      <c r="D937">
        <v>72.86</v>
      </c>
      <c r="E937">
        <v>71.64</v>
      </c>
      <c r="F937" t="s">
        <v>892</v>
      </c>
      <c r="G937" s="2">
        <v>3.7000000000000002E-3</v>
      </c>
      <c r="H937">
        <f t="shared" si="28"/>
        <v>3.7313432835820344E-3</v>
      </c>
      <c r="I937">
        <f t="shared" si="29"/>
        <v>3.7243990909822727E-3</v>
      </c>
    </row>
    <row r="938" spans="1:9" x14ac:dyDescent="0.75">
      <c r="A938" s="1">
        <v>44370</v>
      </c>
      <c r="B938">
        <v>72.36</v>
      </c>
      <c r="C938">
        <v>72.099999999999994</v>
      </c>
      <c r="D938">
        <v>73.33</v>
      </c>
      <c r="E938">
        <v>72.010000000000005</v>
      </c>
      <c r="F938" t="s">
        <v>893</v>
      </c>
      <c r="G938" s="2">
        <v>-6.7000000000000002E-3</v>
      </c>
      <c r="H938">
        <f t="shared" si="28"/>
        <v>-6.7261496225119411E-3</v>
      </c>
      <c r="I938">
        <f t="shared" si="29"/>
        <v>-6.7488721141193888E-3</v>
      </c>
    </row>
    <row r="939" spans="1:9" x14ac:dyDescent="0.75">
      <c r="A939" s="1">
        <v>44369</v>
      </c>
      <c r="B939">
        <v>72.849999999999994</v>
      </c>
      <c r="C939">
        <v>73.040000000000006</v>
      </c>
      <c r="D939">
        <v>73.47</v>
      </c>
      <c r="E939">
        <v>72.47</v>
      </c>
      <c r="F939" t="s">
        <v>894</v>
      </c>
      <c r="G939" s="2">
        <v>-3.7000000000000002E-3</v>
      </c>
      <c r="H939">
        <f t="shared" si="28"/>
        <v>-3.6925601750548444E-3</v>
      </c>
      <c r="I939">
        <f t="shared" si="29"/>
        <v>-3.6993945046808409E-3</v>
      </c>
    </row>
    <row r="940" spans="1:9" x14ac:dyDescent="0.75">
      <c r="A940" s="1">
        <v>44368</v>
      </c>
      <c r="B940">
        <v>73.12</v>
      </c>
      <c r="C940">
        <v>71.150000000000006</v>
      </c>
      <c r="D940">
        <v>73.28</v>
      </c>
      <c r="E940">
        <v>70.78</v>
      </c>
      <c r="F940" t="s">
        <v>895</v>
      </c>
      <c r="G940" s="2">
        <v>2.5700000000000001E-2</v>
      </c>
      <c r="H940">
        <f t="shared" si="28"/>
        <v>2.5669799410857036E-2</v>
      </c>
      <c r="I940">
        <f t="shared" si="29"/>
        <v>2.5345862016357423E-2</v>
      </c>
    </row>
    <row r="941" spans="1:9" x14ac:dyDescent="0.75">
      <c r="A941" s="1">
        <v>44365</v>
      </c>
      <c r="B941">
        <v>71.290000000000006</v>
      </c>
      <c r="C941">
        <v>70.8</v>
      </c>
      <c r="D941">
        <v>71.819999999999993</v>
      </c>
      <c r="E941">
        <v>69.87</v>
      </c>
      <c r="F941" t="s">
        <v>896</v>
      </c>
      <c r="G941" s="2">
        <v>7.1999999999999998E-3</v>
      </c>
      <c r="H941">
        <f t="shared" si="28"/>
        <v>7.2054252613733411E-3</v>
      </c>
      <c r="I941">
        <f t="shared" si="29"/>
        <v>7.1795902122198585E-3</v>
      </c>
    </row>
    <row r="942" spans="1:9" x14ac:dyDescent="0.75">
      <c r="A942" s="1">
        <v>44364</v>
      </c>
      <c r="B942">
        <v>70.78</v>
      </c>
      <c r="C942">
        <v>71.48</v>
      </c>
      <c r="D942">
        <v>72.099999999999994</v>
      </c>
      <c r="E942">
        <v>69.540000000000006</v>
      </c>
      <c r="F942" t="s">
        <v>897</v>
      </c>
      <c r="G942" s="2">
        <v>-1.6299999999999999E-2</v>
      </c>
      <c r="H942">
        <f t="shared" si="28"/>
        <v>-1.6261292564280775E-2</v>
      </c>
      <c r="I942">
        <f t="shared" si="29"/>
        <v>-1.6394958416059525E-2</v>
      </c>
    </row>
    <row r="943" spans="1:9" x14ac:dyDescent="0.75">
      <c r="A943" s="1">
        <v>44363</v>
      </c>
      <c r="B943">
        <v>71.95</v>
      </c>
      <c r="C943">
        <v>72.13</v>
      </c>
      <c r="D943">
        <v>72.739999999999995</v>
      </c>
      <c r="E943">
        <v>71.42</v>
      </c>
      <c r="F943" t="s">
        <v>898</v>
      </c>
      <c r="G943" s="2">
        <v>1.2999999999999999E-3</v>
      </c>
      <c r="H943">
        <f t="shared" si="28"/>
        <v>1.2524352908433538E-3</v>
      </c>
      <c r="I943">
        <f t="shared" si="29"/>
        <v>1.2516516480042465E-3</v>
      </c>
    </row>
    <row r="944" spans="1:9" x14ac:dyDescent="0.75">
      <c r="A944" s="1">
        <v>44362</v>
      </c>
      <c r="B944">
        <v>71.86</v>
      </c>
      <c r="C944">
        <v>70.91</v>
      </c>
      <c r="D944">
        <v>72.2</v>
      </c>
      <c r="E944">
        <v>70.540000000000006</v>
      </c>
      <c r="F944" t="s">
        <v>899</v>
      </c>
      <c r="G944" s="2">
        <v>1.7399999999999999E-2</v>
      </c>
      <c r="H944">
        <f t="shared" si="28"/>
        <v>1.741469630468645E-2</v>
      </c>
      <c r="I944">
        <f t="shared" si="29"/>
        <v>1.7264798264541779E-2</v>
      </c>
    </row>
    <row r="945" spans="1:9" x14ac:dyDescent="0.75">
      <c r="A945" s="1">
        <v>44361</v>
      </c>
      <c r="B945">
        <v>70.63</v>
      </c>
      <c r="C945">
        <v>70.36</v>
      </c>
      <c r="D945">
        <v>71.400000000000006</v>
      </c>
      <c r="E945">
        <v>70.36</v>
      </c>
      <c r="F945" t="s">
        <v>900</v>
      </c>
      <c r="G945" s="2">
        <v>4.0000000000000002E-4</v>
      </c>
      <c r="H945">
        <f t="shared" si="28"/>
        <v>4.2492917847027111E-4</v>
      </c>
      <c r="I945">
        <f t="shared" si="29"/>
        <v>4.2483892163461371E-4</v>
      </c>
    </row>
    <row r="946" spans="1:9" x14ac:dyDescent="0.75">
      <c r="A946" s="1">
        <v>44358</v>
      </c>
      <c r="B946">
        <v>70.599999999999994</v>
      </c>
      <c r="C946">
        <v>69.91</v>
      </c>
      <c r="D946">
        <v>70.86</v>
      </c>
      <c r="E946">
        <v>69.47</v>
      </c>
      <c r="F946" t="s">
        <v>901</v>
      </c>
      <c r="G946" s="2">
        <v>7.3000000000000001E-3</v>
      </c>
      <c r="H946">
        <f t="shared" si="28"/>
        <v>7.2763589670422442E-3</v>
      </c>
      <c r="I946">
        <f t="shared" si="29"/>
        <v>7.2500139869627819E-3</v>
      </c>
    </row>
    <row r="947" spans="1:9" x14ac:dyDescent="0.75">
      <c r="A947" s="1">
        <v>44357</v>
      </c>
      <c r="B947">
        <v>70.09</v>
      </c>
      <c r="C947">
        <v>69.61</v>
      </c>
      <c r="D947">
        <v>70.459999999999994</v>
      </c>
      <c r="E947">
        <v>68.510000000000005</v>
      </c>
      <c r="F947" t="s">
        <v>902</v>
      </c>
      <c r="G947" s="2">
        <v>4.3E-3</v>
      </c>
      <c r="H947">
        <f t="shared" si="28"/>
        <v>4.2986101160624318E-3</v>
      </c>
      <c r="I947">
        <f t="shared" si="29"/>
        <v>4.2893974831731225E-3</v>
      </c>
    </row>
    <row r="948" spans="1:9" x14ac:dyDescent="0.75">
      <c r="A948" s="1">
        <v>44356</v>
      </c>
      <c r="B948">
        <v>69.790000000000006</v>
      </c>
      <c r="C948">
        <v>69.81</v>
      </c>
      <c r="D948">
        <v>70.430000000000007</v>
      </c>
      <c r="E948">
        <v>69.290000000000006</v>
      </c>
      <c r="F948" t="s">
        <v>903</v>
      </c>
      <c r="G948" s="2">
        <v>-1.1000000000000001E-3</v>
      </c>
      <c r="H948">
        <f t="shared" si="28"/>
        <v>-1.1449835408615756E-3</v>
      </c>
      <c r="I948">
        <f t="shared" si="29"/>
        <v>-1.1456395352990175E-3</v>
      </c>
    </row>
    <row r="949" spans="1:9" x14ac:dyDescent="0.75">
      <c r="A949" s="1">
        <v>44355</v>
      </c>
      <c r="B949">
        <v>69.87</v>
      </c>
      <c r="C949">
        <v>69.08</v>
      </c>
      <c r="D949">
        <v>70.08</v>
      </c>
      <c r="E949">
        <v>68.290000000000006</v>
      </c>
      <c r="F949" t="s">
        <v>904</v>
      </c>
      <c r="G949" s="2">
        <v>1.2E-2</v>
      </c>
      <c r="H949">
        <f t="shared" si="28"/>
        <v>1.2022016222479696E-2</v>
      </c>
      <c r="I949">
        <f t="shared" si="29"/>
        <v>1.1950325789186872E-2</v>
      </c>
    </row>
    <row r="950" spans="1:9" x14ac:dyDescent="0.75">
      <c r="A950" s="1">
        <v>44354</v>
      </c>
      <c r="B950">
        <v>69.040000000000006</v>
      </c>
      <c r="C950">
        <v>69.25</v>
      </c>
      <c r="D950">
        <v>69.760000000000005</v>
      </c>
      <c r="E950">
        <v>68.709999999999994</v>
      </c>
      <c r="F950" t="s">
        <v>905</v>
      </c>
      <c r="G950" s="2">
        <v>-5.0000000000000001E-3</v>
      </c>
      <c r="H950">
        <f t="shared" si="28"/>
        <v>-5.0439544602967909E-3</v>
      </c>
      <c r="I950">
        <f t="shared" si="29"/>
        <v>-5.0567181362849434E-3</v>
      </c>
    </row>
    <row r="951" spans="1:9" x14ac:dyDescent="0.75">
      <c r="A951" s="1">
        <v>44351</v>
      </c>
      <c r="B951">
        <v>69.39</v>
      </c>
      <c r="C951">
        <v>68.709999999999994</v>
      </c>
      <c r="D951">
        <v>69.510000000000005</v>
      </c>
      <c r="E951">
        <v>68.12</v>
      </c>
      <c r="F951" t="s">
        <v>906</v>
      </c>
      <c r="G951" s="2">
        <v>1.15E-2</v>
      </c>
      <c r="H951">
        <f t="shared" si="28"/>
        <v>1.1516034985422833E-2</v>
      </c>
      <c r="I951">
        <f t="shared" si="29"/>
        <v>1.1450230179618085E-2</v>
      </c>
    </row>
    <row r="952" spans="1:9" x14ac:dyDescent="0.75">
      <c r="A952" s="1">
        <v>44350</v>
      </c>
      <c r="B952">
        <v>68.599999999999994</v>
      </c>
      <c r="C952">
        <v>68.59</v>
      </c>
      <c r="D952">
        <v>69.180000000000007</v>
      </c>
      <c r="E952">
        <v>67.98</v>
      </c>
      <c r="F952" t="s">
        <v>907</v>
      </c>
      <c r="G952" s="2">
        <v>-4.0000000000000002E-4</v>
      </c>
      <c r="H952">
        <f t="shared" si="28"/>
        <v>-4.3712662101123617E-4</v>
      </c>
      <c r="I952">
        <f t="shared" si="29"/>
        <v>-4.372221887037871E-4</v>
      </c>
    </row>
    <row r="953" spans="1:9" x14ac:dyDescent="0.75">
      <c r="A953" s="1">
        <v>44349</v>
      </c>
      <c r="B953">
        <v>68.63</v>
      </c>
      <c r="C953">
        <v>67.8</v>
      </c>
      <c r="D953">
        <v>68.77</v>
      </c>
      <c r="E953">
        <v>67.59</v>
      </c>
      <c r="F953" t="s">
        <v>908</v>
      </c>
      <c r="G953" s="2">
        <v>1.6400000000000001E-2</v>
      </c>
      <c r="H953">
        <f t="shared" si="28"/>
        <v>1.6439573459715633E-2</v>
      </c>
      <c r="I953">
        <f t="shared" si="29"/>
        <v>1.6305906632841566E-2</v>
      </c>
    </row>
    <row r="954" spans="1:9" x14ac:dyDescent="0.75">
      <c r="A954" s="1">
        <v>44348</v>
      </c>
      <c r="B954">
        <v>67.52</v>
      </c>
      <c r="C954">
        <v>66.45</v>
      </c>
      <c r="D954">
        <v>68.64</v>
      </c>
      <c r="E954">
        <v>66.19</v>
      </c>
      <c r="F954" t="s">
        <v>909</v>
      </c>
      <c r="G954" s="2">
        <v>8.3999999999999995E-3</v>
      </c>
      <c r="H954">
        <f t="shared" si="28"/>
        <v>8.3632019115890428E-3</v>
      </c>
      <c r="I954">
        <f t="shared" si="29"/>
        <v>8.3284241064819093E-3</v>
      </c>
    </row>
    <row r="955" spans="1:9" x14ac:dyDescent="0.75">
      <c r="A955" s="1">
        <v>44347</v>
      </c>
      <c r="B955">
        <v>66.959999999999994</v>
      </c>
      <c r="C955">
        <v>66.58</v>
      </c>
      <c r="D955">
        <v>67.41</v>
      </c>
      <c r="E955">
        <v>66.41</v>
      </c>
      <c r="G955" s="2">
        <v>5.5999999999999999E-3</v>
      </c>
      <c r="H955">
        <f t="shared" si="28"/>
        <v>5.5563898483254291E-3</v>
      </c>
      <c r="I955">
        <f t="shared" si="29"/>
        <v>5.5410100586888236E-3</v>
      </c>
    </row>
    <row r="956" spans="1:9" x14ac:dyDescent="0.75">
      <c r="A956" s="1">
        <v>44346</v>
      </c>
      <c r="B956">
        <v>66.59</v>
      </c>
      <c r="C956">
        <v>66.7</v>
      </c>
      <c r="D956">
        <v>66.75</v>
      </c>
      <c r="E956">
        <v>66.53</v>
      </c>
      <c r="G956" s="2">
        <v>7.4000000000000003E-3</v>
      </c>
      <c r="H956">
        <f t="shared" si="28"/>
        <v>7.4130105900152669E-3</v>
      </c>
      <c r="I956">
        <f t="shared" si="29"/>
        <v>7.3856692648904682E-3</v>
      </c>
    </row>
    <row r="957" spans="1:9" x14ac:dyDescent="0.75">
      <c r="A957" s="1">
        <v>44344</v>
      </c>
      <c r="B957">
        <v>66.099999999999994</v>
      </c>
      <c r="C957">
        <v>66.680000000000007</v>
      </c>
      <c r="D957">
        <v>67.28</v>
      </c>
      <c r="E957">
        <v>65.95</v>
      </c>
      <c r="F957" t="s">
        <v>910</v>
      </c>
      <c r="G957" s="2">
        <v>-7.4999999999999997E-3</v>
      </c>
      <c r="H957">
        <f t="shared" si="28"/>
        <v>-7.5075075075075083E-3</v>
      </c>
      <c r="I957">
        <f t="shared" si="29"/>
        <v>-7.5358306887028477E-3</v>
      </c>
    </row>
    <row r="958" spans="1:9" x14ac:dyDescent="0.75">
      <c r="A958" s="1">
        <v>44343</v>
      </c>
      <c r="B958">
        <v>66.599999999999994</v>
      </c>
      <c r="C958">
        <v>65.930000000000007</v>
      </c>
      <c r="D958">
        <v>66.66</v>
      </c>
      <c r="E958">
        <v>65.23</v>
      </c>
      <c r="F958" t="s">
        <v>911</v>
      </c>
      <c r="G958" s="2">
        <v>9.7000000000000003E-3</v>
      </c>
      <c r="H958">
        <f t="shared" si="28"/>
        <v>9.7028502122498573E-3</v>
      </c>
      <c r="I958">
        <f t="shared" si="29"/>
        <v>9.6560798549452653E-3</v>
      </c>
    </row>
    <row r="959" spans="1:9" x14ac:dyDescent="0.75">
      <c r="A959" s="1">
        <v>44342</v>
      </c>
      <c r="B959">
        <v>65.959999999999994</v>
      </c>
      <c r="C959">
        <v>65.75</v>
      </c>
      <c r="D959">
        <v>66.150000000000006</v>
      </c>
      <c r="E959">
        <v>65.02</v>
      </c>
      <c r="F959" t="s">
        <v>912</v>
      </c>
      <c r="G959" s="2">
        <v>2.5999999999999999E-3</v>
      </c>
      <c r="H959">
        <f t="shared" si="28"/>
        <v>2.5839793281651844E-3</v>
      </c>
      <c r="I959">
        <f t="shared" si="29"/>
        <v>2.5806465934914914E-3</v>
      </c>
    </row>
    <row r="960" spans="1:9" x14ac:dyDescent="0.75">
      <c r="A960" s="1">
        <v>44341</v>
      </c>
      <c r="B960">
        <v>65.790000000000006</v>
      </c>
      <c r="C960">
        <v>65.760000000000005</v>
      </c>
      <c r="D960">
        <v>66.180000000000007</v>
      </c>
      <c r="E960">
        <v>65.14</v>
      </c>
      <c r="F960" t="s">
        <v>913</v>
      </c>
      <c r="G960" s="2">
        <v>2.0000000000000001E-4</v>
      </c>
      <c r="H960">
        <f t="shared" si="28"/>
        <v>1.520218911524037E-4</v>
      </c>
      <c r="I960">
        <f t="shared" si="29"/>
        <v>1.5201033699565654E-4</v>
      </c>
    </row>
    <row r="961" spans="1:9" x14ac:dyDescent="0.75">
      <c r="A961" s="1">
        <v>44340</v>
      </c>
      <c r="B961">
        <v>65.78</v>
      </c>
      <c r="C961">
        <v>63.61</v>
      </c>
      <c r="D961">
        <v>65.87</v>
      </c>
      <c r="E961">
        <v>63.45</v>
      </c>
      <c r="F961" t="s">
        <v>914</v>
      </c>
      <c r="G961" s="2">
        <v>3.8199999999999998E-2</v>
      </c>
      <c r="H961">
        <f t="shared" si="28"/>
        <v>3.8194444444444468E-2</v>
      </c>
      <c r="I961">
        <f t="shared" si="29"/>
        <v>3.7483093254740474E-2</v>
      </c>
    </row>
    <row r="962" spans="1:9" x14ac:dyDescent="0.75">
      <c r="A962" s="1">
        <v>44337</v>
      </c>
      <c r="B962">
        <v>63.36</v>
      </c>
      <c r="C962">
        <v>61.73</v>
      </c>
      <c r="D962">
        <v>63.82</v>
      </c>
      <c r="E962">
        <v>61.36</v>
      </c>
      <c r="F962" t="s">
        <v>915</v>
      </c>
      <c r="G962" s="2">
        <v>2.29E-2</v>
      </c>
      <c r="H962">
        <f t="shared" si="28"/>
        <v>2.2925411688731058E-2</v>
      </c>
      <c r="I962">
        <f t="shared" si="29"/>
        <v>2.2666572961113619E-2</v>
      </c>
    </row>
    <row r="963" spans="1:9" x14ac:dyDescent="0.75">
      <c r="A963" s="1">
        <v>44336</v>
      </c>
      <c r="B963">
        <v>61.94</v>
      </c>
      <c r="C963">
        <v>63.35</v>
      </c>
      <c r="D963">
        <v>63.95</v>
      </c>
      <c r="E963">
        <v>61.67</v>
      </c>
      <c r="F963" t="s">
        <v>916</v>
      </c>
      <c r="G963" s="2">
        <v>-2.23E-2</v>
      </c>
      <c r="H963">
        <f t="shared" ref="H963:H1026" si="30">(B963-B964)/B964</f>
        <v>-2.2257300710339441E-2</v>
      </c>
      <c r="I963">
        <f t="shared" ref="I963:I1026" si="31">LN(B963/B964)</f>
        <v>-2.2508732222091432E-2</v>
      </c>
    </row>
    <row r="964" spans="1:9" x14ac:dyDescent="0.75">
      <c r="A964" s="1">
        <v>44335</v>
      </c>
      <c r="B964">
        <v>63.35</v>
      </c>
      <c r="C964">
        <v>65.3</v>
      </c>
      <c r="D964">
        <v>65.349999999999994</v>
      </c>
      <c r="E964">
        <v>61.95</v>
      </c>
      <c r="F964" t="s">
        <v>917</v>
      </c>
      <c r="G964" s="2">
        <v>-3.2800000000000003E-2</v>
      </c>
      <c r="H964">
        <f t="shared" si="30"/>
        <v>-3.2824427480916012E-2</v>
      </c>
      <c r="I964">
        <f t="shared" si="31"/>
        <v>-3.3375235874058107E-2</v>
      </c>
    </row>
    <row r="965" spans="1:9" x14ac:dyDescent="0.75">
      <c r="A965" s="1">
        <v>44334</v>
      </c>
      <c r="B965">
        <v>65.5</v>
      </c>
      <c r="C965">
        <v>66.31</v>
      </c>
      <c r="D965">
        <v>67.02</v>
      </c>
      <c r="E965">
        <v>64.14</v>
      </c>
      <c r="F965" t="s">
        <v>918</v>
      </c>
      <c r="G965" s="2">
        <v>-1.18E-2</v>
      </c>
      <c r="H965">
        <f t="shared" si="30"/>
        <v>-1.1768255884127958E-2</v>
      </c>
      <c r="I965">
        <f t="shared" si="31"/>
        <v>-1.1838049917155985E-2</v>
      </c>
    </row>
    <row r="966" spans="1:9" x14ac:dyDescent="0.75">
      <c r="A966" s="1">
        <v>44333</v>
      </c>
      <c r="B966">
        <v>66.28</v>
      </c>
      <c r="C966">
        <v>65.44</v>
      </c>
      <c r="D966">
        <v>66.42</v>
      </c>
      <c r="E966">
        <v>64.83</v>
      </c>
      <c r="F966" t="s">
        <v>919</v>
      </c>
      <c r="G966" s="2">
        <v>1.41E-2</v>
      </c>
      <c r="H966">
        <f t="shared" si="30"/>
        <v>1.4075887392900882E-2</v>
      </c>
      <c r="I966">
        <f t="shared" si="31"/>
        <v>1.3977742006614641E-2</v>
      </c>
    </row>
    <row r="967" spans="1:9" x14ac:dyDescent="0.75">
      <c r="A967" s="1">
        <v>44330</v>
      </c>
      <c r="B967">
        <v>65.36</v>
      </c>
      <c r="C967">
        <v>63.84</v>
      </c>
      <c r="D967">
        <v>65.599999999999994</v>
      </c>
      <c r="E967">
        <v>63.35</v>
      </c>
      <c r="F967" t="s">
        <v>920</v>
      </c>
      <c r="G967" s="2">
        <v>2.3800000000000002E-2</v>
      </c>
      <c r="H967">
        <f t="shared" si="30"/>
        <v>2.3809523809523746E-2</v>
      </c>
      <c r="I967">
        <f t="shared" si="31"/>
        <v>2.3530497410194036E-2</v>
      </c>
    </row>
    <row r="968" spans="1:9" x14ac:dyDescent="0.75">
      <c r="A968" s="1">
        <v>44329</v>
      </c>
      <c r="B968">
        <v>63.84</v>
      </c>
      <c r="C968">
        <v>65.78</v>
      </c>
      <c r="D968">
        <v>65.83</v>
      </c>
      <c r="E968">
        <v>63.12</v>
      </c>
      <c r="F968" t="s">
        <v>921</v>
      </c>
      <c r="G968" s="2">
        <v>-3.4200000000000001E-2</v>
      </c>
      <c r="H968">
        <f t="shared" si="30"/>
        <v>-3.4190620272314537E-2</v>
      </c>
      <c r="I968">
        <f t="shared" si="31"/>
        <v>-3.478879371608716E-2</v>
      </c>
    </row>
    <row r="969" spans="1:9" x14ac:dyDescent="0.75">
      <c r="A969" s="1">
        <v>44328</v>
      </c>
      <c r="B969">
        <v>66.099999999999994</v>
      </c>
      <c r="C969">
        <v>65.44</v>
      </c>
      <c r="D969">
        <v>66.63</v>
      </c>
      <c r="E969">
        <v>64.98</v>
      </c>
      <c r="F969" t="s">
        <v>922</v>
      </c>
      <c r="G969" s="2">
        <v>1.23E-2</v>
      </c>
      <c r="H969">
        <f t="shared" si="30"/>
        <v>1.2251148545176067E-2</v>
      </c>
      <c r="I969">
        <f t="shared" si="31"/>
        <v>1.2176710575255285E-2</v>
      </c>
    </row>
    <row r="970" spans="1:9" x14ac:dyDescent="0.75">
      <c r="A970" s="1">
        <v>44327</v>
      </c>
      <c r="B970">
        <v>65.3</v>
      </c>
      <c r="C970">
        <v>64.94</v>
      </c>
      <c r="D970">
        <v>65.510000000000005</v>
      </c>
      <c r="E970">
        <v>63.71</v>
      </c>
      <c r="F970" t="s">
        <v>923</v>
      </c>
      <c r="G970" s="2">
        <v>5.7000000000000002E-3</v>
      </c>
      <c r="H970">
        <f t="shared" si="30"/>
        <v>5.6984444786691872E-3</v>
      </c>
      <c r="I970">
        <f t="shared" si="31"/>
        <v>5.6822697619898421E-3</v>
      </c>
    </row>
    <row r="971" spans="1:9" x14ac:dyDescent="0.75">
      <c r="A971" s="1">
        <v>44326</v>
      </c>
      <c r="B971">
        <v>64.930000000000007</v>
      </c>
      <c r="C971">
        <v>65.25</v>
      </c>
      <c r="D971">
        <v>66</v>
      </c>
      <c r="E971">
        <v>63.96</v>
      </c>
      <c r="F971" t="s">
        <v>924</v>
      </c>
      <c r="G971" s="2">
        <v>8.0000000000000004E-4</v>
      </c>
      <c r="H971">
        <f t="shared" si="30"/>
        <v>7.7065351418019999E-4</v>
      </c>
      <c r="I971">
        <f t="shared" si="31"/>
        <v>7.7035671323814198E-4</v>
      </c>
    </row>
    <row r="972" spans="1:9" x14ac:dyDescent="0.75">
      <c r="A972" s="1">
        <v>44323</v>
      </c>
      <c r="B972">
        <v>64.88</v>
      </c>
      <c r="C972">
        <v>64.86</v>
      </c>
      <c r="D972">
        <v>65.2</v>
      </c>
      <c r="E972">
        <v>63.89</v>
      </c>
      <c r="F972" t="s">
        <v>925</v>
      </c>
      <c r="G972" s="2">
        <v>3.2000000000000002E-3</v>
      </c>
      <c r="H972">
        <f t="shared" si="30"/>
        <v>3.2472552961186601E-3</v>
      </c>
      <c r="I972">
        <f t="shared" si="31"/>
        <v>3.2419943486559966E-3</v>
      </c>
    </row>
    <row r="973" spans="1:9" x14ac:dyDescent="0.75">
      <c r="A973" s="1">
        <v>44322</v>
      </c>
      <c r="B973">
        <v>64.67</v>
      </c>
      <c r="C973">
        <v>65.260000000000005</v>
      </c>
      <c r="D973">
        <v>65.930000000000007</v>
      </c>
      <c r="E973">
        <v>64.47</v>
      </c>
      <c r="F973" t="s">
        <v>926</v>
      </c>
      <c r="G973" s="2">
        <v>-1.4E-2</v>
      </c>
      <c r="H973">
        <f t="shared" si="30"/>
        <v>-1.4026528434212558E-2</v>
      </c>
      <c r="I973">
        <f t="shared" si="31"/>
        <v>-1.4125829847142769E-2</v>
      </c>
    </row>
    <row r="974" spans="1:9" x14ac:dyDescent="0.75">
      <c r="A974" s="1">
        <v>44321</v>
      </c>
      <c r="B974">
        <v>65.59</v>
      </c>
      <c r="C974">
        <v>66.2</v>
      </c>
      <c r="D974">
        <v>66.67</v>
      </c>
      <c r="E974">
        <v>64.89</v>
      </c>
      <c r="F974" t="s">
        <v>927</v>
      </c>
      <c r="G974" s="2">
        <v>-2.9999999999999997E-4</v>
      </c>
      <c r="H974">
        <f t="shared" si="30"/>
        <v>-3.0483158055168451E-4</v>
      </c>
      <c r="I974">
        <f t="shared" si="31"/>
        <v>-3.0487805114201631E-4</v>
      </c>
    </row>
    <row r="975" spans="1:9" x14ac:dyDescent="0.75">
      <c r="A975" s="1">
        <v>44320</v>
      </c>
      <c r="B975">
        <v>65.61</v>
      </c>
      <c r="C975">
        <v>64.430000000000007</v>
      </c>
      <c r="D975">
        <v>66.12</v>
      </c>
      <c r="E975">
        <v>64.209999999999994</v>
      </c>
      <c r="F975" t="s">
        <v>928</v>
      </c>
      <c r="G975" s="2">
        <v>1.8599999999999998E-2</v>
      </c>
      <c r="H975">
        <f t="shared" si="30"/>
        <v>1.8630647414997717E-2</v>
      </c>
      <c r="I975">
        <f t="shared" si="31"/>
        <v>1.8459222797986896E-2</v>
      </c>
    </row>
    <row r="976" spans="1:9" x14ac:dyDescent="0.75">
      <c r="A976" s="1">
        <v>44319</v>
      </c>
      <c r="B976">
        <v>64.41</v>
      </c>
      <c r="C976">
        <v>63.48</v>
      </c>
      <c r="D976">
        <v>64.58</v>
      </c>
      <c r="E976">
        <v>62.82</v>
      </c>
      <c r="F976" t="s">
        <v>929</v>
      </c>
      <c r="G976" s="2">
        <v>1.47E-2</v>
      </c>
      <c r="H976">
        <f t="shared" si="30"/>
        <v>1.4650283553875232E-2</v>
      </c>
      <c r="I976">
        <f t="shared" si="31"/>
        <v>1.4544004900591111E-2</v>
      </c>
    </row>
    <row r="977" spans="1:9" x14ac:dyDescent="0.75">
      <c r="A977" s="1">
        <v>44316</v>
      </c>
      <c r="B977">
        <v>63.48</v>
      </c>
      <c r="C977">
        <v>64.760000000000005</v>
      </c>
      <c r="D977">
        <v>64.83</v>
      </c>
      <c r="E977">
        <v>63</v>
      </c>
      <c r="F977" t="s">
        <v>930</v>
      </c>
      <c r="G977" s="2">
        <v>-2.1600000000000001E-2</v>
      </c>
      <c r="H977">
        <f t="shared" si="30"/>
        <v>-2.157829839704067E-2</v>
      </c>
      <c r="I977">
        <f t="shared" si="31"/>
        <v>-2.1814514148949082E-2</v>
      </c>
    </row>
    <row r="978" spans="1:9" x14ac:dyDescent="0.75">
      <c r="A978" s="1">
        <v>44315</v>
      </c>
      <c r="B978">
        <v>64.88</v>
      </c>
      <c r="C978">
        <v>63.59</v>
      </c>
      <c r="D978">
        <v>65.319999999999993</v>
      </c>
      <c r="E978">
        <v>63.53</v>
      </c>
      <c r="F978" t="s">
        <v>931</v>
      </c>
      <c r="G978" s="2">
        <v>1.77E-2</v>
      </c>
      <c r="H978">
        <f t="shared" si="30"/>
        <v>1.7725490196078358E-2</v>
      </c>
      <c r="I978">
        <f t="shared" si="31"/>
        <v>1.7570225768621911E-2</v>
      </c>
    </row>
    <row r="979" spans="1:9" x14ac:dyDescent="0.75">
      <c r="A979" s="1">
        <v>44314</v>
      </c>
      <c r="B979">
        <v>63.75</v>
      </c>
      <c r="C979">
        <v>62.92</v>
      </c>
      <c r="D979">
        <v>64.37</v>
      </c>
      <c r="E979">
        <v>62.54</v>
      </c>
      <c r="F979" t="s">
        <v>932</v>
      </c>
      <c r="G979" s="2">
        <v>1.5100000000000001E-2</v>
      </c>
      <c r="H979">
        <f t="shared" si="30"/>
        <v>1.5127388535031892E-2</v>
      </c>
      <c r="I979">
        <f t="shared" si="31"/>
        <v>1.5014110564382505E-2</v>
      </c>
    </row>
    <row r="980" spans="1:9" x14ac:dyDescent="0.75">
      <c r="A980" s="1">
        <v>44313</v>
      </c>
      <c r="B980">
        <v>62.8</v>
      </c>
      <c r="C980">
        <v>61.8</v>
      </c>
      <c r="D980">
        <v>63.15</v>
      </c>
      <c r="E980">
        <v>61.8</v>
      </c>
      <c r="F980" t="s">
        <v>933</v>
      </c>
      <c r="G980" s="2">
        <v>1.6199999999999999E-2</v>
      </c>
      <c r="H980">
        <f t="shared" si="30"/>
        <v>1.6181229773462785E-2</v>
      </c>
      <c r="I980">
        <f t="shared" si="31"/>
        <v>1.6051709010507825E-2</v>
      </c>
    </row>
    <row r="981" spans="1:9" x14ac:dyDescent="0.75">
      <c r="A981" s="1">
        <v>44312</v>
      </c>
      <c r="B981">
        <v>61.8</v>
      </c>
      <c r="C981">
        <v>62.03</v>
      </c>
      <c r="D981">
        <v>62.18</v>
      </c>
      <c r="E981">
        <v>60.56</v>
      </c>
      <c r="F981" t="s">
        <v>934</v>
      </c>
      <c r="G981" s="2">
        <v>-3.5000000000000001E-3</v>
      </c>
      <c r="H981">
        <f t="shared" si="30"/>
        <v>-3.5472428248952913E-3</v>
      </c>
      <c r="I981">
        <f t="shared" si="31"/>
        <v>-3.5535492086578714E-3</v>
      </c>
    </row>
    <row r="982" spans="1:9" x14ac:dyDescent="0.75">
      <c r="A982" s="1">
        <v>44309</v>
      </c>
      <c r="B982">
        <v>62.02</v>
      </c>
      <c r="C982">
        <v>61.56</v>
      </c>
      <c r="D982">
        <v>62.3</v>
      </c>
      <c r="E982">
        <v>61.14</v>
      </c>
      <c r="F982" t="s">
        <v>935</v>
      </c>
      <c r="G982" s="2">
        <v>1.11E-2</v>
      </c>
      <c r="H982">
        <f t="shared" si="30"/>
        <v>1.1085751548744697E-2</v>
      </c>
      <c r="I982">
        <f t="shared" si="31"/>
        <v>1.102475498619751E-2</v>
      </c>
    </row>
    <row r="983" spans="1:9" x14ac:dyDescent="0.75">
      <c r="A983" s="1">
        <v>44308</v>
      </c>
      <c r="B983">
        <v>61.34</v>
      </c>
      <c r="C983">
        <v>61.05</v>
      </c>
      <c r="D983">
        <v>61.79</v>
      </c>
      <c r="E983">
        <v>60.55</v>
      </c>
      <c r="F983" t="s">
        <v>936</v>
      </c>
      <c r="G983" s="2">
        <v>1.1000000000000001E-3</v>
      </c>
      <c r="H983">
        <f t="shared" si="30"/>
        <v>1.1424840868287953E-3</v>
      </c>
      <c r="I983">
        <f t="shared" si="31"/>
        <v>1.1418319485423081E-3</v>
      </c>
    </row>
    <row r="984" spans="1:9" x14ac:dyDescent="0.75">
      <c r="A984" s="1">
        <v>44307</v>
      </c>
      <c r="B984">
        <v>61.27</v>
      </c>
      <c r="C984">
        <v>62.33</v>
      </c>
      <c r="D984">
        <v>62.47</v>
      </c>
      <c r="E984">
        <v>60.79</v>
      </c>
      <c r="F984" t="s">
        <v>596</v>
      </c>
      <c r="G984" s="2">
        <v>-2.23E-2</v>
      </c>
      <c r="H984">
        <f t="shared" si="30"/>
        <v>-2.2339237274613028E-2</v>
      </c>
      <c r="I984">
        <f t="shared" si="31"/>
        <v>-2.2592537499020925E-2</v>
      </c>
    </row>
    <row r="985" spans="1:9" x14ac:dyDescent="0.75">
      <c r="A985" s="1">
        <v>44306</v>
      </c>
      <c r="B985">
        <v>62.67</v>
      </c>
      <c r="C985">
        <v>63.53</v>
      </c>
      <c r="D985">
        <v>64.38</v>
      </c>
      <c r="E985">
        <v>61.49</v>
      </c>
      <c r="F985" t="s">
        <v>937</v>
      </c>
      <c r="G985" s="2">
        <v>-1.2E-2</v>
      </c>
      <c r="H985">
        <f t="shared" si="30"/>
        <v>-1.1981712123600788E-2</v>
      </c>
      <c r="I985">
        <f t="shared" si="31"/>
        <v>-1.2054071409221614E-2</v>
      </c>
    </row>
    <row r="986" spans="1:9" x14ac:dyDescent="0.75">
      <c r="A986" s="1">
        <v>44305</v>
      </c>
      <c r="B986">
        <v>63.43</v>
      </c>
      <c r="C986">
        <v>63.01</v>
      </c>
      <c r="D986">
        <v>63.69</v>
      </c>
      <c r="E986">
        <v>62.67</v>
      </c>
      <c r="F986" t="s">
        <v>938</v>
      </c>
      <c r="G986" s="2">
        <v>3.8E-3</v>
      </c>
      <c r="H986">
        <f t="shared" si="30"/>
        <v>3.7980693147650259E-3</v>
      </c>
      <c r="I986">
        <f t="shared" si="31"/>
        <v>3.7908748604418905E-3</v>
      </c>
    </row>
    <row r="987" spans="1:9" x14ac:dyDescent="0.75">
      <c r="A987" s="1">
        <v>44302</v>
      </c>
      <c r="B987">
        <v>63.19</v>
      </c>
      <c r="C987">
        <v>63.35</v>
      </c>
      <c r="D987">
        <v>63.94</v>
      </c>
      <c r="E987">
        <v>62.88</v>
      </c>
      <c r="F987" t="s">
        <v>939</v>
      </c>
      <c r="G987" s="2">
        <v>-5.0000000000000001E-3</v>
      </c>
      <c r="H987">
        <f t="shared" si="30"/>
        <v>-5.0385766021099083E-3</v>
      </c>
      <c r="I987">
        <f t="shared" si="31"/>
        <v>-5.0513130295196185E-3</v>
      </c>
    </row>
    <row r="988" spans="1:9" x14ac:dyDescent="0.75">
      <c r="A988" s="1">
        <v>44301</v>
      </c>
      <c r="B988">
        <v>63.51</v>
      </c>
      <c r="C988">
        <v>62.97</v>
      </c>
      <c r="D988">
        <v>63.62</v>
      </c>
      <c r="E988">
        <v>62.61</v>
      </c>
      <c r="F988" t="s">
        <v>940</v>
      </c>
      <c r="G988" s="2">
        <v>4.5999999999999999E-3</v>
      </c>
      <c r="H988">
        <f t="shared" si="30"/>
        <v>4.5871559633027387E-3</v>
      </c>
      <c r="I988">
        <f t="shared" si="31"/>
        <v>4.5766670274118935E-3</v>
      </c>
    </row>
    <row r="989" spans="1:9" x14ac:dyDescent="0.75">
      <c r="A989" s="1">
        <v>44300</v>
      </c>
      <c r="B989">
        <v>63.22</v>
      </c>
      <c r="C989">
        <v>60.52</v>
      </c>
      <c r="D989">
        <v>63.51</v>
      </c>
      <c r="E989">
        <v>60.43</v>
      </c>
      <c r="F989" t="s">
        <v>941</v>
      </c>
      <c r="G989" s="2">
        <v>4.9500000000000002E-2</v>
      </c>
      <c r="H989">
        <f t="shared" si="30"/>
        <v>4.946879150066396E-2</v>
      </c>
      <c r="I989">
        <f t="shared" si="31"/>
        <v>4.8284123295833488E-2</v>
      </c>
    </row>
    <row r="990" spans="1:9" x14ac:dyDescent="0.75">
      <c r="A990" s="1">
        <v>44299</v>
      </c>
      <c r="B990">
        <v>60.24</v>
      </c>
      <c r="C990">
        <v>59.69</v>
      </c>
      <c r="D990">
        <v>60.63</v>
      </c>
      <c r="E990">
        <v>59.69</v>
      </c>
      <c r="F990" t="s">
        <v>942</v>
      </c>
      <c r="G990" s="2">
        <v>8.2000000000000007E-3</v>
      </c>
      <c r="H990">
        <f t="shared" si="30"/>
        <v>8.2008368200837158E-3</v>
      </c>
      <c r="I990">
        <f t="shared" si="31"/>
        <v>8.1673926800180652E-3</v>
      </c>
    </row>
    <row r="991" spans="1:9" x14ac:dyDescent="0.75">
      <c r="A991" s="1">
        <v>44298</v>
      </c>
      <c r="B991">
        <v>59.75</v>
      </c>
      <c r="C991">
        <v>59.43</v>
      </c>
      <c r="D991">
        <v>60.78</v>
      </c>
      <c r="E991">
        <v>58.77</v>
      </c>
      <c r="F991" t="s">
        <v>943</v>
      </c>
      <c r="G991" s="2">
        <v>6.7000000000000002E-3</v>
      </c>
      <c r="H991">
        <f t="shared" si="30"/>
        <v>6.7396798652063789E-3</v>
      </c>
      <c r="I991">
        <f t="shared" si="31"/>
        <v>6.717069755943007E-3</v>
      </c>
    </row>
    <row r="992" spans="1:9" x14ac:dyDescent="0.75">
      <c r="A992" s="1">
        <v>44295</v>
      </c>
      <c r="B992">
        <v>59.35</v>
      </c>
      <c r="C992">
        <v>59.78</v>
      </c>
      <c r="D992">
        <v>59.94</v>
      </c>
      <c r="E992">
        <v>59.13</v>
      </c>
      <c r="F992" t="s">
        <v>944</v>
      </c>
      <c r="G992" s="2">
        <v>-4.7000000000000002E-3</v>
      </c>
      <c r="H992">
        <f t="shared" si="30"/>
        <v>-4.6956230085527604E-3</v>
      </c>
      <c r="I992">
        <f t="shared" si="31"/>
        <v>-4.706682079337496E-3</v>
      </c>
    </row>
    <row r="993" spans="1:9" x14ac:dyDescent="0.75">
      <c r="A993" s="1">
        <v>44294</v>
      </c>
      <c r="B993">
        <v>59.63</v>
      </c>
      <c r="C993">
        <v>59.56</v>
      </c>
      <c r="D993">
        <v>59.93</v>
      </c>
      <c r="E993">
        <v>58.85</v>
      </c>
      <c r="F993" t="s">
        <v>945</v>
      </c>
      <c r="G993" s="2">
        <v>-3.0000000000000001E-3</v>
      </c>
      <c r="H993">
        <f t="shared" si="30"/>
        <v>-3.0095301788998449E-3</v>
      </c>
      <c r="I993">
        <f t="shared" si="31"/>
        <v>-3.0140679214510926E-3</v>
      </c>
    </row>
    <row r="994" spans="1:9" x14ac:dyDescent="0.75">
      <c r="A994" s="1">
        <v>44293</v>
      </c>
      <c r="B994">
        <v>59.81</v>
      </c>
      <c r="C994">
        <v>59.28</v>
      </c>
      <c r="D994">
        <v>60.06</v>
      </c>
      <c r="E994">
        <v>58.16</v>
      </c>
      <c r="F994" t="s">
        <v>946</v>
      </c>
      <c r="G994" s="2">
        <v>7.4000000000000003E-3</v>
      </c>
      <c r="H994">
        <f t="shared" si="30"/>
        <v>7.4111504126664115E-3</v>
      </c>
      <c r="I994">
        <f t="shared" si="31"/>
        <v>7.383822773881648E-3</v>
      </c>
    </row>
    <row r="995" spans="1:9" x14ac:dyDescent="0.75">
      <c r="A995" s="1">
        <v>44292</v>
      </c>
      <c r="B995">
        <v>59.37</v>
      </c>
      <c r="C995">
        <v>58.87</v>
      </c>
      <c r="D995">
        <v>60.89</v>
      </c>
      <c r="E995">
        <v>58.66</v>
      </c>
      <c r="F995" t="s">
        <v>947</v>
      </c>
      <c r="G995" s="2">
        <v>1.18E-2</v>
      </c>
      <c r="H995">
        <f t="shared" si="30"/>
        <v>1.1758691206543928E-2</v>
      </c>
      <c r="I995">
        <f t="shared" si="31"/>
        <v>1.1690095007803053E-2</v>
      </c>
    </row>
    <row r="996" spans="1:9" x14ac:dyDescent="0.75">
      <c r="A996" s="1">
        <v>44291</v>
      </c>
      <c r="B996">
        <v>58.68</v>
      </c>
      <c r="C996">
        <v>61.48</v>
      </c>
      <c r="D996">
        <v>61.48</v>
      </c>
      <c r="E996">
        <v>57.68</v>
      </c>
      <c r="F996" t="s">
        <v>948</v>
      </c>
      <c r="G996" s="2">
        <v>-4.5499999999999999E-2</v>
      </c>
      <c r="H996">
        <f t="shared" si="30"/>
        <v>-4.5543266102797617E-2</v>
      </c>
      <c r="I996">
        <f t="shared" si="31"/>
        <v>-4.6612965395614055E-2</v>
      </c>
    </row>
    <row r="997" spans="1:9" x14ac:dyDescent="0.75">
      <c r="A997" s="1">
        <v>44287</v>
      </c>
      <c r="B997">
        <v>61.48</v>
      </c>
      <c r="C997">
        <v>59.48</v>
      </c>
      <c r="D997">
        <v>61.75</v>
      </c>
      <c r="E997">
        <v>58.91</v>
      </c>
      <c r="F997" t="s">
        <v>949</v>
      </c>
      <c r="G997" s="2">
        <v>3.8899999999999997E-2</v>
      </c>
      <c r="H997">
        <f t="shared" si="30"/>
        <v>3.8864481243663353E-2</v>
      </c>
      <c r="I997">
        <f t="shared" si="31"/>
        <v>3.8128271698331495E-2</v>
      </c>
    </row>
    <row r="998" spans="1:9" x14ac:dyDescent="0.75">
      <c r="A998" s="1">
        <v>44286</v>
      </c>
      <c r="B998">
        <v>59.18</v>
      </c>
      <c r="C998">
        <v>60.4</v>
      </c>
      <c r="D998">
        <v>61.17</v>
      </c>
      <c r="E998">
        <v>58.88</v>
      </c>
      <c r="F998" t="s">
        <v>950</v>
      </c>
      <c r="G998" s="2">
        <v>-2.2800000000000001E-2</v>
      </c>
      <c r="H998">
        <f t="shared" si="30"/>
        <v>-2.2787318361955126E-2</v>
      </c>
      <c r="I998">
        <f t="shared" si="31"/>
        <v>-2.3050962157129793E-2</v>
      </c>
    </row>
    <row r="999" spans="1:9" x14ac:dyDescent="0.75">
      <c r="A999" s="1">
        <v>44285</v>
      </c>
      <c r="B999">
        <v>60.56</v>
      </c>
      <c r="C999">
        <v>61.92</v>
      </c>
      <c r="D999">
        <v>62.22</v>
      </c>
      <c r="E999">
        <v>59.95</v>
      </c>
      <c r="F999" t="s">
        <v>951</v>
      </c>
      <c r="G999" s="2">
        <v>-1.5800000000000002E-2</v>
      </c>
      <c r="H999">
        <f t="shared" si="30"/>
        <v>-1.576466764180073E-2</v>
      </c>
      <c r="I999">
        <f t="shared" si="31"/>
        <v>-1.5890251623205585E-2</v>
      </c>
    </row>
    <row r="1000" spans="1:9" x14ac:dyDescent="0.75">
      <c r="A1000" s="1">
        <v>44284</v>
      </c>
      <c r="B1000">
        <v>61.53</v>
      </c>
      <c r="C1000">
        <v>60.94</v>
      </c>
      <c r="D1000">
        <v>61.74</v>
      </c>
      <c r="E1000">
        <v>59.42</v>
      </c>
      <c r="F1000" t="s">
        <v>952</v>
      </c>
      <c r="G1000" s="2">
        <v>9.4000000000000004E-3</v>
      </c>
      <c r="H1000">
        <f t="shared" si="30"/>
        <v>9.3503937007874058E-3</v>
      </c>
      <c r="I1000">
        <f t="shared" si="31"/>
        <v>9.3069493740081943E-3</v>
      </c>
    </row>
    <row r="1001" spans="1:9" x14ac:dyDescent="0.75">
      <c r="A1001" s="1">
        <v>44281</v>
      </c>
      <c r="B1001">
        <v>60.96</v>
      </c>
      <c r="C1001">
        <v>58.44</v>
      </c>
      <c r="D1001">
        <v>61.34</v>
      </c>
      <c r="E1001">
        <v>58.33</v>
      </c>
      <c r="F1001" t="s">
        <v>953</v>
      </c>
      <c r="G1001" s="2">
        <v>4.0800000000000003E-2</v>
      </c>
      <c r="H1001">
        <f t="shared" si="30"/>
        <v>4.0805873313983276E-2</v>
      </c>
      <c r="I1001">
        <f t="shared" si="31"/>
        <v>3.9995291276699985E-2</v>
      </c>
    </row>
    <row r="1002" spans="1:9" x14ac:dyDescent="0.75">
      <c r="A1002" s="1">
        <v>44280</v>
      </c>
      <c r="B1002">
        <v>58.57</v>
      </c>
      <c r="C1002">
        <v>60.8</v>
      </c>
      <c r="D1002">
        <v>60.84</v>
      </c>
      <c r="E1002">
        <v>57.46</v>
      </c>
      <c r="F1002" t="s">
        <v>954</v>
      </c>
      <c r="G1002" s="2">
        <v>-4.2299999999999997E-2</v>
      </c>
      <c r="H1002">
        <f t="shared" si="30"/>
        <v>-4.2347939829954162E-2</v>
      </c>
      <c r="I1002">
        <f t="shared" si="31"/>
        <v>-4.3270760959170526E-2</v>
      </c>
    </row>
    <row r="1003" spans="1:9" x14ac:dyDescent="0.75">
      <c r="A1003" s="1">
        <v>44279</v>
      </c>
      <c r="B1003">
        <v>61.16</v>
      </c>
      <c r="C1003">
        <v>57.42</v>
      </c>
      <c r="D1003">
        <v>61.31</v>
      </c>
      <c r="E1003">
        <v>57.33</v>
      </c>
      <c r="F1003" t="s">
        <v>955</v>
      </c>
      <c r="G1003" s="2">
        <v>5.8500000000000003E-2</v>
      </c>
      <c r="H1003">
        <f t="shared" si="30"/>
        <v>5.8497750086535051E-2</v>
      </c>
      <c r="I1003">
        <f t="shared" si="31"/>
        <v>5.6850686022772358E-2</v>
      </c>
    </row>
    <row r="1004" spans="1:9" x14ac:dyDescent="0.75">
      <c r="A1004" s="1">
        <v>44278</v>
      </c>
      <c r="B1004">
        <v>57.78</v>
      </c>
      <c r="C1004">
        <v>61.18</v>
      </c>
      <c r="D1004">
        <v>61.25</v>
      </c>
      <c r="E1004">
        <v>57.29</v>
      </c>
      <c r="F1004" t="s">
        <v>956</v>
      </c>
      <c r="G1004" s="2">
        <v>-6.1400000000000003E-2</v>
      </c>
      <c r="H1004">
        <f t="shared" si="30"/>
        <v>-6.1403508771929842E-2</v>
      </c>
      <c r="I1004">
        <f t="shared" si="31"/>
        <v>-6.3369613932589261E-2</v>
      </c>
    </row>
    <row r="1005" spans="1:9" x14ac:dyDescent="0.75">
      <c r="A1005" s="1">
        <v>44277</v>
      </c>
      <c r="B1005">
        <v>61.56</v>
      </c>
      <c r="C1005">
        <v>61.6</v>
      </c>
      <c r="D1005">
        <v>62.04</v>
      </c>
      <c r="E1005">
        <v>60.35</v>
      </c>
      <c r="F1005" t="s">
        <v>957</v>
      </c>
      <c r="G1005" s="2">
        <v>2E-3</v>
      </c>
      <c r="H1005">
        <f t="shared" si="30"/>
        <v>1.9531250000000742E-3</v>
      </c>
      <c r="I1005">
        <f t="shared" si="31"/>
        <v>1.9512201312617493E-3</v>
      </c>
    </row>
    <row r="1006" spans="1:9" x14ac:dyDescent="0.75">
      <c r="A1006" s="1">
        <v>44274</v>
      </c>
      <c r="B1006">
        <v>61.44</v>
      </c>
      <c r="C1006">
        <v>59.65</v>
      </c>
      <c r="D1006">
        <v>61.8</v>
      </c>
      <c r="E1006">
        <v>59.01</v>
      </c>
      <c r="F1006" t="s">
        <v>958</v>
      </c>
      <c r="G1006" s="2">
        <v>2.3E-2</v>
      </c>
      <c r="H1006">
        <f t="shared" si="30"/>
        <v>2.29770229770229E-2</v>
      </c>
      <c r="I1006">
        <f t="shared" si="31"/>
        <v>2.2717026284232507E-2</v>
      </c>
    </row>
    <row r="1007" spans="1:9" x14ac:dyDescent="0.75">
      <c r="A1007" s="1">
        <v>44273</v>
      </c>
      <c r="B1007">
        <v>60.06</v>
      </c>
      <c r="C1007">
        <v>64.44</v>
      </c>
      <c r="D1007">
        <v>64.88</v>
      </c>
      <c r="E1007">
        <v>58.28</v>
      </c>
      <c r="F1007" t="s">
        <v>959</v>
      </c>
      <c r="G1007" s="2">
        <v>-7.0699999999999999E-2</v>
      </c>
      <c r="H1007">
        <f t="shared" si="30"/>
        <v>-7.0710196503171799E-2</v>
      </c>
      <c r="I1007">
        <f t="shared" si="31"/>
        <v>-7.3334636719619747E-2</v>
      </c>
    </row>
    <row r="1008" spans="1:9" x14ac:dyDescent="0.75">
      <c r="A1008" s="1">
        <v>44272</v>
      </c>
      <c r="B1008">
        <v>64.63</v>
      </c>
      <c r="C1008">
        <v>64.87</v>
      </c>
      <c r="D1008">
        <v>65.400000000000006</v>
      </c>
      <c r="E1008">
        <v>63.64</v>
      </c>
      <c r="F1008" t="s">
        <v>504</v>
      </c>
      <c r="G1008" s="2">
        <v>-3.5000000000000001E-3</v>
      </c>
      <c r="H1008">
        <f t="shared" si="30"/>
        <v>-3.5460992907802033E-3</v>
      </c>
      <c r="I1008">
        <f t="shared" si="31"/>
        <v>-3.5524016043678832E-3</v>
      </c>
    </row>
    <row r="1009" spans="1:9" x14ac:dyDescent="0.75">
      <c r="A1009" s="1">
        <v>44271</v>
      </c>
      <c r="B1009">
        <v>64.86</v>
      </c>
      <c r="C1009">
        <v>65.34</v>
      </c>
      <c r="D1009">
        <v>65.48</v>
      </c>
      <c r="E1009">
        <v>63.87</v>
      </c>
      <c r="F1009" t="s">
        <v>960</v>
      </c>
      <c r="G1009" s="2">
        <v>-8.8999999999999999E-3</v>
      </c>
      <c r="H1009">
        <f t="shared" si="30"/>
        <v>-8.8630806845965519E-3</v>
      </c>
      <c r="I1009">
        <f t="shared" si="31"/>
        <v>-8.9025914153196412E-3</v>
      </c>
    </row>
    <row r="1010" spans="1:9" x14ac:dyDescent="0.75">
      <c r="A1010" s="1">
        <v>44270</v>
      </c>
      <c r="B1010">
        <v>65.44</v>
      </c>
      <c r="C1010">
        <v>65.56</v>
      </c>
      <c r="D1010">
        <v>66.44</v>
      </c>
      <c r="E1010">
        <v>64.22</v>
      </c>
      <c r="F1010" t="s">
        <v>961</v>
      </c>
      <c r="G1010" s="2">
        <v>-3.0000000000000001E-3</v>
      </c>
      <c r="H1010">
        <f t="shared" si="30"/>
        <v>-3.046922608165796E-3</v>
      </c>
      <c r="I1010">
        <f t="shared" si="31"/>
        <v>-3.0515739273985275E-3</v>
      </c>
    </row>
    <row r="1011" spans="1:9" x14ac:dyDescent="0.75">
      <c r="A1011" s="1">
        <v>44267</v>
      </c>
      <c r="B1011">
        <v>65.64</v>
      </c>
      <c r="C1011">
        <v>65.95</v>
      </c>
      <c r="D1011">
        <v>66.22</v>
      </c>
      <c r="E1011">
        <v>65.400000000000006</v>
      </c>
      <c r="F1011" t="s">
        <v>962</v>
      </c>
      <c r="G1011" s="2">
        <v>-5.4999999999999997E-3</v>
      </c>
      <c r="H1011">
        <f t="shared" si="30"/>
        <v>-5.4545454545454463E-3</v>
      </c>
      <c r="I1011">
        <f t="shared" si="31"/>
        <v>-5.4694758045354328E-3</v>
      </c>
    </row>
    <row r="1012" spans="1:9" x14ac:dyDescent="0.75">
      <c r="A1012" s="1">
        <v>44266</v>
      </c>
      <c r="B1012">
        <v>66</v>
      </c>
      <c r="C1012">
        <v>64.62</v>
      </c>
      <c r="D1012">
        <v>66.17</v>
      </c>
      <c r="E1012">
        <v>64.489999999999995</v>
      </c>
      <c r="F1012" t="s">
        <v>963</v>
      </c>
      <c r="G1012" s="2">
        <v>2.4500000000000001E-2</v>
      </c>
      <c r="H1012">
        <f t="shared" si="30"/>
        <v>2.4526544551381532E-2</v>
      </c>
      <c r="I1012">
        <f t="shared" si="31"/>
        <v>2.4230598123372808E-2</v>
      </c>
    </row>
    <row r="1013" spans="1:9" x14ac:dyDescent="0.75">
      <c r="A1013" s="1">
        <v>44265</v>
      </c>
      <c r="B1013">
        <v>64.42</v>
      </c>
      <c r="C1013">
        <v>63.81</v>
      </c>
      <c r="D1013">
        <v>64.900000000000006</v>
      </c>
      <c r="E1013">
        <v>63.1</v>
      </c>
      <c r="F1013" t="s">
        <v>964</v>
      </c>
      <c r="G1013" s="2">
        <v>6.7000000000000002E-3</v>
      </c>
      <c r="H1013">
        <f t="shared" si="30"/>
        <v>6.7197999687451122E-3</v>
      </c>
      <c r="I1013">
        <f t="shared" si="31"/>
        <v>6.6973227516839247E-3</v>
      </c>
    </row>
    <row r="1014" spans="1:9" x14ac:dyDescent="0.75">
      <c r="A1014" s="1">
        <v>44264</v>
      </c>
      <c r="B1014">
        <v>63.99</v>
      </c>
      <c r="C1014">
        <v>64.599999999999994</v>
      </c>
      <c r="D1014">
        <v>65.87</v>
      </c>
      <c r="E1014">
        <v>63.6</v>
      </c>
      <c r="F1014" t="s">
        <v>965</v>
      </c>
      <c r="G1014" s="2">
        <v>-1.4500000000000001E-2</v>
      </c>
      <c r="H1014">
        <f t="shared" si="30"/>
        <v>-1.4477129216078927E-2</v>
      </c>
      <c r="I1014">
        <f t="shared" si="31"/>
        <v>-1.4582945369026549E-2</v>
      </c>
    </row>
    <row r="1015" spans="1:9" x14ac:dyDescent="0.75">
      <c r="A1015" s="1">
        <v>44263</v>
      </c>
      <c r="B1015">
        <v>64.930000000000007</v>
      </c>
      <c r="C1015">
        <v>66.5</v>
      </c>
      <c r="D1015">
        <v>67.790000000000006</v>
      </c>
      <c r="E1015">
        <v>64.45</v>
      </c>
      <c r="F1015" t="s">
        <v>966</v>
      </c>
      <c r="G1015" s="2">
        <v>-1.4999999999999999E-2</v>
      </c>
      <c r="H1015">
        <f t="shared" si="30"/>
        <v>-1.5018203883495068E-2</v>
      </c>
      <c r="I1015">
        <f t="shared" si="31"/>
        <v>-1.513211908082079E-2</v>
      </c>
    </row>
    <row r="1016" spans="1:9" x14ac:dyDescent="0.75">
      <c r="A1016" s="1">
        <v>44260</v>
      </c>
      <c r="B1016">
        <v>65.92</v>
      </c>
      <c r="C1016">
        <v>63.94</v>
      </c>
      <c r="D1016">
        <v>66.23</v>
      </c>
      <c r="E1016">
        <v>63.59</v>
      </c>
      <c r="F1016" t="s">
        <v>967</v>
      </c>
      <c r="G1016" s="2">
        <v>3.6200000000000003E-2</v>
      </c>
      <c r="H1016">
        <f t="shared" si="30"/>
        <v>3.6152153410877151E-2</v>
      </c>
      <c r="I1016">
        <f t="shared" si="31"/>
        <v>3.55139992802182E-2</v>
      </c>
    </row>
    <row r="1017" spans="1:9" x14ac:dyDescent="0.75">
      <c r="A1017" s="1">
        <v>44259</v>
      </c>
      <c r="B1017">
        <v>63.62</v>
      </c>
      <c r="C1017">
        <v>60.93</v>
      </c>
      <c r="D1017">
        <v>64.62</v>
      </c>
      <c r="E1017">
        <v>60.36</v>
      </c>
      <c r="F1017" t="s">
        <v>968</v>
      </c>
      <c r="G1017" s="2">
        <v>4.1200000000000001E-2</v>
      </c>
      <c r="H1017">
        <f t="shared" si="30"/>
        <v>4.1243862520458197E-2</v>
      </c>
      <c r="I1017">
        <f t="shared" si="31"/>
        <v>4.0416020143448451E-2</v>
      </c>
    </row>
    <row r="1018" spans="1:9" x14ac:dyDescent="0.75">
      <c r="A1018" s="1">
        <v>44258</v>
      </c>
      <c r="B1018">
        <v>61.1</v>
      </c>
      <c r="C1018">
        <v>59.4</v>
      </c>
      <c r="D1018">
        <v>61.75</v>
      </c>
      <c r="E1018">
        <v>59.08</v>
      </c>
      <c r="F1018" t="s">
        <v>969</v>
      </c>
      <c r="G1018" s="2">
        <v>2.5700000000000001E-2</v>
      </c>
      <c r="H1018">
        <f t="shared" si="30"/>
        <v>2.5684069162330053E-2</v>
      </c>
      <c r="I1018">
        <f t="shared" si="31"/>
        <v>2.5359774536953657E-2</v>
      </c>
    </row>
    <row r="1019" spans="1:9" x14ac:dyDescent="0.75">
      <c r="A1019" s="1">
        <v>44257</v>
      </c>
      <c r="B1019">
        <v>59.57</v>
      </c>
      <c r="C1019">
        <v>60.04</v>
      </c>
      <c r="D1019">
        <v>60.98</v>
      </c>
      <c r="E1019">
        <v>59.2</v>
      </c>
      <c r="F1019" t="s">
        <v>970</v>
      </c>
      <c r="G1019" s="2">
        <v>-1.41E-2</v>
      </c>
      <c r="H1019">
        <f t="shared" si="30"/>
        <v>-1.4068189341277746E-2</v>
      </c>
      <c r="I1019">
        <f t="shared" si="31"/>
        <v>-1.4168084317929869E-2</v>
      </c>
    </row>
    <row r="1020" spans="1:9" x14ac:dyDescent="0.75">
      <c r="A1020" s="1">
        <v>44256</v>
      </c>
      <c r="B1020">
        <v>60.42</v>
      </c>
      <c r="C1020">
        <v>61.42</v>
      </c>
      <c r="D1020">
        <v>62.67</v>
      </c>
      <c r="E1020">
        <v>59.77</v>
      </c>
      <c r="F1020" t="s">
        <v>971</v>
      </c>
      <c r="G1020" s="2">
        <v>-1.32E-2</v>
      </c>
      <c r="H1020">
        <f t="shared" si="30"/>
        <v>-1.3228809407153277E-2</v>
      </c>
      <c r="I1020">
        <f t="shared" si="31"/>
        <v>-1.3317089531337152E-2</v>
      </c>
    </row>
    <row r="1021" spans="1:9" x14ac:dyDescent="0.75">
      <c r="A1021" s="1">
        <v>44253</v>
      </c>
      <c r="B1021">
        <v>61.23</v>
      </c>
      <c r="C1021">
        <v>63.17</v>
      </c>
      <c r="D1021">
        <v>63.24</v>
      </c>
      <c r="E1021">
        <v>61.04</v>
      </c>
      <c r="F1021" t="s">
        <v>972</v>
      </c>
      <c r="G1021" s="2">
        <v>-3.15E-2</v>
      </c>
      <c r="H1021">
        <f t="shared" si="30"/>
        <v>-3.1477380575767197E-2</v>
      </c>
      <c r="I1021">
        <f t="shared" si="31"/>
        <v>-3.1983441297608606E-2</v>
      </c>
    </row>
    <row r="1022" spans="1:9" x14ac:dyDescent="0.75">
      <c r="A1022" s="1">
        <v>44252</v>
      </c>
      <c r="B1022">
        <v>63.22</v>
      </c>
      <c r="C1022">
        <v>63.22</v>
      </c>
      <c r="D1022">
        <v>63.56</v>
      </c>
      <c r="E1022">
        <v>62.45</v>
      </c>
      <c r="F1022" t="s">
        <v>973</v>
      </c>
      <c r="G1022" s="2">
        <v>3.5000000000000001E-3</v>
      </c>
      <c r="H1022">
        <f t="shared" si="30"/>
        <v>3.4920634920634738E-3</v>
      </c>
      <c r="I1022">
        <f t="shared" si="31"/>
        <v>3.4859803959389245E-3</v>
      </c>
    </row>
    <row r="1023" spans="1:9" x14ac:dyDescent="0.75">
      <c r="A1023" s="1">
        <v>44251</v>
      </c>
      <c r="B1023">
        <v>63</v>
      </c>
      <c r="C1023">
        <v>61.07</v>
      </c>
      <c r="D1023">
        <v>63.28</v>
      </c>
      <c r="E1023">
        <v>60.77</v>
      </c>
      <c r="F1023" t="s">
        <v>974</v>
      </c>
      <c r="G1023" s="2">
        <v>2.5600000000000001E-2</v>
      </c>
      <c r="H1023">
        <f t="shared" si="30"/>
        <v>2.5557545173368067E-2</v>
      </c>
      <c r="I1023">
        <f t="shared" si="31"/>
        <v>2.5236411215696641E-2</v>
      </c>
    </row>
    <row r="1024" spans="1:9" x14ac:dyDescent="0.75">
      <c r="A1024" s="1">
        <v>44250</v>
      </c>
      <c r="B1024">
        <v>61.43</v>
      </c>
      <c r="C1024">
        <v>61.9</v>
      </c>
      <c r="D1024">
        <v>62.71</v>
      </c>
      <c r="E1024">
        <v>60.44</v>
      </c>
      <c r="F1024" t="s">
        <v>975</v>
      </c>
      <c r="G1024" s="2">
        <v>-4.4000000000000003E-3</v>
      </c>
      <c r="H1024">
        <f t="shared" si="30"/>
        <v>-4.3760129659643938E-3</v>
      </c>
      <c r="I1024">
        <f t="shared" si="31"/>
        <v>-4.3856157355060934E-3</v>
      </c>
    </row>
    <row r="1025" spans="1:9" x14ac:dyDescent="0.75">
      <c r="A1025" s="1">
        <v>44249</v>
      </c>
      <c r="B1025">
        <v>61.7</v>
      </c>
      <c r="C1025">
        <v>58.93</v>
      </c>
      <c r="D1025">
        <v>62.22</v>
      </c>
      <c r="E1025">
        <v>58.82</v>
      </c>
      <c r="F1025" t="s">
        <v>976</v>
      </c>
      <c r="G1025" s="2">
        <v>4.1200000000000001E-2</v>
      </c>
      <c r="H1025">
        <f t="shared" si="30"/>
        <v>4.1174485318933599E-2</v>
      </c>
      <c r="I1025">
        <f t="shared" si="31"/>
        <v>4.0349388765922964E-2</v>
      </c>
    </row>
    <row r="1026" spans="1:9" x14ac:dyDescent="0.75">
      <c r="A1026" s="1">
        <v>44246</v>
      </c>
      <c r="B1026">
        <v>59.26</v>
      </c>
      <c r="C1026">
        <v>60.18</v>
      </c>
      <c r="D1026">
        <v>60.32</v>
      </c>
      <c r="E1026">
        <v>58.6</v>
      </c>
      <c r="F1026" t="s">
        <v>977</v>
      </c>
      <c r="G1026" s="2">
        <v>-2.1000000000000001E-2</v>
      </c>
      <c r="H1026">
        <f t="shared" si="30"/>
        <v>-2.0981331571121808E-2</v>
      </c>
      <c r="I1026">
        <f t="shared" si="31"/>
        <v>-2.1204567758176737E-2</v>
      </c>
    </row>
    <row r="1027" spans="1:9" x14ac:dyDescent="0.75">
      <c r="A1027" s="1">
        <v>44245</v>
      </c>
      <c r="B1027">
        <v>60.53</v>
      </c>
      <c r="C1027">
        <v>61.71</v>
      </c>
      <c r="D1027">
        <v>62.29</v>
      </c>
      <c r="E1027">
        <v>59.81</v>
      </c>
      <c r="F1027" t="s">
        <v>978</v>
      </c>
      <c r="G1027" s="2">
        <v>-1.03E-2</v>
      </c>
      <c r="H1027">
        <f t="shared" ref="H1027:H1090" si="32">(B1027-B1028)/B1028</f>
        <v>-1.0300850228907709E-2</v>
      </c>
      <c r="I1027">
        <f t="shared" ref="I1027:I1090" si="33">LN(B1027/B1028)</f>
        <v>-1.0354271157265598E-2</v>
      </c>
    </row>
    <row r="1028" spans="1:9" x14ac:dyDescent="0.75">
      <c r="A1028" s="1">
        <v>44244</v>
      </c>
      <c r="B1028">
        <v>61.16</v>
      </c>
      <c r="C1028">
        <v>60.28</v>
      </c>
      <c r="D1028">
        <v>61.75</v>
      </c>
      <c r="E1028">
        <v>59.56</v>
      </c>
      <c r="F1028" t="s">
        <v>979</v>
      </c>
      <c r="G1028" s="2">
        <v>1.7999999999999999E-2</v>
      </c>
      <c r="H1028">
        <f t="shared" si="32"/>
        <v>1.7976031957390119E-2</v>
      </c>
      <c r="I1028">
        <f t="shared" si="33"/>
        <v>1.7816373604982162E-2</v>
      </c>
    </row>
    <row r="1029" spans="1:9" x14ac:dyDescent="0.75">
      <c r="A1029" s="1">
        <v>44243</v>
      </c>
      <c r="B1029">
        <v>60.08</v>
      </c>
      <c r="C1029">
        <v>59.83</v>
      </c>
      <c r="D1029">
        <v>60.78</v>
      </c>
      <c r="E1029">
        <v>59.34</v>
      </c>
      <c r="F1029" t="s">
        <v>980</v>
      </c>
      <c r="G1029" s="2">
        <v>-2.0000000000000001E-4</v>
      </c>
      <c r="H1029">
        <f t="shared" si="32"/>
        <v>-1.6641704110509429E-4</v>
      </c>
      <c r="I1029">
        <f t="shared" si="33"/>
        <v>-1.6643088995735666E-4</v>
      </c>
    </row>
    <row r="1030" spans="1:9" x14ac:dyDescent="0.75">
      <c r="A1030" s="1">
        <v>44242</v>
      </c>
      <c r="B1030">
        <v>60.09</v>
      </c>
      <c r="C1030">
        <v>60.36</v>
      </c>
      <c r="D1030">
        <v>60.95</v>
      </c>
      <c r="E1030">
        <v>59.96</v>
      </c>
      <c r="G1030" s="2">
        <v>-4.5999999999999999E-3</v>
      </c>
      <c r="H1030">
        <f t="shared" si="32"/>
        <v>-4.6380652642039758E-3</v>
      </c>
      <c r="I1030">
        <f t="shared" si="33"/>
        <v>-4.648854462498098E-3</v>
      </c>
    </row>
    <row r="1031" spans="1:9" x14ac:dyDescent="0.75">
      <c r="A1031" s="1">
        <v>44241</v>
      </c>
      <c r="B1031">
        <v>60.37</v>
      </c>
      <c r="C1031">
        <v>60.01</v>
      </c>
      <c r="D1031">
        <v>60.75</v>
      </c>
      <c r="E1031">
        <v>60.01</v>
      </c>
      <c r="G1031" s="2">
        <v>1.67E-2</v>
      </c>
      <c r="H1031">
        <f t="shared" si="32"/>
        <v>1.6672280229033259E-2</v>
      </c>
      <c r="I1031">
        <f t="shared" si="33"/>
        <v>1.6534823472721033E-2</v>
      </c>
    </row>
    <row r="1032" spans="1:9" x14ac:dyDescent="0.75">
      <c r="A1032" s="1">
        <v>44239</v>
      </c>
      <c r="B1032">
        <v>59.38</v>
      </c>
      <c r="C1032">
        <v>57.82</v>
      </c>
      <c r="D1032">
        <v>59.72</v>
      </c>
      <c r="E1032">
        <v>57.31</v>
      </c>
      <c r="F1032" t="s">
        <v>981</v>
      </c>
      <c r="G1032" s="2">
        <v>2.1299999999999999E-2</v>
      </c>
      <c r="H1032">
        <f t="shared" si="32"/>
        <v>2.1327829377365014E-2</v>
      </c>
      <c r="I1032">
        <f t="shared" si="33"/>
        <v>2.1103574204883999E-2</v>
      </c>
    </row>
    <row r="1033" spans="1:9" x14ac:dyDescent="0.75">
      <c r="A1033" s="1">
        <v>44238</v>
      </c>
      <c r="B1033">
        <v>58.14</v>
      </c>
      <c r="C1033">
        <v>58.26</v>
      </c>
      <c r="D1033">
        <v>58.57</v>
      </c>
      <c r="E1033">
        <v>57.75</v>
      </c>
      <c r="F1033" t="s">
        <v>982</v>
      </c>
      <c r="G1033" s="2">
        <v>-7.3000000000000001E-3</v>
      </c>
      <c r="H1033">
        <f t="shared" si="32"/>
        <v>-7.3416424790848506E-3</v>
      </c>
      <c r="I1033">
        <f t="shared" si="33"/>
        <v>-7.368724970961053E-3</v>
      </c>
    </row>
    <row r="1034" spans="1:9" x14ac:dyDescent="0.75">
      <c r="A1034" s="1">
        <v>44237</v>
      </c>
      <c r="B1034">
        <v>58.57</v>
      </c>
      <c r="C1034">
        <v>58.33</v>
      </c>
      <c r="D1034">
        <v>58.77</v>
      </c>
      <c r="E1034">
        <v>57.98</v>
      </c>
      <c r="F1034" t="s">
        <v>983</v>
      </c>
      <c r="G1034" s="2">
        <v>5.4999999999999997E-3</v>
      </c>
      <c r="H1034">
        <f t="shared" si="32"/>
        <v>5.4935622317596614E-3</v>
      </c>
      <c r="I1034">
        <f t="shared" si="33"/>
        <v>5.4785276558808691E-3</v>
      </c>
    </row>
    <row r="1035" spans="1:9" x14ac:dyDescent="0.75">
      <c r="A1035" s="1">
        <v>44236</v>
      </c>
      <c r="B1035">
        <v>58.25</v>
      </c>
      <c r="C1035">
        <v>57.99</v>
      </c>
      <c r="D1035">
        <v>58.49</v>
      </c>
      <c r="E1035">
        <v>57.17</v>
      </c>
      <c r="F1035" t="s">
        <v>984</v>
      </c>
      <c r="G1035" s="2">
        <v>7.3000000000000001E-3</v>
      </c>
      <c r="H1035">
        <f t="shared" si="32"/>
        <v>7.2626664361058572E-3</v>
      </c>
      <c r="I1035">
        <f t="shared" si="33"/>
        <v>7.2364202756831867E-3</v>
      </c>
    </row>
    <row r="1036" spans="1:9" x14ac:dyDescent="0.75">
      <c r="A1036" s="1">
        <v>44235</v>
      </c>
      <c r="B1036">
        <v>57.83</v>
      </c>
      <c r="C1036">
        <v>56.95</v>
      </c>
      <c r="D1036">
        <v>57.98</v>
      </c>
      <c r="E1036">
        <v>56.86</v>
      </c>
      <c r="F1036" t="s">
        <v>985</v>
      </c>
      <c r="G1036" s="2">
        <v>1.9900000000000001E-2</v>
      </c>
      <c r="H1036">
        <f t="shared" si="32"/>
        <v>1.9929453262786515E-2</v>
      </c>
      <c r="I1036">
        <f t="shared" si="33"/>
        <v>1.9733461436420411E-2</v>
      </c>
    </row>
    <row r="1037" spans="1:9" x14ac:dyDescent="0.75">
      <c r="A1037" s="1">
        <v>44232</v>
      </c>
      <c r="B1037">
        <v>56.7</v>
      </c>
      <c r="C1037">
        <v>56.32</v>
      </c>
      <c r="D1037">
        <v>57.11</v>
      </c>
      <c r="E1037">
        <v>56.32</v>
      </c>
      <c r="F1037" t="s">
        <v>986</v>
      </c>
      <c r="G1037" s="2">
        <v>1.12E-2</v>
      </c>
      <c r="H1037">
        <f t="shared" si="32"/>
        <v>1.123595505617982E-2</v>
      </c>
      <c r="I1037">
        <f t="shared" si="33"/>
        <v>1.1173300598125255E-2</v>
      </c>
    </row>
    <row r="1038" spans="1:9" x14ac:dyDescent="0.75">
      <c r="A1038" s="1">
        <v>44231</v>
      </c>
      <c r="B1038">
        <v>56.07</v>
      </c>
      <c r="C1038">
        <v>55.8</v>
      </c>
      <c r="D1038">
        <v>56.41</v>
      </c>
      <c r="E1038">
        <v>55.16</v>
      </c>
      <c r="F1038" t="s">
        <v>987</v>
      </c>
      <c r="G1038" s="2">
        <v>9.4999999999999998E-3</v>
      </c>
      <c r="H1038">
        <f t="shared" si="32"/>
        <v>9.5426719481455022E-3</v>
      </c>
      <c r="I1038">
        <f t="shared" si="33"/>
        <v>9.4974282569276966E-3</v>
      </c>
    </row>
    <row r="1039" spans="1:9" x14ac:dyDescent="0.75">
      <c r="A1039" s="1">
        <v>44230</v>
      </c>
      <c r="B1039">
        <v>55.54</v>
      </c>
      <c r="C1039">
        <v>54.96</v>
      </c>
      <c r="D1039">
        <v>56.16</v>
      </c>
      <c r="E1039">
        <v>54.66</v>
      </c>
      <c r="F1039" t="s">
        <v>988</v>
      </c>
      <c r="G1039" s="2">
        <v>1.6799999999999999E-2</v>
      </c>
      <c r="H1039">
        <f t="shared" si="32"/>
        <v>1.6843647015745179E-2</v>
      </c>
      <c r="I1039">
        <f t="shared" si="33"/>
        <v>1.6703365833094536E-2</v>
      </c>
    </row>
    <row r="1040" spans="1:9" x14ac:dyDescent="0.75">
      <c r="A1040" s="1">
        <v>44229</v>
      </c>
      <c r="B1040">
        <v>54.62</v>
      </c>
      <c r="C1040">
        <v>53.35</v>
      </c>
      <c r="D1040">
        <v>55.09</v>
      </c>
      <c r="E1040">
        <v>53.32</v>
      </c>
      <c r="F1040" t="s">
        <v>989</v>
      </c>
      <c r="G1040" s="2">
        <v>2.2499999999999999E-2</v>
      </c>
      <c r="H1040">
        <f t="shared" si="32"/>
        <v>2.2463496817671205E-2</v>
      </c>
      <c r="I1040">
        <f t="shared" si="33"/>
        <v>2.2214908363743985E-2</v>
      </c>
    </row>
    <row r="1041" spans="1:9" x14ac:dyDescent="0.75">
      <c r="A1041" s="1">
        <v>44228</v>
      </c>
      <c r="B1041">
        <v>53.42</v>
      </c>
      <c r="C1041">
        <v>51.9</v>
      </c>
      <c r="D1041">
        <v>53.6</v>
      </c>
      <c r="E1041">
        <v>51.53</v>
      </c>
      <c r="F1041" t="s">
        <v>990</v>
      </c>
      <c r="G1041" s="2">
        <v>2.5700000000000001E-2</v>
      </c>
      <c r="H1041">
        <f t="shared" si="32"/>
        <v>2.5729646697388701E-2</v>
      </c>
      <c r="I1041">
        <f t="shared" si="33"/>
        <v>2.5404209781501017E-2</v>
      </c>
    </row>
    <row r="1042" spans="1:9" x14ac:dyDescent="0.75">
      <c r="A1042" s="1">
        <v>44225</v>
      </c>
      <c r="B1042">
        <v>52.08</v>
      </c>
      <c r="C1042">
        <v>52.03</v>
      </c>
      <c r="D1042">
        <v>53.13</v>
      </c>
      <c r="E1042">
        <v>51.85</v>
      </c>
      <c r="F1042" t="s">
        <v>991</v>
      </c>
      <c r="G1042" s="2">
        <v>-3.0999999999999999E-3</v>
      </c>
      <c r="H1042">
        <f t="shared" si="32"/>
        <v>-3.0627871362940984E-3</v>
      </c>
      <c r="I1042">
        <f t="shared" si="33"/>
        <v>-3.0674870678618345E-3</v>
      </c>
    </row>
    <row r="1043" spans="1:9" x14ac:dyDescent="0.75">
      <c r="A1043" s="1">
        <v>44224</v>
      </c>
      <c r="B1043">
        <v>52.24</v>
      </c>
      <c r="C1043">
        <v>52.54</v>
      </c>
      <c r="D1043">
        <v>53.43</v>
      </c>
      <c r="E1043">
        <v>51.94</v>
      </c>
      <c r="F1043" t="s">
        <v>992</v>
      </c>
      <c r="G1043" s="2">
        <v>-9.2999999999999992E-3</v>
      </c>
      <c r="H1043">
        <f t="shared" si="32"/>
        <v>-9.2926227953725564E-3</v>
      </c>
      <c r="I1043">
        <f t="shared" si="33"/>
        <v>-9.3360685742027126E-3</v>
      </c>
    </row>
    <row r="1044" spans="1:9" x14ac:dyDescent="0.75">
      <c r="A1044" s="1">
        <v>44223</v>
      </c>
      <c r="B1044">
        <v>52.73</v>
      </c>
      <c r="C1044">
        <v>52.67</v>
      </c>
      <c r="D1044">
        <v>53.16</v>
      </c>
      <c r="E1044">
        <v>51.77</v>
      </c>
      <c r="F1044" t="s">
        <v>993</v>
      </c>
      <c r="G1044" s="2">
        <v>4.0000000000000001E-3</v>
      </c>
      <c r="H1044">
        <f t="shared" si="32"/>
        <v>3.9984767707538791E-3</v>
      </c>
      <c r="I1044">
        <f t="shared" si="33"/>
        <v>3.9905041077829117E-3</v>
      </c>
    </row>
    <row r="1045" spans="1:9" x14ac:dyDescent="0.75">
      <c r="A1045" s="1">
        <v>44222</v>
      </c>
      <c r="B1045">
        <v>52.52</v>
      </c>
      <c r="C1045">
        <v>52.81</v>
      </c>
      <c r="D1045">
        <v>53.12</v>
      </c>
      <c r="E1045">
        <v>52.2</v>
      </c>
      <c r="F1045" t="s">
        <v>994</v>
      </c>
      <c r="G1045" s="2">
        <v>-2.8E-3</v>
      </c>
      <c r="H1045">
        <f t="shared" si="32"/>
        <v>-2.847921017657083E-3</v>
      </c>
      <c r="I1045">
        <f t="shared" si="33"/>
        <v>-2.8519840607024965E-3</v>
      </c>
    </row>
    <row r="1046" spans="1:9" x14ac:dyDescent="0.75">
      <c r="A1046" s="1">
        <v>44221</v>
      </c>
      <c r="B1046">
        <v>52.67</v>
      </c>
      <c r="C1046">
        <v>52.08</v>
      </c>
      <c r="D1046">
        <v>52.84</v>
      </c>
      <c r="E1046">
        <v>51.75</v>
      </c>
      <c r="F1046" t="s">
        <v>995</v>
      </c>
      <c r="G1046" s="2">
        <v>9.1999999999999998E-3</v>
      </c>
      <c r="H1046">
        <f t="shared" si="32"/>
        <v>9.1971642077027013E-3</v>
      </c>
      <c r="I1046">
        <f t="shared" si="33"/>
        <v>9.1551278399761484E-3</v>
      </c>
    </row>
    <row r="1047" spans="1:9" x14ac:dyDescent="0.75">
      <c r="A1047" s="1">
        <v>44218</v>
      </c>
      <c r="B1047">
        <v>52.19</v>
      </c>
      <c r="C1047">
        <v>53.01</v>
      </c>
      <c r="D1047">
        <v>53.08</v>
      </c>
      <c r="E1047">
        <v>51.38</v>
      </c>
      <c r="F1047" t="s">
        <v>996</v>
      </c>
      <c r="G1047" s="2">
        <v>-1.6199999999999999E-2</v>
      </c>
      <c r="H1047">
        <f t="shared" si="32"/>
        <v>-1.6211121583411866E-2</v>
      </c>
      <c r="I1047">
        <f t="shared" si="33"/>
        <v>-1.6343959404670271E-2</v>
      </c>
    </row>
    <row r="1048" spans="1:9" x14ac:dyDescent="0.75">
      <c r="A1048" s="1">
        <v>44217</v>
      </c>
      <c r="B1048">
        <v>53.05</v>
      </c>
      <c r="C1048">
        <v>52.81</v>
      </c>
      <c r="D1048">
        <v>53.3</v>
      </c>
      <c r="E1048">
        <v>52.64</v>
      </c>
      <c r="F1048" t="s">
        <v>997</v>
      </c>
      <c r="G1048" s="2">
        <v>-4.8999999999999998E-3</v>
      </c>
      <c r="H1048">
        <f t="shared" si="32"/>
        <v>-4.8771337460139768E-3</v>
      </c>
      <c r="I1048">
        <f t="shared" si="33"/>
        <v>-4.8890657746775848E-3</v>
      </c>
    </row>
    <row r="1049" spans="1:9" x14ac:dyDescent="0.75">
      <c r="A1049" s="1">
        <v>44216</v>
      </c>
      <c r="B1049">
        <v>53.31</v>
      </c>
      <c r="C1049">
        <v>53.06</v>
      </c>
      <c r="D1049">
        <v>53.83</v>
      </c>
      <c r="E1049">
        <v>52.83</v>
      </c>
      <c r="F1049" t="s">
        <v>998</v>
      </c>
      <c r="G1049" s="2">
        <v>6.1999999999999998E-3</v>
      </c>
      <c r="H1049">
        <f t="shared" si="32"/>
        <v>6.2287655719140324E-3</v>
      </c>
      <c r="I1049">
        <f t="shared" si="33"/>
        <v>6.2094469907460655E-3</v>
      </c>
    </row>
    <row r="1050" spans="1:9" x14ac:dyDescent="0.75">
      <c r="A1050" s="1">
        <v>44215</v>
      </c>
      <c r="B1050">
        <v>52.98</v>
      </c>
      <c r="C1050">
        <v>52</v>
      </c>
      <c r="D1050">
        <v>53.18</v>
      </c>
      <c r="E1050">
        <v>51.81</v>
      </c>
      <c r="F1050" t="s">
        <v>999</v>
      </c>
      <c r="G1050" s="2">
        <v>1.18E-2</v>
      </c>
      <c r="H1050">
        <f t="shared" si="32"/>
        <v>1.1841100076394145E-2</v>
      </c>
      <c r="I1050">
        <f t="shared" si="33"/>
        <v>1.1771542802224325E-2</v>
      </c>
    </row>
    <row r="1051" spans="1:9" x14ac:dyDescent="0.75">
      <c r="A1051" s="1">
        <v>44214</v>
      </c>
      <c r="B1051">
        <v>52.36</v>
      </c>
      <c r="C1051">
        <v>52.2</v>
      </c>
      <c r="D1051">
        <v>52.61</v>
      </c>
      <c r="E1051">
        <v>51.83</v>
      </c>
      <c r="G1051" s="2">
        <v>3.0999999999999999E-3</v>
      </c>
      <c r="H1051">
        <f t="shared" si="32"/>
        <v>3.0651340996167929E-3</v>
      </c>
      <c r="I1051">
        <f t="shared" si="33"/>
        <v>3.0604461531061264E-3</v>
      </c>
    </row>
    <row r="1052" spans="1:9" x14ac:dyDescent="0.75">
      <c r="A1052" s="1">
        <v>44213</v>
      </c>
      <c r="B1052">
        <v>52.2</v>
      </c>
      <c r="C1052">
        <v>52.09</v>
      </c>
      <c r="D1052">
        <v>52.38</v>
      </c>
      <c r="E1052">
        <v>52.09</v>
      </c>
      <c r="G1052" s="2">
        <v>-4.1999999999999997E-3</v>
      </c>
      <c r="H1052">
        <f t="shared" si="32"/>
        <v>-4.1968714231209242E-3</v>
      </c>
      <c r="I1052">
        <f t="shared" si="33"/>
        <v>-4.2057030066672751E-3</v>
      </c>
    </row>
    <row r="1053" spans="1:9" x14ac:dyDescent="0.75">
      <c r="A1053" s="1">
        <v>44211</v>
      </c>
      <c r="B1053">
        <v>52.42</v>
      </c>
      <c r="C1053">
        <v>53.77</v>
      </c>
      <c r="D1053">
        <v>53.86</v>
      </c>
      <c r="E1053">
        <v>51.89</v>
      </c>
      <c r="F1053" t="s">
        <v>1000</v>
      </c>
      <c r="G1053" s="2">
        <v>-2.24E-2</v>
      </c>
      <c r="H1053">
        <f t="shared" si="32"/>
        <v>-2.2379709063782092E-2</v>
      </c>
      <c r="I1053">
        <f t="shared" si="33"/>
        <v>-2.263393491255284E-2</v>
      </c>
    </row>
    <row r="1054" spans="1:9" x14ac:dyDescent="0.75">
      <c r="A1054" s="1">
        <v>44210</v>
      </c>
      <c r="B1054">
        <v>53.62</v>
      </c>
      <c r="C1054">
        <v>52.89</v>
      </c>
      <c r="D1054">
        <v>53.79</v>
      </c>
      <c r="E1054">
        <v>52.3</v>
      </c>
      <c r="F1054" t="s">
        <v>1001</v>
      </c>
      <c r="G1054" s="2">
        <v>1.2500000000000001E-2</v>
      </c>
      <c r="H1054">
        <f t="shared" si="32"/>
        <v>1.2462235649546764E-2</v>
      </c>
      <c r="I1054">
        <f t="shared" si="33"/>
        <v>1.2385221179060378E-2</v>
      </c>
    </row>
    <row r="1055" spans="1:9" x14ac:dyDescent="0.75">
      <c r="A1055" s="1">
        <v>44209</v>
      </c>
      <c r="B1055">
        <v>52.96</v>
      </c>
      <c r="C1055">
        <v>53.34</v>
      </c>
      <c r="D1055">
        <v>53.94</v>
      </c>
      <c r="E1055">
        <v>52.6</v>
      </c>
      <c r="F1055" t="s">
        <v>1002</v>
      </c>
      <c r="G1055" s="2">
        <v>-5.3E-3</v>
      </c>
      <c r="H1055">
        <f t="shared" si="32"/>
        <v>-5.2592036063110652E-3</v>
      </c>
      <c r="I1055">
        <f t="shared" si="33"/>
        <v>-5.2730818981581154E-3</v>
      </c>
    </row>
    <row r="1056" spans="1:9" x14ac:dyDescent="0.75">
      <c r="A1056" s="1">
        <v>44208</v>
      </c>
      <c r="B1056">
        <v>53.24</v>
      </c>
      <c r="C1056">
        <v>52.19</v>
      </c>
      <c r="D1056">
        <v>53.47</v>
      </c>
      <c r="E1056">
        <v>52.08</v>
      </c>
      <c r="F1056" t="s">
        <v>1003</v>
      </c>
      <c r="G1056" s="2">
        <v>1.8599999999999998E-2</v>
      </c>
      <c r="H1056">
        <f t="shared" si="32"/>
        <v>1.855748995599768E-2</v>
      </c>
      <c r="I1056">
        <f t="shared" si="33"/>
        <v>1.8387400802080414E-2</v>
      </c>
    </row>
    <row r="1057" spans="1:9" x14ac:dyDescent="0.75">
      <c r="A1057" s="1">
        <v>44207</v>
      </c>
      <c r="B1057">
        <v>52.27</v>
      </c>
      <c r="C1057">
        <v>52.55</v>
      </c>
      <c r="D1057">
        <v>52.69</v>
      </c>
      <c r="E1057">
        <v>51.51</v>
      </c>
      <c r="F1057" t="s">
        <v>1004</v>
      </c>
      <c r="G1057" s="2">
        <v>2.0000000000000001E-4</v>
      </c>
      <c r="H1057">
        <f t="shared" si="32"/>
        <v>1.9135093761969224E-4</v>
      </c>
      <c r="I1057">
        <f t="shared" si="33"/>
        <v>1.9133263236413383E-4</v>
      </c>
    </row>
    <row r="1058" spans="1:9" x14ac:dyDescent="0.75">
      <c r="A1058" s="1">
        <v>44204</v>
      </c>
      <c r="B1058">
        <v>52.26</v>
      </c>
      <c r="C1058">
        <v>50.9</v>
      </c>
      <c r="D1058">
        <v>52.74</v>
      </c>
      <c r="E1058">
        <v>50.86</v>
      </c>
      <c r="F1058" t="s">
        <v>1005</v>
      </c>
      <c r="G1058" s="2">
        <v>2.7300000000000001E-2</v>
      </c>
      <c r="H1058">
        <f t="shared" si="32"/>
        <v>2.7324552781600168E-2</v>
      </c>
      <c r="I1058">
        <f t="shared" si="33"/>
        <v>2.6957901257792793E-2</v>
      </c>
    </row>
    <row r="1059" spans="1:9" x14ac:dyDescent="0.75">
      <c r="A1059" s="1">
        <v>44203</v>
      </c>
      <c r="B1059">
        <v>50.87</v>
      </c>
      <c r="C1059">
        <v>50.55</v>
      </c>
      <c r="D1059">
        <v>51.3</v>
      </c>
      <c r="E1059">
        <v>50.44</v>
      </c>
      <c r="F1059" t="s">
        <v>1006</v>
      </c>
      <c r="G1059" s="2">
        <v>3.5999999999999999E-3</v>
      </c>
      <c r="H1059">
        <f t="shared" si="32"/>
        <v>3.5509962517261732E-3</v>
      </c>
      <c r="I1059">
        <f t="shared" si="33"/>
        <v>3.5447063504156491E-3</v>
      </c>
    </row>
    <row r="1060" spans="1:9" x14ac:dyDescent="0.75">
      <c r="A1060" s="1">
        <v>44202</v>
      </c>
      <c r="B1060">
        <v>50.69</v>
      </c>
      <c r="C1060">
        <v>49.93</v>
      </c>
      <c r="D1060">
        <v>50.98</v>
      </c>
      <c r="E1060">
        <v>49.53</v>
      </c>
      <c r="F1060" t="s">
        <v>1007</v>
      </c>
      <c r="G1060" s="2">
        <v>1.3599999999999999E-2</v>
      </c>
      <c r="H1060">
        <f t="shared" si="32"/>
        <v>1.3597280543891217E-2</v>
      </c>
      <c r="I1060">
        <f t="shared" si="33"/>
        <v>1.3505667053445754E-2</v>
      </c>
    </row>
    <row r="1061" spans="1:9" x14ac:dyDescent="0.75">
      <c r="A1061" s="1">
        <v>44201</v>
      </c>
      <c r="B1061">
        <v>50.01</v>
      </c>
      <c r="C1061">
        <v>47.54</v>
      </c>
      <c r="D1061">
        <v>50.27</v>
      </c>
      <c r="E1061">
        <v>47.39</v>
      </c>
      <c r="F1061" t="s">
        <v>1008</v>
      </c>
      <c r="G1061" s="2">
        <v>4.7100000000000003E-2</v>
      </c>
      <c r="H1061">
        <f t="shared" si="32"/>
        <v>4.7110552763819098E-2</v>
      </c>
      <c r="I1061">
        <f t="shared" si="33"/>
        <v>4.6034516346465729E-2</v>
      </c>
    </row>
    <row r="1062" spans="1:9" x14ac:dyDescent="0.75">
      <c r="A1062" s="1">
        <v>44200</v>
      </c>
      <c r="B1062">
        <v>47.76</v>
      </c>
      <c r="C1062">
        <v>48.49</v>
      </c>
      <c r="D1062">
        <v>49.94</v>
      </c>
      <c r="E1062">
        <v>47.31</v>
      </c>
      <c r="F1062" t="s">
        <v>1009</v>
      </c>
      <c r="G1062" s="2">
        <v>-1.7899999999999999E-2</v>
      </c>
      <c r="H1062">
        <f t="shared" si="32"/>
        <v>-1.7890191239975418E-2</v>
      </c>
      <c r="I1062">
        <f t="shared" si="33"/>
        <v>-1.8052155331347828E-2</v>
      </c>
    </row>
    <row r="1063" spans="1:9" x14ac:dyDescent="0.75">
      <c r="A1063" s="1">
        <v>44196</v>
      </c>
      <c r="B1063">
        <v>48.63</v>
      </c>
      <c r="C1063">
        <v>48.41</v>
      </c>
      <c r="D1063">
        <v>48.68</v>
      </c>
      <c r="E1063">
        <v>47.88</v>
      </c>
      <c r="F1063" t="s">
        <v>1010</v>
      </c>
      <c r="G1063" s="2">
        <v>2.7000000000000001E-3</v>
      </c>
      <c r="H1063">
        <f t="shared" si="32"/>
        <v>2.6804123711340732E-3</v>
      </c>
      <c r="I1063">
        <f t="shared" si="33"/>
        <v>2.6768264722570366E-3</v>
      </c>
    </row>
    <row r="1064" spans="1:9" x14ac:dyDescent="0.75">
      <c r="A1064" s="1">
        <v>44195</v>
      </c>
      <c r="B1064">
        <v>48.5</v>
      </c>
      <c r="C1064">
        <v>48.26</v>
      </c>
      <c r="D1064">
        <v>48.78</v>
      </c>
      <c r="E1064">
        <v>47.76</v>
      </c>
      <c r="F1064" t="s">
        <v>1011</v>
      </c>
      <c r="G1064" s="2">
        <v>7.4999999999999997E-3</v>
      </c>
      <c r="H1064">
        <f t="shared" si="32"/>
        <v>7.478188616535094E-3</v>
      </c>
      <c r="I1064">
        <f t="shared" si="33"/>
        <v>7.4503655885116669E-3</v>
      </c>
    </row>
    <row r="1065" spans="1:9" x14ac:dyDescent="0.75">
      <c r="A1065" s="1">
        <v>44194</v>
      </c>
      <c r="B1065">
        <v>48.14</v>
      </c>
      <c r="C1065">
        <v>47.87</v>
      </c>
      <c r="D1065">
        <v>48.49</v>
      </c>
      <c r="E1065">
        <v>47.82</v>
      </c>
      <c r="F1065" t="s">
        <v>1012</v>
      </c>
      <c r="G1065" s="2">
        <v>7.7000000000000002E-3</v>
      </c>
      <c r="H1065">
        <f t="shared" si="32"/>
        <v>7.7454469332216332E-3</v>
      </c>
      <c r="I1065">
        <f t="shared" si="33"/>
        <v>7.7156049530553838E-3</v>
      </c>
    </row>
    <row r="1066" spans="1:9" x14ac:dyDescent="0.75">
      <c r="A1066" s="1">
        <v>44193</v>
      </c>
      <c r="B1066">
        <v>47.77</v>
      </c>
      <c r="C1066">
        <v>48.39</v>
      </c>
      <c r="D1066">
        <v>49.07</v>
      </c>
      <c r="E1066">
        <v>47.63</v>
      </c>
      <c r="F1066" t="s">
        <v>1013</v>
      </c>
      <c r="G1066" s="2">
        <v>-1.2E-2</v>
      </c>
      <c r="H1066">
        <f t="shared" si="32"/>
        <v>-1.1995863495346397E-2</v>
      </c>
      <c r="I1066">
        <f t="shared" si="33"/>
        <v>-1.2068394497432848E-2</v>
      </c>
    </row>
    <row r="1067" spans="1:9" x14ac:dyDescent="0.75">
      <c r="A1067" s="1">
        <v>44189</v>
      </c>
      <c r="B1067">
        <v>48.35</v>
      </c>
      <c r="C1067">
        <v>48.2</v>
      </c>
      <c r="D1067">
        <v>48.72</v>
      </c>
      <c r="E1067">
        <v>47.69</v>
      </c>
      <c r="F1067" t="s">
        <v>1014</v>
      </c>
      <c r="G1067" s="2">
        <v>2.3E-3</v>
      </c>
      <c r="H1067">
        <f t="shared" si="32"/>
        <v>2.2802653399668208E-3</v>
      </c>
      <c r="I1067">
        <f t="shared" si="33"/>
        <v>2.2776694803732225E-3</v>
      </c>
    </row>
    <row r="1068" spans="1:9" x14ac:dyDescent="0.75">
      <c r="A1068" s="1">
        <v>44188</v>
      </c>
      <c r="B1068">
        <v>48.24</v>
      </c>
      <c r="C1068">
        <v>46.93</v>
      </c>
      <c r="D1068">
        <v>48.6</v>
      </c>
      <c r="E1068">
        <v>46.3</v>
      </c>
      <c r="F1068" t="s">
        <v>1015</v>
      </c>
      <c r="G1068" s="2">
        <v>2.29E-2</v>
      </c>
      <c r="H1068">
        <f t="shared" si="32"/>
        <v>2.290076335877874E-2</v>
      </c>
      <c r="I1068">
        <f t="shared" si="33"/>
        <v>2.2642476749759971E-2</v>
      </c>
    </row>
    <row r="1069" spans="1:9" x14ac:dyDescent="0.75">
      <c r="A1069" s="1">
        <v>44187</v>
      </c>
      <c r="B1069">
        <v>47.16</v>
      </c>
      <c r="C1069">
        <v>48</v>
      </c>
      <c r="D1069">
        <v>48.06</v>
      </c>
      <c r="E1069">
        <v>46.72</v>
      </c>
      <c r="F1069" t="s">
        <v>1016</v>
      </c>
      <c r="G1069" s="2">
        <v>-1.6899999999999998E-2</v>
      </c>
      <c r="H1069">
        <f t="shared" si="32"/>
        <v>-1.6885553470919374E-2</v>
      </c>
      <c r="I1069">
        <f t="shared" si="33"/>
        <v>-1.7029739844802411E-2</v>
      </c>
    </row>
    <row r="1070" spans="1:9" x14ac:dyDescent="0.75">
      <c r="A1070" s="1">
        <v>44186</v>
      </c>
      <c r="B1070">
        <v>47.97</v>
      </c>
      <c r="C1070">
        <v>49.26</v>
      </c>
      <c r="D1070">
        <v>49.31</v>
      </c>
      <c r="E1070">
        <v>46.25</v>
      </c>
      <c r="F1070" t="s">
        <v>1017</v>
      </c>
      <c r="G1070" s="2">
        <v>-2.58E-2</v>
      </c>
      <c r="H1070">
        <f t="shared" si="32"/>
        <v>-2.5792038992688934E-2</v>
      </c>
      <c r="I1070">
        <f t="shared" si="33"/>
        <v>-2.613048580228023E-2</v>
      </c>
    </row>
    <row r="1071" spans="1:9" x14ac:dyDescent="0.75">
      <c r="A1071" s="1">
        <v>44183</v>
      </c>
      <c r="B1071">
        <v>49.24</v>
      </c>
      <c r="C1071">
        <v>48.57</v>
      </c>
      <c r="D1071">
        <v>49.43</v>
      </c>
      <c r="E1071">
        <v>48.27</v>
      </c>
      <c r="F1071" t="s">
        <v>1018</v>
      </c>
      <c r="G1071" s="2">
        <v>1.44E-2</v>
      </c>
      <c r="H1071">
        <f t="shared" si="32"/>
        <v>1.4421096003296309E-2</v>
      </c>
      <c r="I1071">
        <f t="shared" si="33"/>
        <v>1.4318101017797407E-2</v>
      </c>
    </row>
    <row r="1072" spans="1:9" x14ac:dyDescent="0.75">
      <c r="A1072" s="1">
        <v>44182</v>
      </c>
      <c r="B1072">
        <v>48.54</v>
      </c>
      <c r="C1072">
        <v>48.07</v>
      </c>
      <c r="D1072">
        <v>48.8</v>
      </c>
      <c r="E1072">
        <v>48</v>
      </c>
      <c r="F1072" t="s">
        <v>1019</v>
      </c>
      <c r="G1072" s="2">
        <v>1.1299999999999999E-2</v>
      </c>
      <c r="H1072">
        <f t="shared" si="32"/>
        <v>1.1249999999999982E-2</v>
      </c>
      <c r="I1072">
        <f t="shared" si="33"/>
        <v>1.1187189390564376E-2</v>
      </c>
    </row>
    <row r="1073" spans="1:9" x14ac:dyDescent="0.75">
      <c r="A1073" s="1">
        <v>44181</v>
      </c>
      <c r="B1073">
        <v>48</v>
      </c>
      <c r="C1073">
        <v>47.77</v>
      </c>
      <c r="D1073">
        <v>48.12</v>
      </c>
      <c r="E1073">
        <v>47.34</v>
      </c>
      <c r="F1073" t="s">
        <v>1020</v>
      </c>
      <c r="G1073" s="2">
        <v>4.5999999999999999E-3</v>
      </c>
      <c r="H1073">
        <f t="shared" si="32"/>
        <v>4.6044370029300723E-3</v>
      </c>
      <c r="I1073">
        <f t="shared" si="33"/>
        <v>4.5938690102274747E-3</v>
      </c>
    </row>
    <row r="1074" spans="1:9" x14ac:dyDescent="0.75">
      <c r="A1074" s="1">
        <v>44180</v>
      </c>
      <c r="B1074">
        <v>47.78</v>
      </c>
      <c r="C1074">
        <v>47.18</v>
      </c>
      <c r="D1074">
        <v>47.89</v>
      </c>
      <c r="E1074">
        <v>46.72</v>
      </c>
      <c r="F1074" t="s">
        <v>1021</v>
      </c>
      <c r="G1074" s="2">
        <v>1.34E-2</v>
      </c>
      <c r="H1074">
        <f t="shared" si="32"/>
        <v>1.3361611876988391E-2</v>
      </c>
      <c r="I1074">
        <f t="shared" si="33"/>
        <v>1.3273132818197005E-2</v>
      </c>
    </row>
    <row r="1075" spans="1:9" x14ac:dyDescent="0.75">
      <c r="A1075" s="1">
        <v>44179</v>
      </c>
      <c r="B1075">
        <v>47.15</v>
      </c>
      <c r="C1075">
        <v>46.92</v>
      </c>
      <c r="D1075">
        <v>47.57</v>
      </c>
      <c r="E1075">
        <v>45.88</v>
      </c>
      <c r="F1075" t="s">
        <v>1022</v>
      </c>
      <c r="G1075" s="2">
        <v>8.6E-3</v>
      </c>
      <c r="H1075">
        <f t="shared" si="32"/>
        <v>8.5561497326202898E-3</v>
      </c>
      <c r="I1075">
        <f t="shared" si="33"/>
        <v>8.5197533447704862E-3</v>
      </c>
    </row>
    <row r="1076" spans="1:9" x14ac:dyDescent="0.75">
      <c r="A1076" s="1">
        <v>44176</v>
      </c>
      <c r="B1076">
        <v>46.75</v>
      </c>
      <c r="C1076">
        <v>47.15</v>
      </c>
      <c r="D1076">
        <v>47.46</v>
      </c>
      <c r="E1076">
        <v>46.51</v>
      </c>
      <c r="F1076" t="s">
        <v>1023</v>
      </c>
      <c r="G1076" s="2">
        <v>-4.4999999999999997E-3</v>
      </c>
      <c r="H1076">
        <f t="shared" si="32"/>
        <v>-4.4718909710392005E-3</v>
      </c>
      <c r="I1076">
        <f t="shared" si="33"/>
        <v>-4.4819197851449924E-3</v>
      </c>
    </row>
    <row r="1077" spans="1:9" x14ac:dyDescent="0.75">
      <c r="A1077" s="1">
        <v>44175</v>
      </c>
      <c r="B1077">
        <v>46.96</v>
      </c>
      <c r="C1077">
        <v>45.87</v>
      </c>
      <c r="D1077">
        <v>47.88</v>
      </c>
      <c r="E1077">
        <v>45.72</v>
      </c>
      <c r="F1077" t="s">
        <v>1024</v>
      </c>
      <c r="G1077" s="2">
        <v>2.7099999999999999E-2</v>
      </c>
      <c r="H1077">
        <f t="shared" si="32"/>
        <v>2.7121609798775197E-2</v>
      </c>
      <c r="I1077">
        <f t="shared" si="33"/>
        <v>2.6760336593231151E-2</v>
      </c>
    </row>
    <row r="1078" spans="1:9" x14ac:dyDescent="0.75">
      <c r="A1078" s="1">
        <v>44174</v>
      </c>
      <c r="B1078">
        <v>45.72</v>
      </c>
      <c r="C1078">
        <v>45.75</v>
      </c>
      <c r="D1078">
        <v>46.43</v>
      </c>
      <c r="E1078">
        <v>45.14</v>
      </c>
      <c r="F1078" t="s">
        <v>1025</v>
      </c>
      <c r="G1078" s="2">
        <v>-1.6999999999999999E-3</v>
      </c>
      <c r="H1078">
        <f t="shared" si="32"/>
        <v>-1.7467248908296573E-3</v>
      </c>
      <c r="I1078">
        <f t="shared" si="33"/>
        <v>-1.7482521935292823E-3</v>
      </c>
    </row>
    <row r="1079" spans="1:9" x14ac:dyDescent="0.75">
      <c r="A1079" s="1">
        <v>44173</v>
      </c>
      <c r="B1079">
        <v>45.8</v>
      </c>
      <c r="C1079">
        <v>45.82</v>
      </c>
      <c r="D1079">
        <v>46.09</v>
      </c>
      <c r="E1079">
        <v>45.32</v>
      </c>
      <c r="F1079" t="s">
        <v>1026</v>
      </c>
      <c r="G1079" s="2">
        <v>-3.3E-3</v>
      </c>
      <c r="H1079">
        <f t="shared" si="32"/>
        <v>-3.2644178454843457E-3</v>
      </c>
      <c r="I1079">
        <f t="shared" si="33"/>
        <v>-3.2697576815569293E-3</v>
      </c>
    </row>
    <row r="1080" spans="1:9" x14ac:dyDescent="0.75">
      <c r="A1080" s="1">
        <v>44172</v>
      </c>
      <c r="B1080">
        <v>45.95</v>
      </c>
      <c r="C1080">
        <v>46.24</v>
      </c>
      <c r="D1080">
        <v>46.7</v>
      </c>
      <c r="E1080">
        <v>45.54</v>
      </c>
      <c r="F1080" t="s">
        <v>1027</v>
      </c>
      <c r="G1080" s="2">
        <v>-1.01E-2</v>
      </c>
      <c r="H1080">
        <f t="shared" si="32"/>
        <v>-1.0124946143903465E-2</v>
      </c>
      <c r="I1080">
        <f t="shared" si="33"/>
        <v>-1.0176552044594903E-2</v>
      </c>
    </row>
    <row r="1081" spans="1:9" x14ac:dyDescent="0.75">
      <c r="A1081" s="1">
        <v>44169</v>
      </c>
      <c r="B1081">
        <v>46.42</v>
      </c>
      <c r="C1081">
        <v>45.76</v>
      </c>
      <c r="D1081">
        <v>46.8</v>
      </c>
      <c r="E1081">
        <v>45.76</v>
      </c>
      <c r="F1081" t="s">
        <v>1028</v>
      </c>
      <c r="G1081" s="2">
        <v>1.38E-2</v>
      </c>
      <c r="H1081">
        <f t="shared" si="32"/>
        <v>1.3758462546407569E-2</v>
      </c>
      <c r="I1081">
        <f t="shared" si="33"/>
        <v>1.3664674177286939E-2</v>
      </c>
    </row>
    <row r="1082" spans="1:9" x14ac:dyDescent="0.75">
      <c r="A1082" s="1">
        <v>44168</v>
      </c>
      <c r="B1082">
        <v>45.79</v>
      </c>
      <c r="C1082">
        <v>45.14</v>
      </c>
      <c r="D1082">
        <v>45.98</v>
      </c>
      <c r="E1082">
        <v>44.84</v>
      </c>
      <c r="F1082" t="s">
        <v>1029</v>
      </c>
      <c r="G1082" s="2">
        <v>7.7000000000000002E-3</v>
      </c>
      <c r="H1082">
        <f t="shared" si="32"/>
        <v>7.7024647887324257E-3</v>
      </c>
      <c r="I1082">
        <f t="shared" si="33"/>
        <v>7.6729522561082711E-3</v>
      </c>
    </row>
    <row r="1083" spans="1:9" x14ac:dyDescent="0.75">
      <c r="A1083" s="1">
        <v>44167</v>
      </c>
      <c r="B1083">
        <v>45.44</v>
      </c>
      <c r="C1083">
        <v>44.54</v>
      </c>
      <c r="D1083">
        <v>46.04</v>
      </c>
      <c r="E1083">
        <v>44.1</v>
      </c>
      <c r="F1083" t="s">
        <v>1030</v>
      </c>
      <c r="G1083" s="2">
        <v>1.5900000000000001E-2</v>
      </c>
      <c r="H1083">
        <f t="shared" si="32"/>
        <v>1.5873015873015893E-2</v>
      </c>
      <c r="I1083">
        <f t="shared" si="33"/>
        <v>1.5748356968139112E-2</v>
      </c>
    </row>
    <row r="1084" spans="1:9" x14ac:dyDescent="0.75">
      <c r="A1084" s="1">
        <v>44166</v>
      </c>
      <c r="B1084">
        <v>44.73</v>
      </c>
      <c r="C1084">
        <v>45.25</v>
      </c>
      <c r="D1084">
        <v>45.86</v>
      </c>
      <c r="E1084">
        <v>44.32</v>
      </c>
      <c r="F1084" t="s">
        <v>36</v>
      </c>
      <c r="G1084" s="2">
        <v>-1.7100000000000001E-2</v>
      </c>
      <c r="H1084">
        <f t="shared" si="32"/>
        <v>-1.7139090309822042E-2</v>
      </c>
      <c r="I1084">
        <f t="shared" si="33"/>
        <v>-1.7287664583793896E-2</v>
      </c>
    </row>
    <row r="1085" spans="1:9" x14ac:dyDescent="0.75">
      <c r="A1085" s="1">
        <v>44165</v>
      </c>
      <c r="B1085">
        <v>45.51</v>
      </c>
      <c r="C1085">
        <v>45.57</v>
      </c>
      <c r="D1085">
        <v>45.98</v>
      </c>
      <c r="E1085">
        <v>44.64</v>
      </c>
      <c r="F1085" t="s">
        <v>1031</v>
      </c>
      <c r="G1085" s="2">
        <v>-5.0000000000000001E-3</v>
      </c>
      <c r="H1085">
        <f t="shared" si="32"/>
        <v>-5.0284215128990808E-3</v>
      </c>
      <c r="I1085">
        <f t="shared" si="33"/>
        <v>-5.0411065660845768E-3</v>
      </c>
    </row>
    <row r="1086" spans="1:9" x14ac:dyDescent="0.75">
      <c r="A1086" s="1">
        <v>44162</v>
      </c>
      <c r="B1086">
        <v>45.74</v>
      </c>
      <c r="C1086">
        <v>46.12</v>
      </c>
      <c r="D1086">
        <v>46.27</v>
      </c>
      <c r="E1086">
        <v>44.77</v>
      </c>
      <c r="F1086" t="s">
        <v>1032</v>
      </c>
      <c r="G1086" s="2">
        <v>1.6899999999999998E-2</v>
      </c>
      <c r="H1086">
        <f t="shared" si="32"/>
        <v>1.6896398399288689E-2</v>
      </c>
      <c r="I1086">
        <f t="shared" si="33"/>
        <v>1.6755242063465573E-2</v>
      </c>
    </row>
    <row r="1087" spans="1:9" x14ac:dyDescent="0.75">
      <c r="A1087" s="1">
        <v>44161</v>
      </c>
      <c r="B1087">
        <v>44.98</v>
      </c>
      <c r="C1087">
        <v>45.77</v>
      </c>
      <c r="D1087">
        <v>46.09</v>
      </c>
      <c r="E1087">
        <v>44.73</v>
      </c>
      <c r="G1087" s="2">
        <v>-2.0299999999999999E-2</v>
      </c>
      <c r="H1087">
        <f t="shared" si="32"/>
        <v>-2.0257024613373989E-2</v>
      </c>
      <c r="I1087">
        <f t="shared" si="33"/>
        <v>-2.0465011729961038E-2</v>
      </c>
    </row>
    <row r="1088" spans="1:9" x14ac:dyDescent="0.75">
      <c r="A1088" s="1">
        <v>44160</v>
      </c>
      <c r="B1088">
        <v>45.91</v>
      </c>
      <c r="C1088">
        <v>45.05</v>
      </c>
      <c r="D1088">
        <v>46.44</v>
      </c>
      <c r="E1088">
        <v>44.87</v>
      </c>
      <c r="F1088" t="s">
        <v>1033</v>
      </c>
      <c r="G1088" s="2">
        <v>1.77E-2</v>
      </c>
      <c r="H1088">
        <f t="shared" si="32"/>
        <v>1.7734426956328909E-2</v>
      </c>
      <c r="I1088">
        <f t="shared" si="33"/>
        <v>1.7579006840826021E-2</v>
      </c>
    </row>
    <row r="1089" spans="1:9" x14ac:dyDescent="0.75">
      <c r="A1089" s="1">
        <v>44159</v>
      </c>
      <c r="B1089">
        <v>45.11</v>
      </c>
      <c r="C1089">
        <v>43.04</v>
      </c>
      <c r="D1089">
        <v>45.38</v>
      </c>
      <c r="E1089">
        <v>43.04</v>
      </c>
      <c r="F1089" t="s">
        <v>1034</v>
      </c>
      <c r="G1089" s="2">
        <v>4.2299999999999997E-2</v>
      </c>
      <c r="H1089">
        <f t="shared" si="32"/>
        <v>4.2282809611829904E-2</v>
      </c>
      <c r="I1089">
        <f t="shared" si="33"/>
        <v>4.1413316882078485E-2</v>
      </c>
    </row>
    <row r="1090" spans="1:9" x14ac:dyDescent="0.75">
      <c r="A1090" s="1">
        <v>44158</v>
      </c>
      <c r="B1090">
        <v>43.28</v>
      </c>
      <c r="C1090">
        <v>42.64</v>
      </c>
      <c r="D1090">
        <v>43.56</v>
      </c>
      <c r="E1090">
        <v>42.52</v>
      </c>
      <c r="F1090" t="s">
        <v>1035</v>
      </c>
      <c r="G1090" s="2">
        <v>2.0299999999999999E-2</v>
      </c>
      <c r="H1090">
        <f t="shared" si="32"/>
        <v>2.0273455917020258E-2</v>
      </c>
      <c r="I1090">
        <f t="shared" si="33"/>
        <v>2.0070685401689763E-2</v>
      </c>
    </row>
    <row r="1091" spans="1:9" x14ac:dyDescent="0.75">
      <c r="A1091" s="1">
        <v>44155</v>
      </c>
      <c r="B1091">
        <v>42.42</v>
      </c>
      <c r="C1091">
        <v>41.88</v>
      </c>
      <c r="D1091">
        <v>42.54</v>
      </c>
      <c r="E1091">
        <v>41.61</v>
      </c>
      <c r="F1091" t="s">
        <v>1036</v>
      </c>
      <c r="G1091" s="2">
        <v>1.24E-2</v>
      </c>
      <c r="H1091">
        <f t="shared" ref="H1091:H1154" si="34">(B1091-B1092)/B1092</f>
        <v>1.2410501193317498E-2</v>
      </c>
      <c r="I1091">
        <f t="shared" ref="I1091:I1154" si="35">LN(B1091/B1092)</f>
        <v>1.2334122208444464E-2</v>
      </c>
    </row>
    <row r="1092" spans="1:9" x14ac:dyDescent="0.75">
      <c r="A1092" s="1">
        <v>44154</v>
      </c>
      <c r="B1092">
        <v>41.9</v>
      </c>
      <c r="C1092">
        <v>41.87</v>
      </c>
      <c r="D1092">
        <v>42.15</v>
      </c>
      <c r="E1092">
        <v>41.26</v>
      </c>
      <c r="F1092" t="s">
        <v>1037</v>
      </c>
      <c r="G1092" s="2">
        <v>-2.5999999999999999E-3</v>
      </c>
      <c r="H1092">
        <f t="shared" si="34"/>
        <v>-2.6184241847179109E-3</v>
      </c>
      <c r="I1092">
        <f t="shared" si="35"/>
        <v>-2.6218582531986373E-3</v>
      </c>
    </row>
    <row r="1093" spans="1:9" x14ac:dyDescent="0.75">
      <c r="A1093" s="1">
        <v>44153</v>
      </c>
      <c r="B1093">
        <v>42.01</v>
      </c>
      <c r="C1093">
        <v>41.55</v>
      </c>
      <c r="D1093">
        <v>42.68</v>
      </c>
      <c r="E1093">
        <v>41.3</v>
      </c>
      <c r="F1093" t="s">
        <v>1038</v>
      </c>
      <c r="G1093" s="2">
        <v>8.6E-3</v>
      </c>
      <c r="H1093">
        <f t="shared" si="34"/>
        <v>8.6434573829531677E-3</v>
      </c>
      <c r="I1093">
        <f t="shared" si="35"/>
        <v>8.6063165684390607E-3</v>
      </c>
    </row>
    <row r="1094" spans="1:9" x14ac:dyDescent="0.75">
      <c r="A1094" s="1">
        <v>44152</v>
      </c>
      <c r="B1094">
        <v>41.65</v>
      </c>
      <c r="C1094">
        <v>41.65</v>
      </c>
      <c r="D1094">
        <v>41.93</v>
      </c>
      <c r="E1094">
        <v>40.81</v>
      </c>
      <c r="F1094" t="s">
        <v>1039</v>
      </c>
      <c r="G1094" s="2">
        <v>1.9E-3</v>
      </c>
      <c r="H1094">
        <f t="shared" si="34"/>
        <v>1.9244647582390736E-3</v>
      </c>
      <c r="I1094">
        <f t="shared" si="35"/>
        <v>1.9226153483055508E-3</v>
      </c>
    </row>
    <row r="1095" spans="1:9" x14ac:dyDescent="0.75">
      <c r="A1095" s="1">
        <v>44151</v>
      </c>
      <c r="B1095">
        <v>41.57</v>
      </c>
      <c r="C1095">
        <v>40.44</v>
      </c>
      <c r="D1095">
        <v>42.35</v>
      </c>
      <c r="E1095">
        <v>40.4</v>
      </c>
      <c r="F1095" t="s">
        <v>1040</v>
      </c>
      <c r="G1095" s="2">
        <v>2.9000000000000001E-2</v>
      </c>
      <c r="H1095">
        <f t="shared" si="34"/>
        <v>2.8960396039604003E-2</v>
      </c>
      <c r="I1095">
        <f t="shared" si="35"/>
        <v>2.8548968297441822E-2</v>
      </c>
    </row>
    <row r="1096" spans="1:9" x14ac:dyDescent="0.75">
      <c r="A1096" s="1">
        <v>44148</v>
      </c>
      <c r="B1096">
        <v>40.4</v>
      </c>
      <c r="C1096">
        <v>41.21</v>
      </c>
      <c r="D1096">
        <v>41.21</v>
      </c>
      <c r="E1096">
        <v>40.33</v>
      </c>
      <c r="F1096" t="s">
        <v>1041</v>
      </c>
      <c r="G1096" s="2">
        <v>-2.4400000000000002E-2</v>
      </c>
      <c r="H1096">
        <f t="shared" si="34"/>
        <v>-2.4390243902438977E-2</v>
      </c>
      <c r="I1096">
        <f t="shared" si="35"/>
        <v>-2.4692612590371411E-2</v>
      </c>
    </row>
    <row r="1097" spans="1:9" x14ac:dyDescent="0.75">
      <c r="A1097" s="1">
        <v>44147</v>
      </c>
      <c r="B1097">
        <v>41.41</v>
      </c>
      <c r="C1097">
        <v>41.72</v>
      </c>
      <c r="D1097">
        <v>42.45</v>
      </c>
      <c r="E1097">
        <v>41.16</v>
      </c>
      <c r="F1097" t="s">
        <v>1042</v>
      </c>
      <c r="G1097" s="2">
        <v>-7.9000000000000008E-3</v>
      </c>
      <c r="H1097">
        <f t="shared" si="34"/>
        <v>-7.906085289889923E-3</v>
      </c>
      <c r="I1097">
        <f t="shared" si="35"/>
        <v>-7.9375040915789074E-3</v>
      </c>
    </row>
    <row r="1098" spans="1:9" x14ac:dyDescent="0.75">
      <c r="A1098" s="1">
        <v>44146</v>
      </c>
      <c r="B1098">
        <v>41.74</v>
      </c>
      <c r="C1098">
        <v>42.08</v>
      </c>
      <c r="D1098">
        <v>43.33</v>
      </c>
      <c r="E1098">
        <v>41.61</v>
      </c>
      <c r="F1098" t="s">
        <v>1043</v>
      </c>
      <c r="G1098" s="2">
        <v>1.6999999999999999E-3</v>
      </c>
      <c r="H1098">
        <f t="shared" si="34"/>
        <v>1.6798656107511467E-3</v>
      </c>
      <c r="I1098">
        <f t="shared" si="35"/>
        <v>1.6784562146925251E-3</v>
      </c>
    </row>
    <row r="1099" spans="1:9" x14ac:dyDescent="0.75">
      <c r="A1099" s="1">
        <v>44145</v>
      </c>
      <c r="B1099">
        <v>41.67</v>
      </c>
      <c r="C1099">
        <v>40.19</v>
      </c>
      <c r="D1099">
        <v>42.12</v>
      </c>
      <c r="E1099">
        <v>39.72</v>
      </c>
      <c r="F1099" t="s">
        <v>1044</v>
      </c>
      <c r="G1099" s="2">
        <v>2.58E-2</v>
      </c>
      <c r="H1099">
        <f t="shared" si="34"/>
        <v>2.5849335302806607E-2</v>
      </c>
      <c r="I1099">
        <f t="shared" si="35"/>
        <v>2.55208892821236E-2</v>
      </c>
    </row>
    <row r="1100" spans="1:9" x14ac:dyDescent="0.75">
      <c r="A1100" s="1">
        <v>44144</v>
      </c>
      <c r="B1100">
        <v>40.619999999999997</v>
      </c>
      <c r="C1100">
        <v>37.64</v>
      </c>
      <c r="D1100">
        <v>41.63</v>
      </c>
      <c r="E1100">
        <v>37.520000000000003</v>
      </c>
      <c r="F1100" t="s">
        <v>1045</v>
      </c>
      <c r="G1100" s="2">
        <v>8.3500000000000005E-2</v>
      </c>
      <c r="H1100">
        <f t="shared" si="34"/>
        <v>8.3488930381434928E-2</v>
      </c>
      <c r="I1100">
        <f t="shared" si="35"/>
        <v>8.0186325404417932E-2</v>
      </c>
    </row>
    <row r="1101" spans="1:9" x14ac:dyDescent="0.75">
      <c r="A1101" s="1">
        <v>44141</v>
      </c>
      <c r="B1101">
        <v>37.49</v>
      </c>
      <c r="C1101">
        <v>38.82</v>
      </c>
      <c r="D1101">
        <v>38.92</v>
      </c>
      <c r="E1101">
        <v>37.4</v>
      </c>
      <c r="F1101" t="s">
        <v>1046</v>
      </c>
      <c r="G1101" s="2">
        <v>-4.1399999999999999E-2</v>
      </c>
      <c r="H1101">
        <f t="shared" si="34"/>
        <v>-4.1421631296343582E-2</v>
      </c>
      <c r="I1101">
        <f t="shared" si="35"/>
        <v>-4.2303958019602017E-2</v>
      </c>
    </row>
    <row r="1102" spans="1:9" x14ac:dyDescent="0.75">
      <c r="A1102" s="1">
        <v>44140</v>
      </c>
      <c r="B1102">
        <v>39.11</v>
      </c>
      <c r="C1102">
        <v>39.42</v>
      </c>
      <c r="D1102">
        <v>39.67</v>
      </c>
      <c r="E1102">
        <v>38.6</v>
      </c>
      <c r="F1102" t="s">
        <v>1047</v>
      </c>
      <c r="G1102" s="2">
        <v>-9.1000000000000004E-3</v>
      </c>
      <c r="H1102">
        <f t="shared" si="34"/>
        <v>-9.1208512794527345E-3</v>
      </c>
      <c r="I1102">
        <f t="shared" si="35"/>
        <v>-9.1627009073329685E-3</v>
      </c>
    </row>
    <row r="1103" spans="1:9" x14ac:dyDescent="0.75">
      <c r="A1103" s="1">
        <v>44139</v>
      </c>
      <c r="B1103">
        <v>39.47</v>
      </c>
      <c r="C1103">
        <v>38.46</v>
      </c>
      <c r="D1103">
        <v>39.56</v>
      </c>
      <c r="E1103">
        <v>37.590000000000003</v>
      </c>
      <c r="F1103" t="s">
        <v>1048</v>
      </c>
      <c r="G1103" s="2">
        <v>3.9E-2</v>
      </c>
      <c r="H1103">
        <f t="shared" si="34"/>
        <v>3.8957620426427926E-2</v>
      </c>
      <c r="I1103">
        <f t="shared" si="35"/>
        <v>3.8217922475221454E-2</v>
      </c>
    </row>
    <row r="1104" spans="1:9" x14ac:dyDescent="0.75">
      <c r="A1104" s="1">
        <v>44138</v>
      </c>
      <c r="B1104">
        <v>37.99</v>
      </c>
      <c r="C1104">
        <v>37.369999999999997</v>
      </c>
      <c r="D1104">
        <v>38.630000000000003</v>
      </c>
      <c r="E1104">
        <v>36.93</v>
      </c>
      <c r="F1104" t="s">
        <v>1049</v>
      </c>
      <c r="G1104" s="2">
        <v>2.18E-2</v>
      </c>
      <c r="H1104">
        <f t="shared" si="34"/>
        <v>2.1785906401291077E-2</v>
      </c>
      <c r="I1104">
        <f t="shared" si="35"/>
        <v>2.1551984906236304E-2</v>
      </c>
    </row>
    <row r="1105" spans="1:9" x14ac:dyDescent="0.75">
      <c r="A1105" s="1">
        <v>44137</v>
      </c>
      <c r="B1105">
        <v>37.18</v>
      </c>
      <c r="C1105">
        <v>35.5</v>
      </c>
      <c r="D1105">
        <v>37.5</v>
      </c>
      <c r="E1105">
        <v>34.04</v>
      </c>
      <c r="F1105" t="s">
        <v>1050</v>
      </c>
      <c r="G1105" s="2">
        <v>2.8500000000000001E-2</v>
      </c>
      <c r="H1105">
        <f t="shared" si="34"/>
        <v>2.8492392807745539E-2</v>
      </c>
      <c r="I1105">
        <f t="shared" si="35"/>
        <v>2.8094033688524381E-2</v>
      </c>
    </row>
    <row r="1106" spans="1:9" x14ac:dyDescent="0.75">
      <c r="A1106" s="1">
        <v>44134</v>
      </c>
      <c r="B1106">
        <v>36.15</v>
      </c>
      <c r="C1106">
        <v>36.409999999999997</v>
      </c>
      <c r="D1106">
        <v>36.93</v>
      </c>
      <c r="E1106">
        <v>35.57</v>
      </c>
      <c r="F1106" t="s">
        <v>1051</v>
      </c>
      <c r="G1106" s="2">
        <v>-9.9000000000000008E-3</v>
      </c>
      <c r="H1106">
        <f t="shared" si="34"/>
        <v>-9.860312243221021E-3</v>
      </c>
      <c r="I1106">
        <f t="shared" si="35"/>
        <v>-9.9092470627718046E-3</v>
      </c>
    </row>
    <row r="1107" spans="1:9" x14ac:dyDescent="0.75">
      <c r="A1107" s="1">
        <v>44133</v>
      </c>
      <c r="B1107">
        <v>36.51</v>
      </c>
      <c r="C1107">
        <v>37.76</v>
      </c>
      <c r="D1107">
        <v>38.1</v>
      </c>
      <c r="E1107">
        <v>35.28</v>
      </c>
      <c r="F1107" t="s">
        <v>1052</v>
      </c>
      <c r="G1107" s="2">
        <v>-3.2099999999999997E-2</v>
      </c>
      <c r="H1107">
        <f t="shared" si="34"/>
        <v>-3.2078472958642655E-2</v>
      </c>
      <c r="I1107">
        <f t="shared" si="35"/>
        <v>-3.2604262097711251E-2</v>
      </c>
    </row>
    <row r="1108" spans="1:9" x14ac:dyDescent="0.75">
      <c r="A1108" s="1">
        <v>44132</v>
      </c>
      <c r="B1108">
        <v>37.72</v>
      </c>
      <c r="C1108">
        <v>39.299999999999997</v>
      </c>
      <c r="D1108">
        <v>39.33</v>
      </c>
      <c r="E1108">
        <v>37.32</v>
      </c>
      <c r="F1108" t="s">
        <v>1053</v>
      </c>
      <c r="G1108" s="2">
        <v>-5.3900000000000003E-2</v>
      </c>
      <c r="H1108">
        <f t="shared" si="34"/>
        <v>-5.3925257085527936E-2</v>
      </c>
      <c r="I1108">
        <f t="shared" si="35"/>
        <v>-5.5433703628006918E-2</v>
      </c>
    </row>
    <row r="1109" spans="1:9" x14ac:dyDescent="0.75">
      <c r="A1109" s="1">
        <v>44131</v>
      </c>
      <c r="B1109">
        <v>39.869999999999997</v>
      </c>
      <c r="C1109">
        <v>38.950000000000003</v>
      </c>
      <c r="D1109">
        <v>40.130000000000003</v>
      </c>
      <c r="E1109">
        <v>38.83</v>
      </c>
      <c r="F1109" t="s">
        <v>1054</v>
      </c>
      <c r="G1109" s="2">
        <v>2.52E-2</v>
      </c>
      <c r="H1109">
        <f t="shared" si="34"/>
        <v>2.5199280020570761E-2</v>
      </c>
      <c r="I1109">
        <f t="shared" si="35"/>
        <v>2.4887013225607598E-2</v>
      </c>
    </row>
    <row r="1110" spans="1:9" x14ac:dyDescent="0.75">
      <c r="A1110" s="1">
        <v>44130</v>
      </c>
      <c r="B1110">
        <v>38.89</v>
      </c>
      <c r="C1110">
        <v>39.979999999999997</v>
      </c>
      <c r="D1110">
        <v>40.04</v>
      </c>
      <c r="E1110">
        <v>38.61</v>
      </c>
      <c r="F1110" t="s">
        <v>1055</v>
      </c>
      <c r="G1110" s="2">
        <v>-3.1399999999999997E-2</v>
      </c>
      <c r="H1110">
        <f t="shared" si="34"/>
        <v>-3.1382316313823114E-2</v>
      </c>
      <c r="I1110">
        <f t="shared" si="35"/>
        <v>-3.1885292225114756E-2</v>
      </c>
    </row>
    <row r="1111" spans="1:9" x14ac:dyDescent="0.75">
      <c r="A1111" s="1">
        <v>44127</v>
      </c>
      <c r="B1111">
        <v>40.15</v>
      </c>
      <c r="C1111">
        <v>40.909999999999997</v>
      </c>
      <c r="D1111">
        <v>41.21</v>
      </c>
      <c r="E1111">
        <v>39.880000000000003</v>
      </c>
      <c r="F1111" t="s">
        <v>1056</v>
      </c>
      <c r="G1111" s="2">
        <v>-1.9300000000000001E-2</v>
      </c>
      <c r="H1111">
        <f t="shared" si="34"/>
        <v>-1.9296531509526114E-2</v>
      </c>
      <c r="I1111">
        <f t="shared" si="35"/>
        <v>-1.9485139840372805E-2</v>
      </c>
    </row>
    <row r="1112" spans="1:9" x14ac:dyDescent="0.75">
      <c r="A1112" s="1">
        <v>44126</v>
      </c>
      <c r="B1112">
        <v>40.94</v>
      </c>
      <c r="C1112">
        <v>40.31</v>
      </c>
      <c r="D1112">
        <v>41.31</v>
      </c>
      <c r="E1112">
        <v>40</v>
      </c>
      <c r="F1112" t="s">
        <v>1057</v>
      </c>
      <c r="G1112" s="2">
        <v>1.5599999999999999E-2</v>
      </c>
      <c r="H1112">
        <f t="shared" si="34"/>
        <v>1.5628876209377213E-2</v>
      </c>
      <c r="I1112">
        <f t="shared" si="35"/>
        <v>1.5508003104068982E-2</v>
      </c>
    </row>
    <row r="1113" spans="1:9" x14ac:dyDescent="0.75">
      <c r="A1113" s="1">
        <v>44125</v>
      </c>
      <c r="B1113">
        <v>40.31</v>
      </c>
      <c r="C1113">
        <v>41.45</v>
      </c>
      <c r="D1113">
        <v>41.85</v>
      </c>
      <c r="E1113">
        <v>40.07</v>
      </c>
      <c r="F1113" t="s">
        <v>1058</v>
      </c>
      <c r="G1113" s="2">
        <v>-3.3300000000000003E-2</v>
      </c>
      <c r="H1113">
        <f t="shared" si="34"/>
        <v>-3.3333333333333347E-2</v>
      </c>
      <c r="I1113">
        <f t="shared" si="35"/>
        <v>-3.3901551675681339E-2</v>
      </c>
    </row>
    <row r="1114" spans="1:9" x14ac:dyDescent="0.75">
      <c r="A1114" s="1">
        <v>44124</v>
      </c>
      <c r="B1114">
        <v>41.7</v>
      </c>
      <c r="C1114">
        <v>40.93</v>
      </c>
      <c r="D1114">
        <v>41.9</v>
      </c>
      <c r="E1114">
        <v>40.46</v>
      </c>
      <c r="F1114" t="s">
        <v>1059</v>
      </c>
      <c r="G1114" s="2">
        <v>1.5599999999999999E-2</v>
      </c>
      <c r="H1114">
        <f t="shared" si="34"/>
        <v>1.5586945932781308E-2</v>
      </c>
      <c r="I1114">
        <f t="shared" si="35"/>
        <v>1.5466717213968272E-2</v>
      </c>
    </row>
    <row r="1115" spans="1:9" x14ac:dyDescent="0.75">
      <c r="A1115" s="1">
        <v>44123</v>
      </c>
      <c r="B1115">
        <v>41.06</v>
      </c>
      <c r="C1115">
        <v>40.92</v>
      </c>
      <c r="D1115">
        <v>41.46</v>
      </c>
      <c r="E1115">
        <v>40.770000000000003</v>
      </c>
      <c r="F1115" t="s">
        <v>1060</v>
      </c>
      <c r="G1115" s="2">
        <v>-1.5E-3</v>
      </c>
      <c r="H1115">
        <f t="shared" si="34"/>
        <v>-1.4591439688714778E-3</v>
      </c>
      <c r="I1115">
        <f t="shared" si="35"/>
        <v>-1.4602095561220389E-3</v>
      </c>
    </row>
    <row r="1116" spans="1:9" x14ac:dyDescent="0.75">
      <c r="A1116" s="1">
        <v>44120</v>
      </c>
      <c r="B1116">
        <v>41.12</v>
      </c>
      <c r="C1116">
        <v>41.16</v>
      </c>
      <c r="D1116">
        <v>41.3</v>
      </c>
      <c r="E1116">
        <v>40.340000000000003</v>
      </c>
      <c r="F1116" t="s">
        <v>1061</v>
      </c>
      <c r="G1116" s="2">
        <v>-2.8999999999999998E-3</v>
      </c>
      <c r="H1116">
        <f t="shared" si="34"/>
        <v>-2.9097963142581122E-3</v>
      </c>
      <c r="I1116">
        <f t="shared" si="35"/>
        <v>-2.9140380018496462E-3</v>
      </c>
    </row>
    <row r="1117" spans="1:9" x14ac:dyDescent="0.75">
      <c r="A1117" s="1">
        <v>44119</v>
      </c>
      <c r="B1117">
        <v>41.24</v>
      </c>
      <c r="C1117">
        <v>41.43</v>
      </c>
      <c r="D1117">
        <v>41.57</v>
      </c>
      <c r="E1117">
        <v>39.520000000000003</v>
      </c>
      <c r="F1117" t="s">
        <v>1062</v>
      </c>
      <c r="G1117" s="2">
        <v>-2.3999999999999998E-3</v>
      </c>
      <c r="H1117">
        <f t="shared" si="34"/>
        <v>-2.4189646831156608E-3</v>
      </c>
      <c r="I1117">
        <f t="shared" si="35"/>
        <v>-2.4218951048630435E-3</v>
      </c>
    </row>
    <row r="1118" spans="1:9" x14ac:dyDescent="0.75">
      <c r="A1118" s="1">
        <v>44118</v>
      </c>
      <c r="B1118">
        <v>41.34</v>
      </c>
      <c r="C1118">
        <v>40.49</v>
      </c>
      <c r="D1118">
        <v>41.43</v>
      </c>
      <c r="E1118">
        <v>40.119999999999997</v>
      </c>
      <c r="F1118" t="s">
        <v>1063</v>
      </c>
      <c r="G1118" s="2">
        <v>2.1000000000000001E-2</v>
      </c>
      <c r="H1118">
        <f t="shared" si="34"/>
        <v>2.0992837737713051E-2</v>
      </c>
      <c r="I1118">
        <f t="shared" si="35"/>
        <v>2.0775524209552532E-2</v>
      </c>
    </row>
    <row r="1119" spans="1:9" x14ac:dyDescent="0.75">
      <c r="A1119" s="1">
        <v>44117</v>
      </c>
      <c r="B1119">
        <v>40.49</v>
      </c>
      <c r="C1119">
        <v>39.799999999999997</v>
      </c>
      <c r="D1119">
        <v>40.79</v>
      </c>
      <c r="E1119">
        <v>39.65</v>
      </c>
      <c r="F1119" t="s">
        <v>1064</v>
      </c>
      <c r="G1119" s="2">
        <v>1.9099999999999999E-2</v>
      </c>
      <c r="H1119">
        <f t="shared" si="34"/>
        <v>1.912912157060169E-2</v>
      </c>
      <c r="I1119">
        <f t="shared" si="35"/>
        <v>1.8948460217562375E-2</v>
      </c>
    </row>
    <row r="1120" spans="1:9" x14ac:dyDescent="0.75">
      <c r="A1120" s="1">
        <v>44116</v>
      </c>
      <c r="B1120">
        <v>39.729999999999997</v>
      </c>
      <c r="C1120">
        <v>40.72</v>
      </c>
      <c r="D1120">
        <v>40.75</v>
      </c>
      <c r="E1120">
        <v>39.36</v>
      </c>
      <c r="F1120" t="s">
        <v>1065</v>
      </c>
      <c r="G1120" s="2">
        <v>-2.8799999999999999E-2</v>
      </c>
      <c r="H1120">
        <f t="shared" si="34"/>
        <v>-2.8843803471033973E-2</v>
      </c>
      <c r="I1120">
        <f t="shared" si="35"/>
        <v>-2.9267962114799637E-2</v>
      </c>
    </row>
    <row r="1121" spans="1:9" x14ac:dyDescent="0.75">
      <c r="A1121" s="1">
        <v>44113</v>
      </c>
      <c r="B1121">
        <v>40.909999999999997</v>
      </c>
      <c r="C1121">
        <v>41.6</v>
      </c>
      <c r="D1121">
        <v>41.74</v>
      </c>
      <c r="E1121">
        <v>40.68</v>
      </c>
      <c r="F1121" t="s">
        <v>1066</v>
      </c>
      <c r="G1121" s="2">
        <v>-1.35E-2</v>
      </c>
      <c r="H1121">
        <f t="shared" si="34"/>
        <v>-1.3503737641668732E-2</v>
      </c>
      <c r="I1121">
        <f t="shared" si="35"/>
        <v>-1.3595742316982745E-2</v>
      </c>
    </row>
    <row r="1122" spans="1:9" x14ac:dyDescent="0.75">
      <c r="A1122" s="1">
        <v>44112</v>
      </c>
      <c r="B1122">
        <v>41.47</v>
      </c>
      <c r="C1122">
        <v>40.229999999999997</v>
      </c>
      <c r="D1122">
        <v>41.59</v>
      </c>
      <c r="E1122">
        <v>40.049999999999997</v>
      </c>
      <c r="F1122" t="s">
        <v>1067</v>
      </c>
      <c r="G1122" s="2">
        <v>3.0800000000000001E-2</v>
      </c>
      <c r="H1122">
        <f t="shared" si="34"/>
        <v>3.0822769077802688E-2</v>
      </c>
      <c r="I1122">
        <f t="shared" si="35"/>
        <v>3.0357288296593135E-2</v>
      </c>
    </row>
    <row r="1123" spans="1:9" x14ac:dyDescent="0.75">
      <c r="A1123" s="1">
        <v>44111</v>
      </c>
      <c r="B1123">
        <v>40.229999999999997</v>
      </c>
      <c r="C1123">
        <v>40.119999999999997</v>
      </c>
      <c r="D1123">
        <v>40.61</v>
      </c>
      <c r="E1123">
        <v>39.57</v>
      </c>
      <c r="F1123" t="s">
        <v>1068</v>
      </c>
      <c r="G1123" s="2">
        <v>-1.7100000000000001E-2</v>
      </c>
      <c r="H1123">
        <f t="shared" si="34"/>
        <v>-1.7102369899829047E-2</v>
      </c>
      <c r="I1123">
        <f t="shared" si="35"/>
        <v>-1.7250304542614864E-2</v>
      </c>
    </row>
    <row r="1124" spans="1:9" x14ac:dyDescent="0.75">
      <c r="A1124" s="1">
        <v>44110</v>
      </c>
      <c r="B1124">
        <v>40.93</v>
      </c>
      <c r="C1124">
        <v>39.619999999999997</v>
      </c>
      <c r="D1124">
        <v>41.11</v>
      </c>
      <c r="E1124">
        <v>39.369999999999997</v>
      </c>
      <c r="F1124" t="s">
        <v>1069</v>
      </c>
      <c r="G1124" s="2">
        <v>3.6200000000000003E-2</v>
      </c>
      <c r="H1124">
        <f t="shared" si="34"/>
        <v>3.6202531645569615E-2</v>
      </c>
      <c r="I1124">
        <f t="shared" si="35"/>
        <v>3.5562618597235467E-2</v>
      </c>
    </row>
    <row r="1125" spans="1:9" x14ac:dyDescent="0.75">
      <c r="A1125" s="1">
        <v>44109</v>
      </c>
      <c r="B1125">
        <v>39.5</v>
      </c>
      <c r="C1125">
        <v>37.340000000000003</v>
      </c>
      <c r="D1125">
        <v>39.96</v>
      </c>
      <c r="E1125">
        <v>37.32</v>
      </c>
      <c r="F1125" t="s">
        <v>1070</v>
      </c>
      <c r="G1125" s="2">
        <v>5.7799999999999997E-2</v>
      </c>
      <c r="H1125">
        <f t="shared" si="34"/>
        <v>5.7846813069094706E-2</v>
      </c>
      <c r="I1125">
        <f t="shared" si="35"/>
        <v>5.6235533793499611E-2</v>
      </c>
    </row>
    <row r="1126" spans="1:9" x14ac:dyDescent="0.75">
      <c r="A1126" s="1">
        <v>44106</v>
      </c>
      <c r="B1126">
        <v>37.340000000000003</v>
      </c>
      <c r="C1126">
        <v>38.92</v>
      </c>
      <c r="D1126">
        <v>38.93</v>
      </c>
      <c r="E1126">
        <v>36.93</v>
      </c>
      <c r="F1126" t="s">
        <v>1071</v>
      </c>
      <c r="G1126" s="2">
        <v>-4.2799999999999998E-2</v>
      </c>
      <c r="H1126">
        <f t="shared" si="34"/>
        <v>-4.2809536016405914E-2</v>
      </c>
      <c r="I1126">
        <f t="shared" si="35"/>
        <v>-4.3752885404988444E-2</v>
      </c>
    </row>
    <row r="1127" spans="1:9" x14ac:dyDescent="0.75">
      <c r="A1127" s="1">
        <v>44105</v>
      </c>
      <c r="B1127">
        <v>39.01</v>
      </c>
      <c r="C1127">
        <v>40.15</v>
      </c>
      <c r="D1127">
        <v>40.700000000000003</v>
      </c>
      <c r="E1127">
        <v>37.92</v>
      </c>
      <c r="F1127" t="s">
        <v>1072</v>
      </c>
      <c r="G1127" s="2">
        <v>-3.61E-2</v>
      </c>
      <c r="H1127">
        <f t="shared" si="34"/>
        <v>-3.6076105757351144E-2</v>
      </c>
      <c r="I1127">
        <f t="shared" si="35"/>
        <v>-3.6742935369209036E-2</v>
      </c>
    </row>
    <row r="1128" spans="1:9" x14ac:dyDescent="0.75">
      <c r="A1128" s="1">
        <v>44104</v>
      </c>
      <c r="B1128">
        <v>40.47</v>
      </c>
      <c r="C1128">
        <v>39.43</v>
      </c>
      <c r="D1128">
        <v>40.61</v>
      </c>
      <c r="E1128">
        <v>38.950000000000003</v>
      </c>
      <c r="F1128" t="s">
        <v>1073</v>
      </c>
      <c r="G1128" s="2">
        <v>2.3E-2</v>
      </c>
      <c r="H1128">
        <f t="shared" si="34"/>
        <v>2.3003033367037323E-2</v>
      </c>
      <c r="I1128">
        <f t="shared" si="35"/>
        <v>2.2742452133262672E-2</v>
      </c>
    </row>
    <row r="1129" spans="1:9" x14ac:dyDescent="0.75">
      <c r="A1129" s="1">
        <v>44103</v>
      </c>
      <c r="B1129">
        <v>39.56</v>
      </c>
      <c r="C1129">
        <v>40.840000000000003</v>
      </c>
      <c r="D1129">
        <v>40.94</v>
      </c>
      <c r="E1129">
        <v>38.700000000000003</v>
      </c>
      <c r="F1129" t="s">
        <v>1074</v>
      </c>
      <c r="G1129" s="2">
        <v>-3.2099999999999997E-2</v>
      </c>
      <c r="H1129">
        <f t="shared" si="34"/>
        <v>-3.2052850501590291E-2</v>
      </c>
      <c r="I1129">
        <f t="shared" si="35"/>
        <v>-3.2577790821674509E-2</v>
      </c>
    </row>
    <row r="1130" spans="1:9" x14ac:dyDescent="0.75">
      <c r="A1130" s="1">
        <v>44102</v>
      </c>
      <c r="B1130">
        <v>40.869999999999997</v>
      </c>
      <c r="C1130">
        <v>40.24</v>
      </c>
      <c r="D1130">
        <v>41.06</v>
      </c>
      <c r="E1130">
        <v>40.049999999999997</v>
      </c>
      <c r="F1130" t="s">
        <v>1075</v>
      </c>
      <c r="G1130" s="2">
        <v>8.8999999999999999E-3</v>
      </c>
      <c r="H1130">
        <f t="shared" si="34"/>
        <v>8.886694643297938E-3</v>
      </c>
      <c r="I1130">
        <f t="shared" si="35"/>
        <v>8.847440361586743E-3</v>
      </c>
    </row>
    <row r="1131" spans="1:9" x14ac:dyDescent="0.75">
      <c r="A1131" s="1">
        <v>44099</v>
      </c>
      <c r="B1131">
        <v>40.51</v>
      </c>
      <c r="C1131">
        <v>40.35</v>
      </c>
      <c r="D1131">
        <v>40.89</v>
      </c>
      <c r="E1131">
        <v>40</v>
      </c>
      <c r="F1131" t="s">
        <v>1076</v>
      </c>
      <c r="G1131" s="2">
        <v>-1.6999999999999999E-3</v>
      </c>
      <c r="H1131">
        <f t="shared" si="34"/>
        <v>-1.7249876786594451E-3</v>
      </c>
      <c r="I1131">
        <f t="shared" si="35"/>
        <v>-1.7264771830695299E-3</v>
      </c>
    </row>
    <row r="1132" spans="1:9" x14ac:dyDescent="0.75">
      <c r="A1132" s="1">
        <v>44098</v>
      </c>
      <c r="B1132">
        <v>40.58</v>
      </c>
      <c r="C1132">
        <v>39.869999999999997</v>
      </c>
      <c r="D1132">
        <v>40.64</v>
      </c>
      <c r="E1132">
        <v>39.409999999999997</v>
      </c>
      <c r="F1132" t="s">
        <v>1077</v>
      </c>
      <c r="G1132" s="2">
        <v>8.9999999999999993E-3</v>
      </c>
      <c r="H1132">
        <f t="shared" si="34"/>
        <v>8.9507707608155011E-3</v>
      </c>
      <c r="I1132">
        <f t="shared" si="35"/>
        <v>8.9109500531625897E-3</v>
      </c>
    </row>
    <row r="1133" spans="1:9" x14ac:dyDescent="0.75">
      <c r="A1133" s="1">
        <v>44097</v>
      </c>
      <c r="B1133">
        <v>40.22</v>
      </c>
      <c r="C1133">
        <v>40.03</v>
      </c>
      <c r="D1133">
        <v>41.04</v>
      </c>
      <c r="E1133">
        <v>39.56</v>
      </c>
      <c r="F1133" t="s">
        <v>1078</v>
      </c>
      <c r="G1133" s="2">
        <v>1.06E-2</v>
      </c>
      <c r="H1133">
        <f t="shared" si="34"/>
        <v>1.055276381909552E-2</v>
      </c>
      <c r="I1133">
        <f t="shared" si="35"/>
        <v>1.0497472054113914E-2</v>
      </c>
    </row>
    <row r="1134" spans="1:9" x14ac:dyDescent="0.75">
      <c r="A1134" s="1">
        <v>44096</v>
      </c>
      <c r="B1134">
        <v>39.799999999999997</v>
      </c>
      <c r="C1134">
        <v>39.840000000000003</v>
      </c>
      <c r="D1134">
        <v>40.270000000000003</v>
      </c>
      <c r="E1134">
        <v>39.19</v>
      </c>
      <c r="F1134" t="s">
        <v>1079</v>
      </c>
      <c r="G1134" s="2">
        <v>6.6E-3</v>
      </c>
      <c r="H1134">
        <f t="shared" si="34"/>
        <v>6.5756196256954481E-3</v>
      </c>
      <c r="I1134">
        <f t="shared" si="35"/>
        <v>6.5540945479210877E-3</v>
      </c>
    </row>
    <row r="1135" spans="1:9" x14ac:dyDescent="0.75">
      <c r="A1135" s="1">
        <v>44095</v>
      </c>
      <c r="B1135">
        <v>39.54</v>
      </c>
      <c r="C1135">
        <v>41.19</v>
      </c>
      <c r="D1135">
        <v>41.49</v>
      </c>
      <c r="E1135">
        <v>38.869999999999997</v>
      </c>
      <c r="F1135" t="s">
        <v>1080</v>
      </c>
      <c r="G1135" s="2">
        <v>-4.3099999999999999E-2</v>
      </c>
      <c r="H1135">
        <f t="shared" si="34"/>
        <v>-4.3078412391093931E-2</v>
      </c>
      <c r="I1135">
        <f t="shared" si="35"/>
        <v>-4.4033826508966936E-2</v>
      </c>
    </row>
    <row r="1136" spans="1:9" x14ac:dyDescent="0.75">
      <c r="A1136" s="1">
        <v>44092</v>
      </c>
      <c r="B1136">
        <v>41.32</v>
      </c>
      <c r="C1136">
        <v>41.2</v>
      </c>
      <c r="D1136">
        <v>41.72</v>
      </c>
      <c r="E1136">
        <v>40.520000000000003</v>
      </c>
      <c r="F1136" t="s">
        <v>1081</v>
      </c>
      <c r="G1136" s="2">
        <v>2.3999999999999998E-3</v>
      </c>
      <c r="H1136">
        <f t="shared" si="34"/>
        <v>2.4260067928190544E-3</v>
      </c>
      <c r="I1136">
        <f t="shared" si="35"/>
        <v>2.423068789124818E-3</v>
      </c>
    </row>
    <row r="1137" spans="1:9" x14ac:dyDescent="0.75">
      <c r="A1137" s="1">
        <v>44091</v>
      </c>
      <c r="B1137">
        <v>41.22</v>
      </c>
      <c r="C1137">
        <v>40.409999999999997</v>
      </c>
      <c r="D1137">
        <v>41.48</v>
      </c>
      <c r="E1137">
        <v>39.67</v>
      </c>
      <c r="F1137" t="s">
        <v>1082</v>
      </c>
      <c r="G1137" s="2">
        <v>0.02</v>
      </c>
      <c r="H1137">
        <f t="shared" si="34"/>
        <v>2.0044543429844155E-2</v>
      </c>
      <c r="I1137">
        <f t="shared" si="35"/>
        <v>1.9846296371930749E-2</v>
      </c>
    </row>
    <row r="1138" spans="1:9" x14ac:dyDescent="0.75">
      <c r="A1138" s="1">
        <v>44090</v>
      </c>
      <c r="B1138">
        <v>40.409999999999997</v>
      </c>
      <c r="C1138">
        <v>38.65</v>
      </c>
      <c r="D1138">
        <v>40.590000000000003</v>
      </c>
      <c r="E1138">
        <v>38.619999999999997</v>
      </c>
      <c r="F1138" t="s">
        <v>1083</v>
      </c>
      <c r="G1138" s="2">
        <v>4.82E-2</v>
      </c>
      <c r="H1138">
        <f t="shared" si="34"/>
        <v>4.8249027237354074E-2</v>
      </c>
      <c r="I1138">
        <f t="shared" si="35"/>
        <v>4.7121179081043858E-2</v>
      </c>
    </row>
    <row r="1139" spans="1:9" x14ac:dyDescent="0.75">
      <c r="A1139" s="1">
        <v>44089</v>
      </c>
      <c r="B1139">
        <v>38.549999999999997</v>
      </c>
      <c r="C1139">
        <v>37.6</v>
      </c>
      <c r="D1139">
        <v>38.82</v>
      </c>
      <c r="E1139">
        <v>37.36</v>
      </c>
      <c r="F1139" t="s">
        <v>1084</v>
      </c>
      <c r="G1139" s="2">
        <v>2.64E-2</v>
      </c>
      <c r="H1139">
        <f t="shared" si="34"/>
        <v>2.6357827476038202E-2</v>
      </c>
      <c r="I1139">
        <f t="shared" si="35"/>
        <v>2.6016445669276102E-2</v>
      </c>
    </row>
    <row r="1140" spans="1:9" x14ac:dyDescent="0.75">
      <c r="A1140" s="1">
        <v>44088</v>
      </c>
      <c r="B1140">
        <v>37.56</v>
      </c>
      <c r="C1140">
        <v>37.6</v>
      </c>
      <c r="D1140">
        <v>37.97</v>
      </c>
      <c r="E1140">
        <v>37.119999999999997</v>
      </c>
      <c r="F1140" t="s">
        <v>1085</v>
      </c>
      <c r="G1140" s="2">
        <v>-2.3999999999999998E-3</v>
      </c>
      <c r="H1140">
        <f t="shared" si="34"/>
        <v>-2.3904382470118541E-3</v>
      </c>
      <c r="I1140">
        <f t="shared" si="35"/>
        <v>-2.3932999058403786E-3</v>
      </c>
    </row>
    <row r="1141" spans="1:9" x14ac:dyDescent="0.75">
      <c r="A1141" s="1">
        <v>44085</v>
      </c>
      <c r="B1141">
        <v>37.65</v>
      </c>
      <c r="C1141">
        <v>37.340000000000003</v>
      </c>
      <c r="D1141">
        <v>38.119999999999997</v>
      </c>
      <c r="E1141">
        <v>37.020000000000003</v>
      </c>
      <c r="F1141" t="s">
        <v>1086</v>
      </c>
      <c r="G1141" s="2">
        <v>-2.9999999999999997E-4</v>
      </c>
      <c r="H1141">
        <f t="shared" si="34"/>
        <v>-2.6553372278274059E-4</v>
      </c>
      <c r="I1141">
        <f t="shared" si="35"/>
        <v>-2.6556898310368211E-4</v>
      </c>
    </row>
    <row r="1142" spans="1:9" x14ac:dyDescent="0.75">
      <c r="A1142" s="1">
        <v>44084</v>
      </c>
      <c r="B1142">
        <v>37.659999999999997</v>
      </c>
      <c r="C1142">
        <v>38.159999999999997</v>
      </c>
      <c r="D1142">
        <v>38.53</v>
      </c>
      <c r="E1142">
        <v>37.270000000000003</v>
      </c>
      <c r="F1142" t="s">
        <v>1087</v>
      </c>
      <c r="G1142" s="2">
        <v>-1.95E-2</v>
      </c>
      <c r="H1142">
        <f t="shared" si="34"/>
        <v>-1.9526165061181985E-2</v>
      </c>
      <c r="I1142">
        <f t="shared" si="35"/>
        <v>-1.9719319128807082E-2</v>
      </c>
    </row>
    <row r="1143" spans="1:9" x14ac:dyDescent="0.75">
      <c r="A1143" s="1">
        <v>44083</v>
      </c>
      <c r="B1143">
        <v>38.409999999999997</v>
      </c>
      <c r="C1143">
        <v>37.18</v>
      </c>
      <c r="D1143">
        <v>38.78</v>
      </c>
      <c r="E1143">
        <v>36.6</v>
      </c>
      <c r="F1143" t="s">
        <v>1088</v>
      </c>
      <c r="G1143" s="2">
        <v>3.2800000000000003E-2</v>
      </c>
      <c r="H1143">
        <f t="shared" si="34"/>
        <v>3.2804517343371843E-2</v>
      </c>
      <c r="I1143">
        <f t="shared" si="35"/>
        <v>3.2277934420834639E-2</v>
      </c>
    </row>
    <row r="1144" spans="1:9" x14ac:dyDescent="0.75">
      <c r="A1144" s="1">
        <v>44082</v>
      </c>
      <c r="B1144">
        <v>37.19</v>
      </c>
      <c r="C1144">
        <v>39.86</v>
      </c>
      <c r="D1144">
        <v>39.96</v>
      </c>
      <c r="E1144">
        <v>36.58</v>
      </c>
      <c r="F1144" t="s">
        <v>1089</v>
      </c>
      <c r="G1144" s="2">
        <v>-5.1299999999999998E-2</v>
      </c>
      <c r="H1144">
        <f t="shared" si="34"/>
        <v>-5.1275510204081762E-2</v>
      </c>
      <c r="I1144">
        <f t="shared" si="35"/>
        <v>-5.2636838859438269E-2</v>
      </c>
    </row>
    <row r="1145" spans="1:9" x14ac:dyDescent="0.75">
      <c r="A1145" s="1">
        <v>44081</v>
      </c>
      <c r="B1145">
        <v>39.200000000000003</v>
      </c>
      <c r="C1145">
        <v>38.770000000000003</v>
      </c>
      <c r="D1145">
        <v>39.53</v>
      </c>
      <c r="E1145">
        <v>38.770000000000003</v>
      </c>
      <c r="G1145" s="2">
        <v>1.1599999999999999E-2</v>
      </c>
      <c r="H1145">
        <f t="shared" si="34"/>
        <v>1.1612903225806525E-2</v>
      </c>
      <c r="I1145">
        <f t="shared" si="35"/>
        <v>1.1545990997060948E-2</v>
      </c>
    </row>
    <row r="1146" spans="1:9" x14ac:dyDescent="0.75">
      <c r="A1146" s="1">
        <v>44080</v>
      </c>
      <c r="B1146">
        <v>38.75</v>
      </c>
      <c r="C1146">
        <v>39.47</v>
      </c>
      <c r="D1146">
        <v>39.479999999999997</v>
      </c>
      <c r="E1146">
        <v>38.57</v>
      </c>
      <c r="G1146" s="2">
        <v>-3.49E-2</v>
      </c>
      <c r="H1146">
        <f t="shared" si="34"/>
        <v>-3.4869240348692369E-2</v>
      </c>
      <c r="I1146">
        <f t="shared" si="35"/>
        <v>-3.5491684593414591E-2</v>
      </c>
    </row>
    <row r="1147" spans="1:9" x14ac:dyDescent="0.75">
      <c r="A1147" s="1">
        <v>44078</v>
      </c>
      <c r="B1147">
        <v>40.15</v>
      </c>
      <c r="C1147">
        <v>41.6</v>
      </c>
      <c r="D1147">
        <v>42.19</v>
      </c>
      <c r="E1147">
        <v>39.75</v>
      </c>
      <c r="F1147" t="s">
        <v>1090</v>
      </c>
      <c r="G1147" s="2">
        <v>-3.7600000000000001E-2</v>
      </c>
      <c r="H1147">
        <f t="shared" si="34"/>
        <v>-3.7631831255992336E-2</v>
      </c>
      <c r="I1147">
        <f t="shared" si="35"/>
        <v>-3.8358189739801034E-2</v>
      </c>
    </row>
    <row r="1148" spans="1:9" x14ac:dyDescent="0.75">
      <c r="A1148" s="1">
        <v>44077</v>
      </c>
      <c r="B1148">
        <v>41.72</v>
      </c>
      <c r="C1148">
        <v>41.96</v>
      </c>
      <c r="D1148">
        <v>42.14</v>
      </c>
      <c r="E1148">
        <v>40.61</v>
      </c>
      <c r="F1148" t="s">
        <v>1091</v>
      </c>
      <c r="G1148" s="2">
        <v>-3.0999999999999999E-3</v>
      </c>
      <c r="H1148">
        <f t="shared" si="34"/>
        <v>-3.1063321385902641E-3</v>
      </c>
      <c r="I1148">
        <f t="shared" si="35"/>
        <v>-3.1111668029126668E-3</v>
      </c>
    </row>
    <row r="1149" spans="1:9" x14ac:dyDescent="0.75">
      <c r="A1149" s="1">
        <v>44076</v>
      </c>
      <c r="B1149">
        <v>41.85</v>
      </c>
      <c r="C1149">
        <v>43.35</v>
      </c>
      <c r="D1149">
        <v>43.51</v>
      </c>
      <c r="E1149">
        <v>41.59</v>
      </c>
      <c r="F1149" t="s">
        <v>1092</v>
      </c>
      <c r="G1149" s="2">
        <v>-2.86E-2</v>
      </c>
      <c r="H1149">
        <f t="shared" si="34"/>
        <v>-2.8551532033426114E-2</v>
      </c>
      <c r="I1149">
        <f t="shared" si="35"/>
        <v>-2.8967055352703389E-2</v>
      </c>
    </row>
    <row r="1150" spans="1:9" x14ac:dyDescent="0.75">
      <c r="A1150" s="1">
        <v>44075</v>
      </c>
      <c r="B1150">
        <v>43.08</v>
      </c>
      <c r="C1150">
        <v>43.12</v>
      </c>
      <c r="D1150">
        <v>43.7</v>
      </c>
      <c r="E1150">
        <v>43.04</v>
      </c>
      <c r="F1150" t="s">
        <v>1093</v>
      </c>
      <c r="G1150" s="2">
        <v>4.1999999999999997E-3</v>
      </c>
      <c r="H1150">
        <f t="shared" si="34"/>
        <v>4.1958041958041897E-3</v>
      </c>
      <c r="I1150">
        <f t="shared" si="35"/>
        <v>4.187026354216453E-3</v>
      </c>
    </row>
    <row r="1151" spans="1:9" x14ac:dyDescent="0.75">
      <c r="A1151" s="1">
        <v>44074</v>
      </c>
      <c r="B1151">
        <v>42.9</v>
      </c>
      <c r="C1151">
        <v>43.3</v>
      </c>
      <c r="D1151">
        <v>43.89</v>
      </c>
      <c r="E1151">
        <v>42.84</v>
      </c>
      <c r="F1151" t="s">
        <v>1094</v>
      </c>
      <c r="G1151" s="2">
        <v>-8.9999999999999993E-3</v>
      </c>
      <c r="H1151">
        <f t="shared" si="34"/>
        <v>-9.0090090090090228E-3</v>
      </c>
      <c r="I1151">
        <f t="shared" si="35"/>
        <v>-9.0498355199179273E-3</v>
      </c>
    </row>
    <row r="1152" spans="1:9" x14ac:dyDescent="0.75">
      <c r="A1152" s="1">
        <v>44071</v>
      </c>
      <c r="B1152">
        <v>43.29</v>
      </c>
      <c r="C1152">
        <v>43.27</v>
      </c>
      <c r="D1152">
        <v>43.69</v>
      </c>
      <c r="E1152">
        <v>43.03</v>
      </c>
      <c r="F1152" t="s">
        <v>1095</v>
      </c>
      <c r="G1152" s="2">
        <v>-5.0000000000000001E-4</v>
      </c>
      <c r="H1152">
        <f t="shared" si="34"/>
        <v>-4.6178711613953187E-4</v>
      </c>
      <c r="I1152">
        <f t="shared" si="35"/>
        <v>-4.6189377264618093E-4</v>
      </c>
    </row>
    <row r="1153" spans="1:9" x14ac:dyDescent="0.75">
      <c r="A1153" s="1">
        <v>44070</v>
      </c>
      <c r="B1153">
        <v>43.31</v>
      </c>
      <c r="C1153">
        <v>43.78</v>
      </c>
      <c r="D1153">
        <v>43.81</v>
      </c>
      <c r="E1153">
        <v>42.68</v>
      </c>
      <c r="F1153" t="s">
        <v>1096</v>
      </c>
      <c r="G1153" s="2">
        <v>-8.6999999999999994E-3</v>
      </c>
      <c r="H1153">
        <f t="shared" si="34"/>
        <v>-8.6976424811168566E-3</v>
      </c>
      <c r="I1153">
        <f t="shared" si="35"/>
        <v>-8.7356877368090658E-3</v>
      </c>
    </row>
    <row r="1154" spans="1:9" x14ac:dyDescent="0.75">
      <c r="A1154" s="1">
        <v>44069</v>
      </c>
      <c r="B1154">
        <v>43.69</v>
      </c>
      <c r="C1154">
        <v>43.74</v>
      </c>
      <c r="D1154">
        <v>44.05</v>
      </c>
      <c r="E1154">
        <v>43.32</v>
      </c>
      <c r="F1154" t="s">
        <v>1097</v>
      </c>
      <c r="G1154" s="2">
        <v>8.9999999999999998E-4</v>
      </c>
      <c r="H1154">
        <f t="shared" si="34"/>
        <v>9.1638029782357727E-4</v>
      </c>
      <c r="I1154">
        <f t="shared" si="35"/>
        <v>9.1596067773329587E-4</v>
      </c>
    </row>
    <row r="1155" spans="1:9" x14ac:dyDescent="0.75">
      <c r="A1155" s="1">
        <v>44068</v>
      </c>
      <c r="B1155">
        <v>43.65</v>
      </c>
      <c r="C1155">
        <v>42.71</v>
      </c>
      <c r="D1155">
        <v>43.84</v>
      </c>
      <c r="E1155">
        <v>42.63</v>
      </c>
      <c r="F1155" t="s">
        <v>1098</v>
      </c>
      <c r="G1155" s="2">
        <v>1.6799999999999999E-2</v>
      </c>
      <c r="H1155">
        <f t="shared" ref="H1155:H1218" si="36">(B1155-B1156)/B1156</f>
        <v>1.677148846960165E-2</v>
      </c>
      <c r="I1155">
        <f t="shared" ref="I1155:I1218" si="37">LN(B1155/B1156)</f>
        <v>1.663240004914205E-2</v>
      </c>
    </row>
    <row r="1156" spans="1:9" x14ac:dyDescent="0.75">
      <c r="A1156" s="1">
        <v>44067</v>
      </c>
      <c r="B1156">
        <v>42.93</v>
      </c>
      <c r="C1156">
        <v>42.72</v>
      </c>
      <c r="D1156">
        <v>43.13</v>
      </c>
      <c r="E1156">
        <v>42.51</v>
      </c>
      <c r="F1156" t="s">
        <v>1099</v>
      </c>
      <c r="G1156" s="2">
        <v>7.3000000000000001E-3</v>
      </c>
      <c r="H1156">
        <f t="shared" si="36"/>
        <v>7.2735804786485756E-3</v>
      </c>
      <c r="I1156">
        <f t="shared" si="37"/>
        <v>7.2472555659981964E-3</v>
      </c>
    </row>
    <row r="1157" spans="1:9" x14ac:dyDescent="0.75">
      <c r="A1157" s="1">
        <v>44064</v>
      </c>
      <c r="B1157">
        <v>42.62</v>
      </c>
      <c r="C1157">
        <v>43.01</v>
      </c>
      <c r="D1157">
        <v>43.22</v>
      </c>
      <c r="E1157">
        <v>41.74</v>
      </c>
      <c r="F1157" t="s">
        <v>1100</v>
      </c>
      <c r="G1157" s="2">
        <v>-4.7000000000000002E-3</v>
      </c>
      <c r="H1157">
        <f t="shared" si="36"/>
        <v>-4.6707146193368252E-3</v>
      </c>
      <c r="I1157">
        <f t="shared" si="37"/>
        <v>-4.6816564910657794E-3</v>
      </c>
    </row>
    <row r="1158" spans="1:9" x14ac:dyDescent="0.75">
      <c r="A1158" s="1">
        <v>44063</v>
      </c>
      <c r="B1158">
        <v>42.82</v>
      </c>
      <c r="C1158">
        <v>42.95</v>
      </c>
      <c r="D1158">
        <v>42.98</v>
      </c>
      <c r="E1158">
        <v>41.63</v>
      </c>
      <c r="F1158" t="s">
        <v>1101</v>
      </c>
      <c r="G1158" s="2">
        <v>-6.7000000000000002E-3</v>
      </c>
      <c r="H1158">
        <f t="shared" si="36"/>
        <v>-6.7269774994200681E-3</v>
      </c>
      <c r="I1158">
        <f t="shared" si="37"/>
        <v>-6.7497055975065078E-3</v>
      </c>
    </row>
    <row r="1159" spans="1:9" x14ac:dyDescent="0.75">
      <c r="A1159" s="1">
        <v>44062</v>
      </c>
      <c r="B1159">
        <v>43.11</v>
      </c>
      <c r="C1159">
        <v>42.81</v>
      </c>
      <c r="D1159">
        <v>43.21</v>
      </c>
      <c r="E1159">
        <v>42.55</v>
      </c>
      <c r="F1159" t="s">
        <v>1102</v>
      </c>
      <c r="G1159" s="2">
        <v>-2.0000000000000001E-4</v>
      </c>
      <c r="H1159">
        <f t="shared" si="36"/>
        <v>-2.3191094619661435E-4</v>
      </c>
      <c r="I1159">
        <f t="shared" si="37"/>
        <v>-2.319378416983715E-4</v>
      </c>
    </row>
    <row r="1160" spans="1:9" x14ac:dyDescent="0.75">
      <c r="A1160" s="1">
        <v>44061</v>
      </c>
      <c r="B1160">
        <v>43.12</v>
      </c>
      <c r="C1160">
        <v>43.05</v>
      </c>
      <c r="D1160">
        <v>43.29</v>
      </c>
      <c r="E1160">
        <v>42.4</v>
      </c>
      <c r="F1160" t="s">
        <v>1103</v>
      </c>
      <c r="G1160" s="2">
        <v>-1.1999999999999999E-3</v>
      </c>
      <c r="H1160">
        <f t="shared" si="36"/>
        <v>-1.1582117211027163E-3</v>
      </c>
      <c r="I1160">
        <f t="shared" si="37"/>
        <v>-1.1588829666445617E-3</v>
      </c>
    </row>
    <row r="1161" spans="1:9" x14ac:dyDescent="0.75">
      <c r="A1161" s="1">
        <v>44060</v>
      </c>
      <c r="B1161">
        <v>43.17</v>
      </c>
      <c r="C1161">
        <v>42.45</v>
      </c>
      <c r="D1161">
        <v>43.25</v>
      </c>
      <c r="E1161">
        <v>42.09</v>
      </c>
      <c r="F1161" t="s">
        <v>1104</v>
      </c>
      <c r="G1161" s="2">
        <v>2.0299999999999999E-2</v>
      </c>
      <c r="H1161">
        <f t="shared" si="36"/>
        <v>2.032616402741667E-2</v>
      </c>
      <c r="I1161">
        <f t="shared" si="37"/>
        <v>2.0122344835409953E-2</v>
      </c>
    </row>
    <row r="1162" spans="1:9" x14ac:dyDescent="0.75">
      <c r="A1162" s="1">
        <v>44057</v>
      </c>
      <c r="B1162">
        <v>42.31</v>
      </c>
      <c r="C1162">
        <v>42.62</v>
      </c>
      <c r="D1162">
        <v>42.84</v>
      </c>
      <c r="E1162">
        <v>41.93</v>
      </c>
      <c r="F1162" t="s">
        <v>1105</v>
      </c>
      <c r="G1162" s="2">
        <v>-4.8999999999999998E-3</v>
      </c>
      <c r="H1162">
        <f t="shared" si="36"/>
        <v>-4.9388523047977622E-3</v>
      </c>
      <c r="I1162">
        <f t="shared" si="37"/>
        <v>-4.9510887417710649E-3</v>
      </c>
    </row>
    <row r="1163" spans="1:9" x14ac:dyDescent="0.75">
      <c r="A1163" s="1">
        <v>44056</v>
      </c>
      <c r="B1163">
        <v>42.52</v>
      </c>
      <c r="C1163">
        <v>42.88</v>
      </c>
      <c r="D1163">
        <v>43.1</v>
      </c>
      <c r="E1163">
        <v>42.37</v>
      </c>
      <c r="F1163" t="s">
        <v>1106</v>
      </c>
      <c r="G1163" s="2">
        <v>-0.01</v>
      </c>
      <c r="H1163">
        <f t="shared" si="36"/>
        <v>-1.0011641443538992E-2</v>
      </c>
      <c r="I1163">
        <f t="shared" si="37"/>
        <v>-1.0062094956517142E-2</v>
      </c>
    </row>
    <row r="1164" spans="1:9" x14ac:dyDescent="0.75">
      <c r="A1164" s="1">
        <v>44055</v>
      </c>
      <c r="B1164">
        <v>42.95</v>
      </c>
      <c r="C1164">
        <v>41.92</v>
      </c>
      <c r="D1164">
        <v>43.17</v>
      </c>
      <c r="E1164">
        <v>41.8</v>
      </c>
      <c r="F1164" t="s">
        <v>1107</v>
      </c>
      <c r="G1164" s="2">
        <v>2.58E-2</v>
      </c>
      <c r="H1164">
        <f t="shared" si="36"/>
        <v>2.5794124671602709E-2</v>
      </c>
      <c r="I1164">
        <f t="shared" si="37"/>
        <v>2.5467068399212527E-2</v>
      </c>
    </row>
    <row r="1165" spans="1:9" x14ac:dyDescent="0.75">
      <c r="A1165" s="1">
        <v>44054</v>
      </c>
      <c r="B1165">
        <v>41.87</v>
      </c>
      <c r="C1165">
        <v>42.21</v>
      </c>
      <c r="D1165">
        <v>43.14</v>
      </c>
      <c r="E1165">
        <v>41.75</v>
      </c>
      <c r="F1165" t="s">
        <v>1108</v>
      </c>
      <c r="G1165" s="2">
        <v>-7.1000000000000004E-3</v>
      </c>
      <c r="H1165">
        <f t="shared" si="36"/>
        <v>-7.1140621294760314E-3</v>
      </c>
      <c r="I1165">
        <f t="shared" si="37"/>
        <v>-7.1394877274166754E-3</v>
      </c>
    </row>
    <row r="1166" spans="1:9" x14ac:dyDescent="0.75">
      <c r="A1166" s="1">
        <v>44053</v>
      </c>
      <c r="B1166">
        <v>42.17</v>
      </c>
      <c r="C1166">
        <v>41.63</v>
      </c>
      <c r="D1166">
        <v>42.54</v>
      </c>
      <c r="E1166">
        <v>41.43</v>
      </c>
      <c r="F1166" t="s">
        <v>1109</v>
      </c>
      <c r="G1166" s="2">
        <v>1.6400000000000001E-2</v>
      </c>
      <c r="H1166">
        <f t="shared" si="36"/>
        <v>1.6389491443721371E-2</v>
      </c>
      <c r="I1166">
        <f t="shared" si="37"/>
        <v>1.6256633413691844E-2</v>
      </c>
    </row>
    <row r="1167" spans="1:9" x14ac:dyDescent="0.75">
      <c r="A1167" s="1">
        <v>44050</v>
      </c>
      <c r="B1167">
        <v>41.49</v>
      </c>
      <c r="C1167">
        <v>42.19</v>
      </c>
      <c r="D1167">
        <v>42.44</v>
      </c>
      <c r="E1167">
        <v>41.33</v>
      </c>
      <c r="F1167" t="s">
        <v>1110</v>
      </c>
      <c r="G1167" s="2">
        <v>-1.6799999999999999E-2</v>
      </c>
      <c r="H1167">
        <f t="shared" si="36"/>
        <v>-1.6824644549763051E-2</v>
      </c>
      <c r="I1167">
        <f t="shared" si="37"/>
        <v>-1.6967786697189624E-2</v>
      </c>
    </row>
    <row r="1168" spans="1:9" x14ac:dyDescent="0.75">
      <c r="A1168" s="1">
        <v>44049</v>
      </c>
      <c r="B1168">
        <v>42.2</v>
      </c>
      <c r="C1168">
        <v>42.42</v>
      </c>
      <c r="D1168">
        <v>42.87</v>
      </c>
      <c r="E1168">
        <v>41.89</v>
      </c>
      <c r="F1168" t="s">
        <v>1111</v>
      </c>
      <c r="G1168" s="2">
        <v>-5.4000000000000003E-3</v>
      </c>
      <c r="H1168">
        <f t="shared" si="36"/>
        <v>-5.4206929059626889E-3</v>
      </c>
      <c r="I1168">
        <f t="shared" si="37"/>
        <v>-5.435438172267301E-3</v>
      </c>
    </row>
    <row r="1169" spans="1:9" x14ac:dyDescent="0.75">
      <c r="A1169" s="1">
        <v>44048</v>
      </c>
      <c r="B1169">
        <v>42.43</v>
      </c>
      <c r="C1169">
        <v>41.8</v>
      </c>
      <c r="D1169">
        <v>43.68</v>
      </c>
      <c r="E1169">
        <v>41.66</v>
      </c>
      <c r="F1169" t="s">
        <v>1112</v>
      </c>
      <c r="G1169" s="2">
        <v>1.24E-2</v>
      </c>
      <c r="H1169">
        <f t="shared" si="36"/>
        <v>1.240753996659516E-2</v>
      </c>
      <c r="I1169">
        <f t="shared" si="37"/>
        <v>1.233119727725353E-2</v>
      </c>
    </row>
    <row r="1170" spans="1:9" x14ac:dyDescent="0.75">
      <c r="A1170" s="1">
        <v>44047</v>
      </c>
      <c r="B1170">
        <v>41.91</v>
      </c>
      <c r="C1170">
        <v>41.08</v>
      </c>
      <c r="D1170">
        <v>42.28</v>
      </c>
      <c r="E1170">
        <v>40.43</v>
      </c>
      <c r="F1170" t="s">
        <v>1113</v>
      </c>
      <c r="G1170" s="2">
        <v>1.4500000000000001E-2</v>
      </c>
      <c r="H1170">
        <f t="shared" si="36"/>
        <v>1.4524328249818308E-2</v>
      </c>
      <c r="I1170">
        <f t="shared" si="37"/>
        <v>1.4419860528306726E-2</v>
      </c>
    </row>
    <row r="1171" spans="1:9" x14ac:dyDescent="0.75">
      <c r="A1171" s="1">
        <v>44046</v>
      </c>
      <c r="B1171">
        <v>41.31</v>
      </c>
      <c r="C1171">
        <v>40.700000000000003</v>
      </c>
      <c r="D1171">
        <v>41.49</v>
      </c>
      <c r="E1171">
        <v>39.89</v>
      </c>
      <c r="F1171" t="s">
        <v>1114</v>
      </c>
      <c r="G1171" s="2">
        <v>1.8200000000000001E-2</v>
      </c>
      <c r="H1171">
        <f t="shared" si="36"/>
        <v>1.8240078876016811E-2</v>
      </c>
      <c r="I1171">
        <f t="shared" si="37"/>
        <v>1.8075724190317402E-2</v>
      </c>
    </row>
    <row r="1172" spans="1:9" x14ac:dyDescent="0.75">
      <c r="A1172" s="1">
        <v>44043</v>
      </c>
      <c r="B1172">
        <v>40.57</v>
      </c>
      <c r="C1172">
        <v>40.65</v>
      </c>
      <c r="D1172">
        <v>40.86</v>
      </c>
      <c r="E1172">
        <v>39.96</v>
      </c>
      <c r="F1172" t="s">
        <v>1115</v>
      </c>
      <c r="G1172" s="2">
        <v>8.2000000000000007E-3</v>
      </c>
      <c r="H1172">
        <f t="shared" si="36"/>
        <v>8.2007952286281879E-3</v>
      </c>
      <c r="I1172">
        <f t="shared" si="37"/>
        <v>8.1673514268721346E-3</v>
      </c>
    </row>
    <row r="1173" spans="1:9" x14ac:dyDescent="0.75">
      <c r="A1173" s="1">
        <v>44042</v>
      </c>
      <c r="B1173">
        <v>40.24</v>
      </c>
      <c r="C1173">
        <v>41.59</v>
      </c>
      <c r="D1173">
        <v>41.64</v>
      </c>
      <c r="E1173">
        <v>39</v>
      </c>
      <c r="F1173" t="s">
        <v>1116</v>
      </c>
      <c r="G1173" s="2">
        <v>-3.1300000000000001E-2</v>
      </c>
      <c r="H1173">
        <f t="shared" si="36"/>
        <v>-3.1295137217140036E-2</v>
      </c>
      <c r="I1173">
        <f t="shared" si="37"/>
        <v>-3.1795292656482427E-2</v>
      </c>
    </row>
    <row r="1174" spans="1:9" x14ac:dyDescent="0.75">
      <c r="A1174" s="1">
        <v>44041</v>
      </c>
      <c r="B1174">
        <v>41.54</v>
      </c>
      <c r="C1174">
        <v>41.29</v>
      </c>
      <c r="D1174">
        <v>41.81</v>
      </c>
      <c r="E1174">
        <v>41.19</v>
      </c>
      <c r="F1174" t="s">
        <v>1117</v>
      </c>
      <c r="G1174" s="2">
        <v>6.3E-3</v>
      </c>
      <c r="H1174">
        <f t="shared" si="36"/>
        <v>6.2984496124030521E-3</v>
      </c>
      <c r="I1174">
        <f t="shared" si="37"/>
        <v>6.2786972746588536E-3</v>
      </c>
    </row>
    <row r="1175" spans="1:9" x14ac:dyDescent="0.75">
      <c r="A1175" s="1">
        <v>44040</v>
      </c>
      <c r="B1175">
        <v>41.28</v>
      </c>
      <c r="C1175">
        <v>41.88</v>
      </c>
      <c r="D1175">
        <v>42.12</v>
      </c>
      <c r="E1175">
        <v>41.08</v>
      </c>
      <c r="F1175" t="s">
        <v>1118</v>
      </c>
      <c r="G1175" s="2">
        <v>-1.24E-2</v>
      </c>
      <c r="H1175">
        <f t="shared" si="36"/>
        <v>-1.2440191387559715E-2</v>
      </c>
      <c r="I1175">
        <f t="shared" si="37"/>
        <v>-1.2518218357403221E-2</v>
      </c>
    </row>
    <row r="1176" spans="1:9" x14ac:dyDescent="0.75">
      <c r="A1176" s="1">
        <v>44039</v>
      </c>
      <c r="B1176">
        <v>41.8</v>
      </c>
      <c r="C1176">
        <v>41.45</v>
      </c>
      <c r="D1176">
        <v>41.99</v>
      </c>
      <c r="E1176">
        <v>40.69</v>
      </c>
      <c r="F1176" t="s">
        <v>1119</v>
      </c>
      <c r="G1176" s="2">
        <v>8.3999999999999995E-3</v>
      </c>
      <c r="H1176">
        <f t="shared" si="36"/>
        <v>8.4439083232809246E-3</v>
      </c>
      <c r="I1176">
        <f t="shared" si="37"/>
        <v>8.4084579494065996E-3</v>
      </c>
    </row>
    <row r="1177" spans="1:9" x14ac:dyDescent="0.75">
      <c r="A1177" s="1">
        <v>44036</v>
      </c>
      <c r="B1177">
        <v>41.45</v>
      </c>
      <c r="C1177">
        <v>41.23</v>
      </c>
      <c r="D1177">
        <v>41.81</v>
      </c>
      <c r="E1177">
        <v>40.83</v>
      </c>
      <c r="F1177" t="s">
        <v>1120</v>
      </c>
      <c r="G1177" s="2">
        <v>5.7999999999999996E-3</v>
      </c>
      <c r="H1177">
        <f t="shared" si="36"/>
        <v>5.8238291676777961E-3</v>
      </c>
      <c r="I1177">
        <f t="shared" si="37"/>
        <v>5.8069362305780137E-3</v>
      </c>
    </row>
    <row r="1178" spans="1:9" x14ac:dyDescent="0.75">
      <c r="A1178" s="1">
        <v>44035</v>
      </c>
      <c r="B1178">
        <v>41.21</v>
      </c>
      <c r="C1178">
        <v>42.1</v>
      </c>
      <c r="D1178">
        <v>42.51</v>
      </c>
      <c r="E1178">
        <v>40.99</v>
      </c>
      <c r="F1178" t="s">
        <v>1121</v>
      </c>
      <c r="G1178" s="2">
        <v>-1.9699999999999999E-2</v>
      </c>
      <c r="H1178">
        <f t="shared" si="36"/>
        <v>-1.9743101807802053E-2</v>
      </c>
      <c r="I1178">
        <f t="shared" si="37"/>
        <v>-1.9940600658024332E-2</v>
      </c>
    </row>
    <row r="1179" spans="1:9" x14ac:dyDescent="0.75">
      <c r="A1179" s="1">
        <v>44034</v>
      </c>
      <c r="B1179">
        <v>42.04</v>
      </c>
      <c r="C1179">
        <v>41.68</v>
      </c>
      <c r="D1179">
        <v>42.16</v>
      </c>
      <c r="E1179">
        <v>41.31</v>
      </c>
      <c r="F1179" t="s">
        <v>1122</v>
      </c>
      <c r="G1179" s="2">
        <v>2.8999999999999998E-3</v>
      </c>
      <c r="H1179">
        <f t="shared" si="36"/>
        <v>2.8625954198472671E-3</v>
      </c>
      <c r="I1179">
        <f t="shared" si="37"/>
        <v>2.8585059959636717E-3</v>
      </c>
    </row>
    <row r="1180" spans="1:9" x14ac:dyDescent="0.75">
      <c r="A1180" s="1">
        <v>44033</v>
      </c>
      <c r="B1180">
        <v>41.92</v>
      </c>
      <c r="C1180">
        <v>40.799999999999997</v>
      </c>
      <c r="D1180">
        <v>42.51</v>
      </c>
      <c r="E1180">
        <v>40.74</v>
      </c>
      <c r="F1180" t="s">
        <v>1123</v>
      </c>
      <c r="G1180" s="2">
        <v>2.4400000000000002E-2</v>
      </c>
      <c r="H1180">
        <f t="shared" si="36"/>
        <v>2.4437927663734114E-2</v>
      </c>
      <c r="I1180">
        <f t="shared" si="37"/>
        <v>2.4144098929360969E-2</v>
      </c>
    </row>
    <row r="1181" spans="1:9" x14ac:dyDescent="0.75">
      <c r="A1181" s="1">
        <v>44032</v>
      </c>
      <c r="B1181">
        <v>40.92</v>
      </c>
      <c r="C1181">
        <v>40.770000000000003</v>
      </c>
      <c r="D1181">
        <v>41.02</v>
      </c>
      <c r="E1181">
        <v>39.97</v>
      </c>
      <c r="F1181" t="s">
        <v>1124</v>
      </c>
      <c r="G1181" s="2">
        <v>4.1999999999999997E-3</v>
      </c>
      <c r="H1181">
        <f t="shared" si="36"/>
        <v>4.1717791411043361E-3</v>
      </c>
      <c r="I1181">
        <f t="shared" si="37"/>
        <v>4.1631013965539483E-3</v>
      </c>
    </row>
    <row r="1182" spans="1:9" x14ac:dyDescent="0.75">
      <c r="A1182" s="1">
        <v>44029</v>
      </c>
      <c r="B1182">
        <v>40.75</v>
      </c>
      <c r="C1182">
        <v>40.9</v>
      </c>
      <c r="D1182">
        <v>41.05</v>
      </c>
      <c r="E1182">
        <v>40.18</v>
      </c>
      <c r="F1182" t="s">
        <v>1125</v>
      </c>
      <c r="G1182" s="2">
        <v>-4.4000000000000003E-3</v>
      </c>
      <c r="H1182">
        <f t="shared" si="36"/>
        <v>-4.3977522599560155E-3</v>
      </c>
      <c r="I1182">
        <f t="shared" si="37"/>
        <v>-4.4074508174398747E-3</v>
      </c>
    </row>
    <row r="1183" spans="1:9" x14ac:dyDescent="0.75">
      <c r="A1183" s="1">
        <v>44028</v>
      </c>
      <c r="B1183">
        <v>40.93</v>
      </c>
      <c r="C1183">
        <v>41.19</v>
      </c>
      <c r="D1183">
        <v>41.38</v>
      </c>
      <c r="E1183">
        <v>40.69</v>
      </c>
      <c r="F1183" t="s">
        <v>1126</v>
      </c>
      <c r="G1183" s="2">
        <v>-1.14E-2</v>
      </c>
      <c r="H1183">
        <f t="shared" si="36"/>
        <v>-1.1352657004830891E-2</v>
      </c>
      <c r="I1183">
        <f t="shared" si="37"/>
        <v>-1.1417590326957048E-2</v>
      </c>
    </row>
    <row r="1184" spans="1:9" x14ac:dyDescent="0.75">
      <c r="A1184" s="1">
        <v>44027</v>
      </c>
      <c r="B1184">
        <v>41.4</v>
      </c>
      <c r="C1184">
        <v>40.79</v>
      </c>
      <c r="D1184">
        <v>41.46</v>
      </c>
      <c r="E1184">
        <v>40.32</v>
      </c>
      <c r="F1184" t="s">
        <v>1127</v>
      </c>
      <c r="G1184" s="2">
        <v>2.1000000000000001E-2</v>
      </c>
      <c r="H1184">
        <f t="shared" si="36"/>
        <v>2.0961775585696708E-2</v>
      </c>
      <c r="I1184">
        <f t="shared" si="37"/>
        <v>2.0745100269846883E-2</v>
      </c>
    </row>
    <row r="1185" spans="1:9" x14ac:dyDescent="0.75">
      <c r="A1185" s="1">
        <v>44026</v>
      </c>
      <c r="B1185">
        <v>40.549999999999997</v>
      </c>
      <c r="C1185">
        <v>39.840000000000003</v>
      </c>
      <c r="D1185">
        <v>40.799999999999997</v>
      </c>
      <c r="E1185">
        <v>39.31</v>
      </c>
      <c r="F1185" t="s">
        <v>1128</v>
      </c>
      <c r="G1185" s="2">
        <v>5.7000000000000002E-3</v>
      </c>
      <c r="H1185">
        <f t="shared" si="36"/>
        <v>5.7043650793650019E-3</v>
      </c>
      <c r="I1185">
        <f t="shared" si="37"/>
        <v>5.6881567983085657E-3</v>
      </c>
    </row>
    <row r="1186" spans="1:9" x14ac:dyDescent="0.75">
      <c r="A1186" s="1">
        <v>44025</v>
      </c>
      <c r="B1186">
        <v>40.32</v>
      </c>
      <c r="C1186">
        <v>40.57</v>
      </c>
      <c r="D1186">
        <v>40.909999999999997</v>
      </c>
      <c r="E1186">
        <v>39.700000000000003</v>
      </c>
      <c r="F1186" t="s">
        <v>1129</v>
      </c>
      <c r="G1186" s="2">
        <v>-1.0800000000000001E-2</v>
      </c>
      <c r="H1186">
        <f t="shared" si="36"/>
        <v>-1.0794896957801711E-2</v>
      </c>
      <c r="I1186">
        <f t="shared" si="37"/>
        <v>-1.085358459141079E-2</v>
      </c>
    </row>
    <row r="1187" spans="1:9" x14ac:dyDescent="0.75">
      <c r="A1187" s="1">
        <v>44022</v>
      </c>
      <c r="B1187">
        <v>40.76</v>
      </c>
      <c r="C1187">
        <v>39.83</v>
      </c>
      <c r="D1187">
        <v>40.92</v>
      </c>
      <c r="E1187">
        <v>38.770000000000003</v>
      </c>
      <c r="F1187" t="s">
        <v>1130</v>
      </c>
      <c r="G1187" s="2">
        <v>2.3300000000000001E-2</v>
      </c>
      <c r="H1187">
        <f t="shared" si="36"/>
        <v>2.3349234245543554E-2</v>
      </c>
      <c r="I1187">
        <f t="shared" si="37"/>
        <v>2.3080811160971118E-2</v>
      </c>
    </row>
    <row r="1188" spans="1:9" x14ac:dyDescent="0.75">
      <c r="A1188" s="1">
        <v>44021</v>
      </c>
      <c r="B1188">
        <v>39.83</v>
      </c>
      <c r="C1188">
        <v>41.03</v>
      </c>
      <c r="D1188">
        <v>41.12</v>
      </c>
      <c r="E1188">
        <v>39.450000000000003</v>
      </c>
      <c r="F1188" t="s">
        <v>1131</v>
      </c>
      <c r="G1188" s="2">
        <v>-2.9499999999999998E-2</v>
      </c>
      <c r="H1188">
        <f t="shared" si="36"/>
        <v>-2.9483430799220296E-2</v>
      </c>
      <c r="I1188">
        <f t="shared" si="37"/>
        <v>-2.9926803668961298E-2</v>
      </c>
    </row>
    <row r="1189" spans="1:9" x14ac:dyDescent="0.75">
      <c r="A1189" s="1">
        <v>44020</v>
      </c>
      <c r="B1189">
        <v>41.04</v>
      </c>
      <c r="C1189">
        <v>40.57</v>
      </c>
      <c r="D1189">
        <v>41.16</v>
      </c>
      <c r="E1189">
        <v>40.4</v>
      </c>
      <c r="F1189" t="s">
        <v>1132</v>
      </c>
      <c r="G1189" s="2">
        <v>8.3999999999999995E-3</v>
      </c>
      <c r="H1189">
        <f t="shared" si="36"/>
        <v>8.353808353808263E-3</v>
      </c>
      <c r="I1189">
        <f t="shared" si="37"/>
        <v>8.3191084139646061E-3</v>
      </c>
    </row>
    <row r="1190" spans="1:9" x14ac:dyDescent="0.75">
      <c r="A1190" s="1">
        <v>44019</v>
      </c>
      <c r="B1190">
        <v>40.700000000000003</v>
      </c>
      <c r="C1190">
        <v>40.75</v>
      </c>
      <c r="D1190">
        <v>41.01</v>
      </c>
      <c r="E1190">
        <v>40</v>
      </c>
      <c r="F1190" t="s">
        <v>1133</v>
      </c>
      <c r="G1190" s="2">
        <v>-6.9999999999999999E-4</v>
      </c>
      <c r="H1190">
        <f t="shared" si="36"/>
        <v>-7.3655781978870696E-4</v>
      </c>
      <c r="I1190">
        <f t="shared" si="37"/>
        <v>-7.3682921177170612E-4</v>
      </c>
    </row>
    <row r="1191" spans="1:9" x14ac:dyDescent="0.75">
      <c r="A1191" s="1">
        <v>44018</v>
      </c>
      <c r="B1191">
        <v>40.729999999999997</v>
      </c>
      <c r="C1191">
        <v>40.43</v>
      </c>
      <c r="D1191">
        <v>41.19</v>
      </c>
      <c r="E1191">
        <v>39.950000000000003</v>
      </c>
      <c r="F1191" t="s">
        <v>1134</v>
      </c>
      <c r="G1191" s="2">
        <v>1.12E-2</v>
      </c>
      <c r="H1191">
        <f t="shared" si="36"/>
        <v>1.1171797418073379E-2</v>
      </c>
      <c r="I1191">
        <f t="shared" si="37"/>
        <v>1.1109853809959574E-2</v>
      </c>
    </row>
    <row r="1192" spans="1:9" x14ac:dyDescent="0.75">
      <c r="A1192" s="1">
        <v>44015</v>
      </c>
      <c r="B1192">
        <v>40.28</v>
      </c>
      <c r="C1192">
        <v>40.229999999999997</v>
      </c>
      <c r="D1192">
        <v>40.5</v>
      </c>
      <c r="E1192">
        <v>39.86</v>
      </c>
      <c r="G1192" s="2">
        <v>-1.18E-2</v>
      </c>
      <c r="H1192">
        <f t="shared" si="36"/>
        <v>-1.177625122669276E-2</v>
      </c>
      <c r="I1192">
        <f t="shared" si="37"/>
        <v>-1.1846140504162474E-2</v>
      </c>
    </row>
    <row r="1193" spans="1:9" x14ac:dyDescent="0.75">
      <c r="A1193" s="1">
        <v>44014</v>
      </c>
      <c r="B1193">
        <v>40.76</v>
      </c>
      <c r="C1193">
        <v>39.85</v>
      </c>
      <c r="D1193">
        <v>40.840000000000003</v>
      </c>
      <c r="E1193">
        <v>39.57</v>
      </c>
      <c r="F1193" t="s">
        <v>1135</v>
      </c>
      <c r="G1193" s="2">
        <v>2.1000000000000001E-2</v>
      </c>
      <c r="H1193">
        <f t="shared" si="36"/>
        <v>2.104208416833658E-2</v>
      </c>
      <c r="I1193">
        <f t="shared" si="37"/>
        <v>2.0823756911260698E-2</v>
      </c>
    </row>
    <row r="1194" spans="1:9" x14ac:dyDescent="0.75">
      <c r="A1194" s="1">
        <v>44013</v>
      </c>
      <c r="B1194">
        <v>39.92</v>
      </c>
      <c r="C1194">
        <v>39.880000000000003</v>
      </c>
      <c r="D1194">
        <v>40.61</v>
      </c>
      <c r="E1194">
        <v>39.11</v>
      </c>
      <c r="F1194" t="s">
        <v>1136</v>
      </c>
      <c r="G1194" s="2">
        <v>1.47E-2</v>
      </c>
      <c r="H1194">
        <f t="shared" si="36"/>
        <v>1.4743263853584094E-2</v>
      </c>
      <c r="I1194">
        <f t="shared" si="37"/>
        <v>1.4635638482350121E-2</v>
      </c>
    </row>
    <row r="1195" spans="1:9" x14ac:dyDescent="0.75">
      <c r="A1195" s="1">
        <v>44012</v>
      </c>
      <c r="B1195">
        <v>39.340000000000003</v>
      </c>
      <c r="C1195">
        <v>39.76</v>
      </c>
      <c r="D1195">
        <v>40.119999999999997</v>
      </c>
      <c r="E1195">
        <v>38.96</v>
      </c>
      <c r="F1195" t="s">
        <v>1137</v>
      </c>
      <c r="G1195" s="2">
        <v>-1.18E-2</v>
      </c>
      <c r="H1195">
        <f t="shared" si="36"/>
        <v>-1.1806078874654581E-2</v>
      </c>
      <c r="I1195">
        <f t="shared" si="37"/>
        <v>-1.1876324051312779E-2</v>
      </c>
    </row>
    <row r="1196" spans="1:9" x14ac:dyDescent="0.75">
      <c r="A1196" s="1">
        <v>44011</v>
      </c>
      <c r="B1196">
        <v>39.81</v>
      </c>
      <c r="C1196">
        <v>38.119999999999997</v>
      </c>
      <c r="D1196">
        <v>39.99</v>
      </c>
      <c r="E1196">
        <v>37.69</v>
      </c>
      <c r="F1196" t="s">
        <v>1138</v>
      </c>
      <c r="G1196" s="2">
        <v>0.03</v>
      </c>
      <c r="H1196">
        <f t="shared" si="36"/>
        <v>3.0012936610608117E-2</v>
      </c>
      <c r="I1196">
        <f t="shared" si="37"/>
        <v>2.9571361978794952E-2</v>
      </c>
    </row>
    <row r="1197" spans="1:9" x14ac:dyDescent="0.75">
      <c r="A1197" s="1">
        <v>44008</v>
      </c>
      <c r="B1197">
        <v>38.65</v>
      </c>
      <c r="C1197">
        <v>39.229999999999997</v>
      </c>
      <c r="D1197">
        <v>39.5</v>
      </c>
      <c r="E1197">
        <v>37.96</v>
      </c>
      <c r="F1197" t="s">
        <v>1139</v>
      </c>
      <c r="G1197" s="2">
        <v>-6.7000000000000002E-3</v>
      </c>
      <c r="H1197">
        <f t="shared" si="36"/>
        <v>-6.682086867129222E-3</v>
      </c>
      <c r="I1197">
        <f t="shared" si="37"/>
        <v>-6.7045119630311971E-3</v>
      </c>
    </row>
    <row r="1198" spans="1:9" x14ac:dyDescent="0.75">
      <c r="A1198" s="1">
        <v>44007</v>
      </c>
      <c r="B1198">
        <v>38.909999999999997</v>
      </c>
      <c r="C1198">
        <v>38.26</v>
      </c>
      <c r="D1198">
        <v>39.380000000000003</v>
      </c>
      <c r="E1198">
        <v>37.32</v>
      </c>
      <c r="F1198" t="s">
        <v>1140</v>
      </c>
      <c r="G1198" s="2">
        <v>1.83E-2</v>
      </c>
      <c r="H1198">
        <f t="shared" si="36"/>
        <v>1.8319811567652337E-2</v>
      </c>
      <c r="I1198">
        <f t="shared" si="37"/>
        <v>1.8154025537653565E-2</v>
      </c>
    </row>
    <row r="1199" spans="1:9" x14ac:dyDescent="0.75">
      <c r="A1199" s="1">
        <v>44006</v>
      </c>
      <c r="B1199">
        <v>38.21</v>
      </c>
      <c r="C1199">
        <v>40.159999999999997</v>
      </c>
      <c r="D1199">
        <v>40.68</v>
      </c>
      <c r="E1199">
        <v>37.520000000000003</v>
      </c>
      <c r="F1199" t="s">
        <v>1141</v>
      </c>
      <c r="G1199" s="2">
        <v>-5.6800000000000003E-2</v>
      </c>
      <c r="H1199">
        <f t="shared" si="36"/>
        <v>-5.6776104665514623E-2</v>
      </c>
      <c r="I1199">
        <f t="shared" si="37"/>
        <v>-5.845159575579055E-2</v>
      </c>
    </row>
    <row r="1200" spans="1:9" x14ac:dyDescent="0.75">
      <c r="A1200" s="1">
        <v>44005</v>
      </c>
      <c r="B1200">
        <v>40.51</v>
      </c>
      <c r="C1200">
        <v>40.78</v>
      </c>
      <c r="D1200">
        <v>41.74</v>
      </c>
      <c r="E1200">
        <v>39.9</v>
      </c>
      <c r="F1200" t="s">
        <v>1142</v>
      </c>
      <c r="G1200" s="2">
        <v>-5.4000000000000003E-3</v>
      </c>
      <c r="H1200">
        <f t="shared" si="36"/>
        <v>-5.4014240117848979E-3</v>
      </c>
      <c r="I1200">
        <f t="shared" si="37"/>
        <v>-5.4160644457219914E-3</v>
      </c>
    </row>
    <row r="1201" spans="1:9" x14ac:dyDescent="0.75">
      <c r="A1201" s="1">
        <v>44004</v>
      </c>
      <c r="B1201">
        <v>40.729999999999997</v>
      </c>
      <c r="C1201">
        <v>39.020000000000003</v>
      </c>
      <c r="D1201">
        <v>40.770000000000003</v>
      </c>
      <c r="E1201">
        <v>39</v>
      </c>
      <c r="F1201" t="s">
        <v>1143</v>
      </c>
      <c r="G1201" s="2">
        <v>2.2599999999999999E-2</v>
      </c>
      <c r="H1201">
        <f t="shared" si="36"/>
        <v>2.259603314084857E-2</v>
      </c>
      <c r="I1201">
        <f t="shared" si="37"/>
        <v>2.2344524466768319E-2</v>
      </c>
    </row>
    <row r="1202" spans="1:9" x14ac:dyDescent="0.75">
      <c r="A1202" s="1">
        <v>44001</v>
      </c>
      <c r="B1202">
        <v>39.83</v>
      </c>
      <c r="C1202">
        <v>39.03</v>
      </c>
      <c r="D1202">
        <v>40.6</v>
      </c>
      <c r="E1202">
        <v>38.51</v>
      </c>
      <c r="F1202" t="s">
        <v>1144</v>
      </c>
      <c r="G1202" s="2">
        <v>0.02</v>
      </c>
      <c r="H1202">
        <f t="shared" si="36"/>
        <v>1.9974391805377752E-2</v>
      </c>
      <c r="I1202">
        <f t="shared" si="37"/>
        <v>1.9777520907858018E-2</v>
      </c>
    </row>
    <row r="1203" spans="1:9" x14ac:dyDescent="0.75">
      <c r="A1203" s="1">
        <v>44000</v>
      </c>
      <c r="B1203">
        <v>39.049999999999997</v>
      </c>
      <c r="C1203">
        <v>38</v>
      </c>
      <c r="D1203">
        <v>39.17</v>
      </c>
      <c r="E1203">
        <v>37.4</v>
      </c>
      <c r="F1203" t="s">
        <v>1145</v>
      </c>
      <c r="G1203" s="2">
        <v>2.1999999999999999E-2</v>
      </c>
      <c r="H1203">
        <f t="shared" si="36"/>
        <v>2.198377388118284E-2</v>
      </c>
      <c r="I1203">
        <f t="shared" si="37"/>
        <v>2.1745614826886233E-2</v>
      </c>
    </row>
    <row r="1204" spans="1:9" x14ac:dyDescent="0.75">
      <c r="A1204" s="1">
        <v>43999</v>
      </c>
      <c r="B1204">
        <v>38.21</v>
      </c>
      <c r="C1204">
        <v>38.21</v>
      </c>
      <c r="D1204">
        <v>39.01</v>
      </c>
      <c r="E1204">
        <v>37.479999999999997</v>
      </c>
      <c r="F1204" t="s">
        <v>1146</v>
      </c>
      <c r="G1204" s="2">
        <v>-1.14E-2</v>
      </c>
      <c r="H1204">
        <f t="shared" si="36"/>
        <v>-1.1384217335058157E-2</v>
      </c>
      <c r="I1204">
        <f t="shared" si="37"/>
        <v>-1.1449513574622292E-2</v>
      </c>
    </row>
    <row r="1205" spans="1:9" x14ac:dyDescent="0.75">
      <c r="A1205" s="1">
        <v>43998</v>
      </c>
      <c r="B1205">
        <v>38.65</v>
      </c>
      <c r="C1205">
        <v>37.380000000000003</v>
      </c>
      <c r="D1205">
        <v>39.36</v>
      </c>
      <c r="E1205">
        <v>36.67</v>
      </c>
      <c r="F1205" t="s">
        <v>1147</v>
      </c>
      <c r="G1205" s="2">
        <v>3.2599999999999997E-2</v>
      </c>
      <c r="H1205">
        <f t="shared" si="36"/>
        <v>3.2594175794816958E-2</v>
      </c>
      <c r="I1205">
        <f t="shared" si="37"/>
        <v>3.2074253117093318E-2</v>
      </c>
    </row>
    <row r="1206" spans="1:9" x14ac:dyDescent="0.75">
      <c r="A1206" s="1">
        <v>43997</v>
      </c>
      <c r="B1206">
        <v>37.43</v>
      </c>
      <c r="C1206">
        <v>36.26</v>
      </c>
      <c r="D1206">
        <v>37.54</v>
      </c>
      <c r="E1206">
        <v>34.659999999999997</v>
      </c>
      <c r="F1206" t="s">
        <v>1148</v>
      </c>
      <c r="G1206" s="2">
        <v>2.52E-2</v>
      </c>
      <c r="H1206">
        <f t="shared" si="36"/>
        <v>2.5198575732676028E-2</v>
      </c>
      <c r="I1206">
        <f t="shared" si="37"/>
        <v>2.4886326248792154E-2</v>
      </c>
    </row>
    <row r="1207" spans="1:9" x14ac:dyDescent="0.75">
      <c r="A1207" s="1">
        <v>43994</v>
      </c>
      <c r="B1207">
        <v>36.51</v>
      </c>
      <c r="C1207">
        <v>36.46</v>
      </c>
      <c r="D1207">
        <v>37.22</v>
      </c>
      <c r="E1207">
        <v>34.74</v>
      </c>
      <c r="F1207" t="s">
        <v>1126</v>
      </c>
      <c r="G1207" s="2">
        <v>-1.6000000000000001E-3</v>
      </c>
      <c r="H1207">
        <f t="shared" si="36"/>
        <v>-1.6406890894176175E-3</v>
      </c>
      <c r="I1207">
        <f t="shared" si="37"/>
        <v>-1.6420364937444099E-3</v>
      </c>
    </row>
    <row r="1208" spans="1:9" x14ac:dyDescent="0.75">
      <c r="A1208" s="1">
        <v>43993</v>
      </c>
      <c r="B1208">
        <v>36.57</v>
      </c>
      <c r="C1208">
        <v>39.25</v>
      </c>
      <c r="D1208">
        <v>39.25</v>
      </c>
      <c r="E1208">
        <v>35.68</v>
      </c>
      <c r="F1208" t="s">
        <v>29</v>
      </c>
      <c r="G1208" s="2">
        <v>-8.0699999999999994E-2</v>
      </c>
      <c r="H1208">
        <f t="shared" si="36"/>
        <v>-8.0693815987933654E-2</v>
      </c>
      <c r="I1208">
        <f t="shared" si="37"/>
        <v>-8.4136041264536346E-2</v>
      </c>
    </row>
    <row r="1209" spans="1:9" x14ac:dyDescent="0.75">
      <c r="A1209" s="1">
        <v>43992</v>
      </c>
      <c r="B1209">
        <v>39.78</v>
      </c>
      <c r="C1209">
        <v>38.72</v>
      </c>
      <c r="D1209">
        <v>40.07</v>
      </c>
      <c r="E1209">
        <v>37.979999999999997</v>
      </c>
      <c r="F1209" t="s">
        <v>1149</v>
      </c>
      <c r="G1209" s="2">
        <v>1.5800000000000002E-2</v>
      </c>
      <c r="H1209">
        <f t="shared" si="36"/>
        <v>1.5832482124617072E-2</v>
      </c>
      <c r="I1209">
        <f t="shared" si="37"/>
        <v>1.5708455763516517E-2</v>
      </c>
    </row>
    <row r="1210" spans="1:9" x14ac:dyDescent="0.75">
      <c r="A1210" s="1">
        <v>43991</v>
      </c>
      <c r="B1210">
        <v>39.159999999999997</v>
      </c>
      <c r="C1210">
        <v>38.51</v>
      </c>
      <c r="D1210">
        <v>39.31</v>
      </c>
      <c r="E1210">
        <v>37.33</v>
      </c>
      <c r="F1210" t="s">
        <v>1150</v>
      </c>
      <c r="G1210" s="2">
        <v>1.9E-2</v>
      </c>
      <c r="H1210">
        <f t="shared" si="36"/>
        <v>1.8995576372625472E-2</v>
      </c>
      <c r="I1210">
        <f t="shared" si="37"/>
        <v>1.8817413085557011E-2</v>
      </c>
    </row>
    <row r="1211" spans="1:9" x14ac:dyDescent="0.75">
      <c r="A1211" s="1">
        <v>43990</v>
      </c>
      <c r="B1211">
        <v>38.43</v>
      </c>
      <c r="C1211">
        <v>39.67</v>
      </c>
      <c r="D1211">
        <v>40.69</v>
      </c>
      <c r="E1211">
        <v>38.24</v>
      </c>
      <c r="F1211" t="s">
        <v>1151</v>
      </c>
      <c r="G1211" s="2">
        <v>-3.44E-2</v>
      </c>
      <c r="H1211">
        <f t="shared" si="36"/>
        <v>-3.4422110552763757E-2</v>
      </c>
      <c r="I1211">
        <f t="shared" si="37"/>
        <v>-3.5028507713639419E-2</v>
      </c>
    </row>
    <row r="1212" spans="1:9" x14ac:dyDescent="0.75">
      <c r="A1212" s="1">
        <v>43987</v>
      </c>
      <c r="B1212">
        <v>39.799999999999997</v>
      </c>
      <c r="C1212">
        <v>37.64</v>
      </c>
      <c r="D1212">
        <v>39.89</v>
      </c>
      <c r="E1212">
        <v>37.35</v>
      </c>
      <c r="F1212" t="s">
        <v>1152</v>
      </c>
      <c r="G1212" s="2">
        <v>5.5100000000000003E-2</v>
      </c>
      <c r="H1212">
        <f t="shared" si="36"/>
        <v>5.5143160127253406E-2</v>
      </c>
      <c r="I1212">
        <f t="shared" si="37"/>
        <v>5.3676454525135232E-2</v>
      </c>
    </row>
    <row r="1213" spans="1:9" x14ac:dyDescent="0.75">
      <c r="A1213" s="1">
        <v>43986</v>
      </c>
      <c r="B1213">
        <v>37.72</v>
      </c>
      <c r="C1213">
        <v>37.06</v>
      </c>
      <c r="D1213">
        <v>37.909999999999997</v>
      </c>
      <c r="E1213">
        <v>36.71</v>
      </c>
      <c r="F1213" t="s">
        <v>1153</v>
      </c>
      <c r="G1213" s="2">
        <v>3.5000000000000001E-3</v>
      </c>
      <c r="H1213">
        <f t="shared" si="36"/>
        <v>3.4583665868580856E-3</v>
      </c>
      <c r="I1213">
        <f t="shared" si="37"/>
        <v>3.4524001891700776E-3</v>
      </c>
    </row>
    <row r="1214" spans="1:9" x14ac:dyDescent="0.75">
      <c r="A1214" s="1">
        <v>43985</v>
      </c>
      <c r="B1214">
        <v>37.590000000000003</v>
      </c>
      <c r="C1214">
        <v>37.090000000000003</v>
      </c>
      <c r="D1214">
        <v>38.4</v>
      </c>
      <c r="E1214">
        <v>36.24</v>
      </c>
      <c r="F1214" t="s">
        <v>1154</v>
      </c>
      <c r="G1214" s="2">
        <v>1.43E-2</v>
      </c>
      <c r="H1214">
        <f t="shared" si="36"/>
        <v>1.4301133297355668E-2</v>
      </c>
      <c r="I1214">
        <f t="shared" si="37"/>
        <v>1.4199836718872979E-2</v>
      </c>
    </row>
    <row r="1215" spans="1:9" x14ac:dyDescent="0.75">
      <c r="A1215" s="1">
        <v>43984</v>
      </c>
      <c r="B1215">
        <v>37.06</v>
      </c>
      <c r="C1215">
        <v>35.94</v>
      </c>
      <c r="D1215">
        <v>37.29</v>
      </c>
      <c r="E1215">
        <v>35.64</v>
      </c>
      <c r="F1215" t="s">
        <v>1155</v>
      </c>
      <c r="G1215" s="2">
        <v>3.5499999999999997E-2</v>
      </c>
      <c r="H1215">
        <f t="shared" si="36"/>
        <v>3.5484772282760639E-2</v>
      </c>
      <c r="I1215">
        <f t="shared" si="37"/>
        <v>3.4869696079279436E-2</v>
      </c>
    </row>
    <row r="1216" spans="1:9" x14ac:dyDescent="0.75">
      <c r="A1216" s="1">
        <v>43983</v>
      </c>
      <c r="B1216">
        <v>35.79</v>
      </c>
      <c r="C1216">
        <v>35.619999999999997</v>
      </c>
      <c r="D1216">
        <v>36.229999999999997</v>
      </c>
      <c r="E1216">
        <v>34.65</v>
      </c>
      <c r="F1216" t="s">
        <v>1156</v>
      </c>
      <c r="G1216" s="2">
        <v>-1.4E-3</v>
      </c>
      <c r="H1216">
        <f t="shared" si="36"/>
        <v>-1.3950892857144046E-3</v>
      </c>
      <c r="I1216">
        <f t="shared" si="37"/>
        <v>-1.3960633287954125E-3</v>
      </c>
    </row>
    <row r="1217" spans="1:9" x14ac:dyDescent="0.75">
      <c r="A1217" s="1">
        <v>43980</v>
      </c>
      <c r="B1217">
        <v>35.840000000000003</v>
      </c>
      <c r="C1217">
        <v>34.06</v>
      </c>
      <c r="D1217">
        <v>36.11</v>
      </c>
      <c r="E1217">
        <v>32.76</v>
      </c>
      <c r="F1217" t="s">
        <v>1157</v>
      </c>
      <c r="G1217" s="2">
        <v>5.2299999999999999E-2</v>
      </c>
      <c r="H1217">
        <f t="shared" si="36"/>
        <v>5.2260716382853817E-2</v>
      </c>
      <c r="I1217">
        <f t="shared" si="37"/>
        <v>5.0940912872187605E-2</v>
      </c>
    </row>
    <row r="1218" spans="1:9" x14ac:dyDescent="0.75">
      <c r="A1218" s="1">
        <v>43979</v>
      </c>
      <c r="B1218">
        <v>34.06</v>
      </c>
      <c r="C1218">
        <v>32.479999999999997</v>
      </c>
      <c r="D1218">
        <v>34.57</v>
      </c>
      <c r="E1218">
        <v>31.63</v>
      </c>
      <c r="F1218" t="s">
        <v>1158</v>
      </c>
      <c r="G1218" s="2">
        <v>2.5000000000000001E-2</v>
      </c>
      <c r="H1218">
        <f t="shared" si="36"/>
        <v>2.4977430033102783E-2</v>
      </c>
      <c r="I1218">
        <f t="shared" si="37"/>
        <v>2.4670592868039399E-2</v>
      </c>
    </row>
    <row r="1219" spans="1:9" x14ac:dyDescent="0.75">
      <c r="A1219" s="1">
        <v>43978</v>
      </c>
      <c r="B1219">
        <v>33.229999999999997</v>
      </c>
      <c r="C1219">
        <v>34.54</v>
      </c>
      <c r="D1219">
        <v>34.700000000000003</v>
      </c>
      <c r="E1219">
        <v>32.200000000000003</v>
      </c>
      <c r="F1219" t="s">
        <v>1159</v>
      </c>
      <c r="G1219" s="2">
        <v>-4.4299999999999999E-2</v>
      </c>
      <c r="H1219">
        <f t="shared" ref="H1219:H1282" si="38">(B1219-B1220)/B1220</f>
        <v>-4.4291055507621691E-2</v>
      </c>
      <c r="I1219">
        <f t="shared" ref="I1219:I1282" si="39">LN(B1219/B1220)</f>
        <v>-4.5301863653267306E-2</v>
      </c>
    </row>
    <row r="1220" spans="1:9" x14ac:dyDescent="0.75">
      <c r="A1220" s="1">
        <v>43977</v>
      </c>
      <c r="B1220">
        <v>34.770000000000003</v>
      </c>
      <c r="C1220">
        <v>33.770000000000003</v>
      </c>
      <c r="D1220">
        <v>35.159999999999997</v>
      </c>
      <c r="E1220">
        <v>32.9</v>
      </c>
      <c r="F1220" t="s">
        <v>1160</v>
      </c>
      <c r="G1220" s="2">
        <v>2.5100000000000001E-2</v>
      </c>
      <c r="H1220">
        <f t="shared" si="38"/>
        <v>2.5058962264150983E-2</v>
      </c>
      <c r="I1220">
        <f t="shared" si="39"/>
        <v>2.4750135096067816E-2</v>
      </c>
    </row>
    <row r="1221" spans="1:9" x14ac:dyDescent="0.75">
      <c r="A1221" s="1">
        <v>43976</v>
      </c>
      <c r="B1221">
        <v>33.92</v>
      </c>
      <c r="C1221">
        <v>32.92</v>
      </c>
      <c r="D1221">
        <v>34.18</v>
      </c>
      <c r="E1221">
        <v>32.72</v>
      </c>
      <c r="G1221" s="2">
        <v>3.1E-2</v>
      </c>
      <c r="H1221">
        <f t="shared" si="38"/>
        <v>3.1003039513677909E-2</v>
      </c>
      <c r="I1221">
        <f t="shared" si="39"/>
        <v>3.0532153152376295E-2</v>
      </c>
    </row>
    <row r="1222" spans="1:9" x14ac:dyDescent="0.75">
      <c r="A1222" s="1">
        <v>43975</v>
      </c>
      <c r="B1222">
        <v>32.9</v>
      </c>
      <c r="C1222">
        <v>33.380000000000003</v>
      </c>
      <c r="D1222">
        <v>33.42</v>
      </c>
      <c r="E1222">
        <v>32.5</v>
      </c>
      <c r="G1222" s="2">
        <v>-2.23E-2</v>
      </c>
      <c r="H1222">
        <f t="shared" si="38"/>
        <v>-2.2288261515601784E-2</v>
      </c>
      <c r="I1222">
        <f t="shared" si="39"/>
        <v>-2.2540398319410637E-2</v>
      </c>
    </row>
    <row r="1223" spans="1:9" x14ac:dyDescent="0.75">
      <c r="A1223" s="1">
        <v>43973</v>
      </c>
      <c r="B1223">
        <v>33.65</v>
      </c>
      <c r="C1223">
        <v>34.409999999999997</v>
      </c>
      <c r="D1223">
        <v>34.479999999999997</v>
      </c>
      <c r="E1223">
        <v>31.28</v>
      </c>
      <c r="F1223" t="s">
        <v>1161</v>
      </c>
      <c r="G1223" s="2">
        <v>-2.01E-2</v>
      </c>
      <c r="H1223">
        <f t="shared" si="38"/>
        <v>-2.009318578916729E-2</v>
      </c>
      <c r="I1223">
        <f t="shared" si="39"/>
        <v>-2.0297799378592812E-2</v>
      </c>
    </row>
    <row r="1224" spans="1:9" x14ac:dyDescent="0.75">
      <c r="A1224" s="1">
        <v>43972</v>
      </c>
      <c r="B1224">
        <v>34.340000000000003</v>
      </c>
      <c r="C1224">
        <v>33.93</v>
      </c>
      <c r="D1224">
        <v>35.049999999999997</v>
      </c>
      <c r="E1224">
        <v>33.78</v>
      </c>
      <c r="F1224" t="s">
        <v>1162</v>
      </c>
      <c r="G1224" s="2">
        <v>1.18E-2</v>
      </c>
      <c r="H1224">
        <f t="shared" si="38"/>
        <v>1.1785503830288913E-2</v>
      </c>
      <c r="I1224">
        <f t="shared" si="39"/>
        <v>1.1716595663249448E-2</v>
      </c>
    </row>
    <row r="1225" spans="1:9" x14ac:dyDescent="0.75">
      <c r="A1225" s="1">
        <v>43971</v>
      </c>
      <c r="B1225">
        <v>33.94</v>
      </c>
      <c r="C1225">
        <v>32.409999999999997</v>
      </c>
      <c r="D1225">
        <v>34.22</v>
      </c>
      <c r="E1225">
        <v>32.11</v>
      </c>
      <c r="F1225" t="s">
        <v>1163</v>
      </c>
      <c r="G1225" s="2">
        <v>6.2E-2</v>
      </c>
      <c r="H1225">
        <f t="shared" si="38"/>
        <v>6.1952440550688263E-2</v>
      </c>
      <c r="I1225">
        <f t="shared" si="39"/>
        <v>6.0109138908006149E-2</v>
      </c>
    </row>
    <row r="1226" spans="1:9" x14ac:dyDescent="0.75">
      <c r="A1226" s="1">
        <v>43970</v>
      </c>
      <c r="B1226">
        <v>31.96</v>
      </c>
      <c r="C1226">
        <v>32.39</v>
      </c>
      <c r="D1226">
        <v>32.909999999999997</v>
      </c>
      <c r="E1226">
        <v>31.13</v>
      </c>
      <c r="F1226" t="s">
        <v>1164</v>
      </c>
      <c r="G1226" s="2">
        <v>9.7999999999999997E-3</v>
      </c>
      <c r="H1226">
        <f t="shared" si="38"/>
        <v>9.7946287519747963E-3</v>
      </c>
      <c r="I1226">
        <f t="shared" si="39"/>
        <v>9.746972307888787E-3</v>
      </c>
    </row>
    <row r="1227" spans="1:9" x14ac:dyDescent="0.75">
      <c r="A1227" s="1">
        <v>43969</v>
      </c>
      <c r="B1227">
        <v>31.65</v>
      </c>
      <c r="C1227">
        <v>29.81</v>
      </c>
      <c r="D1227">
        <v>33.1</v>
      </c>
      <c r="E1227">
        <v>29.55</v>
      </c>
      <c r="F1227" t="s">
        <v>1165</v>
      </c>
      <c r="G1227" s="2">
        <v>7.22E-2</v>
      </c>
      <c r="H1227">
        <f t="shared" si="38"/>
        <v>7.2154471544715409E-2</v>
      </c>
      <c r="I1227">
        <f t="shared" si="39"/>
        <v>6.9670148857913339E-2</v>
      </c>
    </row>
    <row r="1228" spans="1:9" x14ac:dyDescent="0.75">
      <c r="A1228" s="1">
        <v>43966</v>
      </c>
      <c r="B1228">
        <v>29.52</v>
      </c>
      <c r="C1228">
        <v>28.02</v>
      </c>
      <c r="D1228">
        <v>29.82</v>
      </c>
      <c r="E1228">
        <v>27.53</v>
      </c>
      <c r="F1228" t="s">
        <v>1166</v>
      </c>
      <c r="G1228" s="2">
        <v>5.8799999999999998E-2</v>
      </c>
      <c r="H1228">
        <f t="shared" si="38"/>
        <v>5.8823529411764726E-2</v>
      </c>
      <c r="I1228">
        <f t="shared" si="39"/>
        <v>5.7158413839948623E-2</v>
      </c>
    </row>
    <row r="1229" spans="1:9" x14ac:dyDescent="0.75">
      <c r="A1229" s="1">
        <v>43965</v>
      </c>
      <c r="B1229">
        <v>27.88</v>
      </c>
      <c r="C1229">
        <v>25.97</v>
      </c>
      <c r="D1229">
        <v>28.27</v>
      </c>
      <c r="E1229">
        <v>25.56</v>
      </c>
      <c r="F1229" t="s">
        <v>1167</v>
      </c>
      <c r="G1229" s="2">
        <v>8.5699999999999998E-2</v>
      </c>
      <c r="H1229">
        <f t="shared" si="38"/>
        <v>8.5669781931464142E-2</v>
      </c>
      <c r="I1229">
        <f t="shared" si="39"/>
        <v>8.2197107070562769E-2</v>
      </c>
    </row>
    <row r="1230" spans="1:9" x14ac:dyDescent="0.75">
      <c r="A1230" s="1">
        <v>43964</v>
      </c>
      <c r="B1230">
        <v>25.68</v>
      </c>
      <c r="C1230">
        <v>25.8</v>
      </c>
      <c r="D1230">
        <v>26.96</v>
      </c>
      <c r="E1230">
        <v>25.25</v>
      </c>
      <c r="F1230" t="s">
        <v>1168</v>
      </c>
      <c r="G1230" s="2">
        <v>-2.47E-2</v>
      </c>
      <c r="H1230">
        <f t="shared" si="38"/>
        <v>-2.4686669198632685E-2</v>
      </c>
      <c r="I1230">
        <f t="shared" si="39"/>
        <v>-2.4996494686457586E-2</v>
      </c>
    </row>
    <row r="1231" spans="1:9" x14ac:dyDescent="0.75">
      <c r="A1231" s="1">
        <v>43963</v>
      </c>
      <c r="B1231">
        <v>26.33</v>
      </c>
      <c r="C1231">
        <v>25.39</v>
      </c>
      <c r="D1231">
        <v>26.87</v>
      </c>
      <c r="E1231">
        <v>25.15</v>
      </c>
      <c r="F1231" t="s">
        <v>1169</v>
      </c>
      <c r="G1231" s="2">
        <v>4.9799999999999997E-2</v>
      </c>
      <c r="H1231">
        <f t="shared" si="38"/>
        <v>4.9840510366826157E-2</v>
      </c>
      <c r="I1231">
        <f t="shared" si="39"/>
        <v>4.863825774349817E-2</v>
      </c>
    </row>
    <row r="1232" spans="1:9" x14ac:dyDescent="0.75">
      <c r="A1232" s="1">
        <v>43962</v>
      </c>
      <c r="B1232">
        <v>25.08</v>
      </c>
      <c r="C1232">
        <v>25.91</v>
      </c>
      <c r="D1232">
        <v>26.73</v>
      </c>
      <c r="E1232">
        <v>24.79</v>
      </c>
      <c r="F1232" t="s">
        <v>1170</v>
      </c>
      <c r="G1232" s="2">
        <v>-4.1700000000000001E-2</v>
      </c>
      <c r="H1232">
        <f t="shared" si="38"/>
        <v>-4.1650745128009301E-2</v>
      </c>
      <c r="I1232">
        <f t="shared" si="39"/>
        <v>-4.2543000777334632E-2</v>
      </c>
    </row>
    <row r="1233" spans="1:9" x14ac:dyDescent="0.75">
      <c r="A1233" s="1">
        <v>43959</v>
      </c>
      <c r="B1233">
        <v>26.17</v>
      </c>
      <c r="C1233">
        <v>24.81</v>
      </c>
      <c r="D1233">
        <v>26.29</v>
      </c>
      <c r="E1233">
        <v>24.73</v>
      </c>
      <c r="F1233" t="s">
        <v>1171</v>
      </c>
      <c r="G1233" s="2">
        <v>5.3999999999999999E-2</v>
      </c>
      <c r="H1233">
        <f t="shared" si="38"/>
        <v>5.396697543294416E-2</v>
      </c>
      <c r="I1233">
        <f t="shared" si="39"/>
        <v>5.2561117021979374E-2</v>
      </c>
    </row>
    <row r="1234" spans="1:9" x14ac:dyDescent="0.75">
      <c r="A1234" s="1">
        <v>43958</v>
      </c>
      <c r="B1234">
        <v>24.83</v>
      </c>
      <c r="C1234">
        <v>25.56</v>
      </c>
      <c r="D1234">
        <v>27.79</v>
      </c>
      <c r="E1234">
        <v>24.38</v>
      </c>
      <c r="F1234" t="s">
        <v>1172</v>
      </c>
      <c r="G1234" s="2">
        <v>-3.0800000000000001E-2</v>
      </c>
      <c r="H1234">
        <f t="shared" si="38"/>
        <v>-3.0835284933645693E-2</v>
      </c>
      <c r="I1234">
        <f t="shared" si="39"/>
        <v>-3.1320696948513096E-2</v>
      </c>
    </row>
    <row r="1235" spans="1:9" x14ac:dyDescent="0.75">
      <c r="A1235" s="1">
        <v>43957</v>
      </c>
      <c r="B1235">
        <v>25.62</v>
      </c>
      <c r="C1235">
        <v>27.45</v>
      </c>
      <c r="D1235">
        <v>27.98</v>
      </c>
      <c r="E1235">
        <v>24.55</v>
      </c>
      <c r="F1235" t="s">
        <v>1173</v>
      </c>
      <c r="G1235" s="2">
        <v>-3.2800000000000003E-2</v>
      </c>
      <c r="H1235">
        <f t="shared" si="38"/>
        <v>-3.2842582106455173E-2</v>
      </c>
      <c r="I1235">
        <f t="shared" si="39"/>
        <v>-3.3394006815390072E-2</v>
      </c>
    </row>
    <row r="1236" spans="1:9" x14ac:dyDescent="0.75">
      <c r="A1236" s="1">
        <v>43956</v>
      </c>
      <c r="B1236">
        <v>26.49</v>
      </c>
      <c r="C1236">
        <v>23.56</v>
      </c>
      <c r="D1236">
        <v>27.4</v>
      </c>
      <c r="E1236">
        <v>23.38</v>
      </c>
      <c r="F1236" t="s">
        <v>1174</v>
      </c>
      <c r="G1236" s="2">
        <v>0.16289999999999999</v>
      </c>
      <c r="H1236">
        <f t="shared" si="38"/>
        <v>0.16286215978928872</v>
      </c>
      <c r="I1236">
        <f t="shared" si="39"/>
        <v>0.15088434526494218</v>
      </c>
    </row>
    <row r="1237" spans="1:9" x14ac:dyDescent="0.75">
      <c r="A1237" s="1">
        <v>43955</v>
      </c>
      <c r="B1237">
        <v>22.78</v>
      </c>
      <c r="C1237">
        <v>21.87</v>
      </c>
      <c r="D1237">
        <v>23.79</v>
      </c>
      <c r="E1237">
        <v>20.84</v>
      </c>
      <c r="F1237" t="s">
        <v>1175</v>
      </c>
      <c r="G1237" s="2">
        <v>2.1999999999999999E-2</v>
      </c>
      <c r="H1237">
        <f t="shared" si="38"/>
        <v>2.1982951996411038E-2</v>
      </c>
      <c r="I1237">
        <f t="shared" si="39"/>
        <v>2.1744810621258628E-2</v>
      </c>
    </row>
    <row r="1238" spans="1:9" x14ac:dyDescent="0.75">
      <c r="A1238" s="1">
        <v>43952</v>
      </c>
      <c r="B1238">
        <v>22.29</v>
      </c>
      <c r="C1238">
        <v>22.04</v>
      </c>
      <c r="D1238">
        <v>23.4</v>
      </c>
      <c r="E1238">
        <v>20.86</v>
      </c>
      <c r="F1238" t="s">
        <v>1176</v>
      </c>
      <c r="G1238" s="2">
        <v>2.01E-2</v>
      </c>
      <c r="H1238">
        <f t="shared" si="38"/>
        <v>2.0137299771166944E-2</v>
      </c>
      <c r="I1238">
        <f t="shared" si="39"/>
        <v>1.9937225856178138E-2</v>
      </c>
    </row>
    <row r="1239" spans="1:9" x14ac:dyDescent="0.75">
      <c r="A1239" s="1">
        <v>43951</v>
      </c>
      <c r="B1239">
        <v>21.85</v>
      </c>
      <c r="C1239">
        <v>19.329999999999998</v>
      </c>
      <c r="D1239">
        <v>22.3</v>
      </c>
      <c r="E1239">
        <v>19.149999999999999</v>
      </c>
      <c r="F1239" t="s">
        <v>1177</v>
      </c>
      <c r="G1239" s="2">
        <v>0.14280000000000001</v>
      </c>
      <c r="H1239">
        <f t="shared" si="38"/>
        <v>0.14278242677824268</v>
      </c>
      <c r="I1239">
        <f t="shared" si="39"/>
        <v>0.13346601391834395</v>
      </c>
    </row>
    <row r="1240" spans="1:9" x14ac:dyDescent="0.75">
      <c r="A1240" s="1">
        <v>43950</v>
      </c>
      <c r="B1240">
        <v>19.12</v>
      </c>
      <c r="C1240">
        <v>18.010000000000002</v>
      </c>
      <c r="D1240">
        <v>20.36</v>
      </c>
      <c r="E1240">
        <v>17.399999999999999</v>
      </c>
      <c r="F1240" t="s">
        <v>1178</v>
      </c>
      <c r="G1240" s="2">
        <v>8.6400000000000005E-2</v>
      </c>
      <c r="H1240">
        <f t="shared" si="38"/>
        <v>8.6363636363636337E-2</v>
      </c>
      <c r="I1240">
        <f t="shared" si="39"/>
        <v>8.2836005579149177E-2</v>
      </c>
    </row>
    <row r="1241" spans="1:9" x14ac:dyDescent="0.75">
      <c r="A1241" s="1">
        <v>43949</v>
      </c>
      <c r="B1241">
        <v>17.600000000000001</v>
      </c>
      <c r="C1241">
        <v>18.239999999999998</v>
      </c>
      <c r="D1241">
        <v>19.66</v>
      </c>
      <c r="E1241">
        <v>17.27</v>
      </c>
      <c r="F1241" t="s">
        <v>1179</v>
      </c>
      <c r="G1241" s="2">
        <v>-2.6499999999999999E-2</v>
      </c>
      <c r="H1241">
        <f t="shared" si="38"/>
        <v>-2.6548672566371511E-2</v>
      </c>
      <c r="I1241">
        <f t="shared" si="39"/>
        <v>-2.6907452919924156E-2</v>
      </c>
    </row>
    <row r="1242" spans="1:9" x14ac:dyDescent="0.75">
      <c r="A1242" s="1">
        <v>43948</v>
      </c>
      <c r="B1242">
        <v>18.079999999999998</v>
      </c>
      <c r="C1242">
        <v>21.13</v>
      </c>
      <c r="D1242">
        <v>21.45</v>
      </c>
      <c r="E1242">
        <v>17.78</v>
      </c>
      <c r="F1242" t="s">
        <v>1180</v>
      </c>
      <c r="G1242" s="2">
        <v>-0.14799999999999999</v>
      </c>
      <c r="H1242">
        <f t="shared" si="38"/>
        <v>-0.14797360980207355</v>
      </c>
      <c r="I1242">
        <f t="shared" si="39"/>
        <v>-0.16013777822180664</v>
      </c>
    </row>
    <row r="1243" spans="1:9" x14ac:dyDescent="0.75">
      <c r="A1243" s="1">
        <v>43945</v>
      </c>
      <c r="B1243">
        <v>21.22</v>
      </c>
      <c r="C1243">
        <v>21.85</v>
      </c>
      <c r="D1243">
        <v>22.96</v>
      </c>
      <c r="E1243">
        <v>20.73</v>
      </c>
      <c r="F1243" t="s">
        <v>1181</v>
      </c>
      <c r="G1243" s="2">
        <v>-1.03E-2</v>
      </c>
      <c r="H1243">
        <f t="shared" si="38"/>
        <v>-1.0261194029850859E-2</v>
      </c>
      <c r="I1243">
        <f t="shared" si="39"/>
        <v>-1.0314203016764235E-2</v>
      </c>
    </row>
    <row r="1244" spans="1:9" x14ac:dyDescent="0.75">
      <c r="A1244" s="1">
        <v>43944</v>
      </c>
      <c r="B1244">
        <v>21.44</v>
      </c>
      <c r="C1244">
        <v>20.99</v>
      </c>
      <c r="D1244">
        <v>23.4</v>
      </c>
      <c r="E1244">
        <v>20.32</v>
      </c>
      <c r="F1244" t="s">
        <v>1182</v>
      </c>
      <c r="G1244" s="2">
        <v>3.6200000000000003E-2</v>
      </c>
      <c r="H1244">
        <f t="shared" si="38"/>
        <v>3.6249395843402608E-2</v>
      </c>
      <c r="I1244">
        <f t="shared" si="39"/>
        <v>3.560784444514966E-2</v>
      </c>
    </row>
    <row r="1245" spans="1:9" x14ac:dyDescent="0.75">
      <c r="A1245" s="1">
        <v>43943</v>
      </c>
      <c r="B1245">
        <v>20.69</v>
      </c>
      <c r="C1245">
        <v>20.260000000000002</v>
      </c>
      <c r="D1245">
        <v>22.79</v>
      </c>
      <c r="E1245">
        <v>17.43</v>
      </c>
      <c r="F1245" t="s">
        <v>1183</v>
      </c>
      <c r="G1245" s="2">
        <v>0.78820000000000001</v>
      </c>
      <c r="H1245">
        <f t="shared" si="38"/>
        <v>0.78824546240276583</v>
      </c>
      <c r="I1245">
        <f t="shared" si="39"/>
        <v>0.58123495055186658</v>
      </c>
    </row>
    <row r="1246" spans="1:9" x14ac:dyDescent="0.75">
      <c r="A1246" s="1">
        <v>43942</v>
      </c>
      <c r="B1246">
        <v>11.57</v>
      </c>
      <c r="C1246">
        <v>21.32</v>
      </c>
      <c r="D1246">
        <v>22.58</v>
      </c>
      <c r="E1246">
        <v>6.5</v>
      </c>
      <c r="F1246" t="s">
        <v>1184</v>
      </c>
      <c r="G1246" s="2">
        <v>-0.43369999999999997</v>
      </c>
      <c r="H1246">
        <f t="shared" si="38"/>
        <v>-0.43367596671561426</v>
      </c>
      <c r="I1246">
        <f t="shared" si="39"/>
        <v>-0.56858886762394545</v>
      </c>
    </row>
    <row r="1247" spans="1:9" x14ac:dyDescent="0.75">
      <c r="A1247" s="1">
        <v>43941</v>
      </c>
      <c r="B1247">
        <v>20.43</v>
      </c>
      <c r="C1247">
        <v>24.76</v>
      </c>
      <c r="D1247">
        <v>24.92</v>
      </c>
      <c r="E1247">
        <v>20.190000000000001</v>
      </c>
      <c r="F1247" t="s">
        <v>1185</v>
      </c>
      <c r="G1247" s="2">
        <v>-0.18379999999999999</v>
      </c>
      <c r="H1247">
        <f t="shared" si="38"/>
        <v>-0.18377946464242914</v>
      </c>
      <c r="I1247">
        <f t="shared" si="39"/>
        <v>-0.2030706966141522</v>
      </c>
    </row>
    <row r="1248" spans="1:9" x14ac:dyDescent="0.75">
      <c r="A1248" s="1">
        <v>43938</v>
      </c>
      <c r="B1248">
        <v>25.03</v>
      </c>
      <c r="C1248">
        <v>26.42</v>
      </c>
      <c r="D1248">
        <v>26.78</v>
      </c>
      <c r="E1248">
        <v>24.57</v>
      </c>
      <c r="F1248" t="s">
        <v>1186</v>
      </c>
      <c r="G1248" s="2">
        <v>-1.9599999999999999E-2</v>
      </c>
      <c r="H1248">
        <f t="shared" si="38"/>
        <v>-1.9584802193497845E-2</v>
      </c>
      <c r="I1248">
        <f t="shared" si="39"/>
        <v>-1.9779125809709665E-2</v>
      </c>
    </row>
    <row r="1249" spans="1:9" x14ac:dyDescent="0.75">
      <c r="A1249" s="1">
        <v>43937</v>
      </c>
      <c r="B1249">
        <v>25.53</v>
      </c>
      <c r="C1249">
        <v>26.26</v>
      </c>
      <c r="D1249">
        <v>27</v>
      </c>
      <c r="E1249">
        <v>24.93</v>
      </c>
      <c r="F1249" t="s">
        <v>1187</v>
      </c>
      <c r="G1249" s="2">
        <v>-1.9599999999999999E-2</v>
      </c>
      <c r="H1249">
        <f t="shared" si="38"/>
        <v>-1.9585253456221124E-2</v>
      </c>
      <c r="I1249">
        <f t="shared" si="39"/>
        <v>-1.9779586086975921E-2</v>
      </c>
    </row>
    <row r="1250" spans="1:9" x14ac:dyDescent="0.75">
      <c r="A1250" s="1">
        <v>43936</v>
      </c>
      <c r="B1250">
        <v>26.04</v>
      </c>
      <c r="C1250">
        <v>27.84</v>
      </c>
      <c r="D1250">
        <v>28.14</v>
      </c>
      <c r="E1250">
        <v>25.84</v>
      </c>
      <c r="F1250" t="s">
        <v>1188</v>
      </c>
      <c r="G1250" s="2">
        <v>-4.9599999999999998E-2</v>
      </c>
      <c r="H1250">
        <f t="shared" si="38"/>
        <v>-4.963503649635035E-2</v>
      </c>
      <c r="I1250">
        <f t="shared" si="39"/>
        <v>-5.0909196053656056E-2</v>
      </c>
    </row>
    <row r="1251" spans="1:9" x14ac:dyDescent="0.75">
      <c r="A1251" s="1">
        <v>43935</v>
      </c>
      <c r="B1251">
        <v>27.4</v>
      </c>
      <c r="C1251">
        <v>29.2</v>
      </c>
      <c r="D1251">
        <v>29.95</v>
      </c>
      <c r="E1251">
        <v>27.25</v>
      </c>
      <c r="F1251" t="s">
        <v>1189</v>
      </c>
      <c r="G1251" s="2">
        <v>-6.3600000000000004E-2</v>
      </c>
      <c r="H1251">
        <f t="shared" si="38"/>
        <v>-6.3568010936432093E-2</v>
      </c>
      <c r="I1251">
        <f t="shared" si="39"/>
        <v>-6.5678382197953772E-2</v>
      </c>
    </row>
    <row r="1252" spans="1:9" x14ac:dyDescent="0.75">
      <c r="A1252" s="1">
        <v>43934</v>
      </c>
      <c r="B1252">
        <v>29.26</v>
      </c>
      <c r="C1252">
        <v>30.3</v>
      </c>
      <c r="D1252">
        <v>30.57</v>
      </c>
      <c r="E1252">
        <v>28.26</v>
      </c>
      <c r="F1252" t="s">
        <v>1190</v>
      </c>
      <c r="G1252" s="2">
        <v>1.5299999999999999E-2</v>
      </c>
      <c r="H1252">
        <f t="shared" si="38"/>
        <v>1.5267175572519128E-2</v>
      </c>
      <c r="I1252">
        <f t="shared" si="39"/>
        <v>1.5151805020602246E-2</v>
      </c>
    </row>
    <row r="1253" spans="1:9" x14ac:dyDescent="0.75">
      <c r="A1253" s="1">
        <v>43930</v>
      </c>
      <c r="B1253">
        <v>28.82</v>
      </c>
      <c r="C1253">
        <v>30.82</v>
      </c>
      <c r="D1253">
        <v>33.15</v>
      </c>
      <c r="E1253">
        <v>28.63</v>
      </c>
      <c r="F1253" t="s">
        <v>1191</v>
      </c>
      <c r="G1253" s="2">
        <v>-4.4699999999999997E-2</v>
      </c>
      <c r="H1253">
        <f t="shared" si="38"/>
        <v>-4.4746436857805813E-2</v>
      </c>
      <c r="I1253">
        <f t="shared" si="39"/>
        <v>-4.57784625995937E-2</v>
      </c>
    </row>
    <row r="1254" spans="1:9" x14ac:dyDescent="0.75">
      <c r="A1254" s="1">
        <v>43929</v>
      </c>
      <c r="B1254">
        <v>30.17</v>
      </c>
      <c r="C1254">
        <v>29.21</v>
      </c>
      <c r="D1254">
        <v>31.05</v>
      </c>
      <c r="E1254">
        <v>29.05</v>
      </c>
      <c r="F1254" t="s">
        <v>1192</v>
      </c>
      <c r="G1254" s="2">
        <v>5.16E-2</v>
      </c>
      <c r="H1254">
        <f t="shared" si="38"/>
        <v>5.1585918438480316E-2</v>
      </c>
      <c r="I1254">
        <f t="shared" si="39"/>
        <v>5.0299423177696367E-2</v>
      </c>
    </row>
    <row r="1255" spans="1:9" x14ac:dyDescent="0.75">
      <c r="A1255" s="1">
        <v>43928</v>
      </c>
      <c r="B1255">
        <v>28.69</v>
      </c>
      <c r="C1255">
        <v>30.21</v>
      </c>
      <c r="D1255">
        <v>31.3</v>
      </c>
      <c r="E1255">
        <v>28.53</v>
      </c>
      <c r="F1255" t="s">
        <v>1193</v>
      </c>
      <c r="G1255" s="2">
        <v>-4.2999999999999997E-2</v>
      </c>
      <c r="H1255">
        <f t="shared" si="38"/>
        <v>-4.3028685790526988E-2</v>
      </c>
      <c r="I1255">
        <f t="shared" si="39"/>
        <v>-4.3981862681178194E-2</v>
      </c>
    </row>
    <row r="1256" spans="1:9" x14ac:dyDescent="0.75">
      <c r="A1256" s="1">
        <v>43927</v>
      </c>
      <c r="B1256">
        <v>29.98</v>
      </c>
      <c r="C1256">
        <v>29.2</v>
      </c>
      <c r="D1256">
        <v>31.27</v>
      </c>
      <c r="E1256">
        <v>28.13</v>
      </c>
      <c r="F1256" t="s">
        <v>1194</v>
      </c>
      <c r="G1256" s="2">
        <v>-2.98E-2</v>
      </c>
      <c r="H1256">
        <f t="shared" si="38"/>
        <v>-2.9773462783171462E-2</v>
      </c>
      <c r="I1256">
        <f t="shared" si="39"/>
        <v>-3.0225691229248113E-2</v>
      </c>
    </row>
    <row r="1257" spans="1:9" x14ac:dyDescent="0.75">
      <c r="A1257" s="1">
        <v>43924</v>
      </c>
      <c r="B1257">
        <v>30.9</v>
      </c>
      <c r="C1257">
        <v>27.34</v>
      </c>
      <c r="D1257">
        <v>31.62</v>
      </c>
      <c r="E1257">
        <v>26.53</v>
      </c>
      <c r="F1257" t="s">
        <v>1195</v>
      </c>
      <c r="G1257" s="2">
        <v>0.1016</v>
      </c>
      <c r="H1257">
        <f t="shared" si="38"/>
        <v>0.10160427807486623</v>
      </c>
      <c r="I1257">
        <f t="shared" si="39"/>
        <v>9.6767551934994422E-2</v>
      </c>
    </row>
    <row r="1258" spans="1:9" x14ac:dyDescent="0.75">
      <c r="A1258" s="1">
        <v>43923</v>
      </c>
      <c r="B1258">
        <v>28.05</v>
      </c>
      <c r="C1258">
        <v>24.19</v>
      </c>
      <c r="D1258">
        <v>30.16</v>
      </c>
      <c r="E1258">
        <v>23.92</v>
      </c>
      <c r="F1258" t="s">
        <v>1196</v>
      </c>
      <c r="G1258" s="2">
        <v>0.18160000000000001</v>
      </c>
      <c r="H1258">
        <f t="shared" si="38"/>
        <v>0.18155012636899759</v>
      </c>
      <c r="I1258">
        <f t="shared" si="39"/>
        <v>0.16682724278718344</v>
      </c>
    </row>
    <row r="1259" spans="1:9" x14ac:dyDescent="0.75">
      <c r="A1259" s="1">
        <v>43922</v>
      </c>
      <c r="B1259">
        <v>23.74</v>
      </c>
      <c r="C1259">
        <v>24.18</v>
      </c>
      <c r="D1259">
        <v>24.72</v>
      </c>
      <c r="E1259">
        <v>23.63</v>
      </c>
      <c r="F1259" t="s">
        <v>237</v>
      </c>
      <c r="G1259" s="2">
        <v>-3.1399999999999997E-2</v>
      </c>
      <c r="H1259">
        <f t="shared" si="38"/>
        <v>-3.1415748674010736E-2</v>
      </c>
      <c r="I1259">
        <f t="shared" si="39"/>
        <v>-3.1919808358499384E-2</v>
      </c>
    </row>
    <row r="1260" spans="1:9" x14ac:dyDescent="0.75">
      <c r="A1260" s="1">
        <v>43921</v>
      </c>
      <c r="B1260">
        <v>24.51</v>
      </c>
      <c r="C1260">
        <v>24.25</v>
      </c>
      <c r="D1260">
        <v>25.73</v>
      </c>
      <c r="E1260">
        <v>24.06</v>
      </c>
      <c r="F1260" t="s">
        <v>1197</v>
      </c>
      <c r="G1260" s="2">
        <v>1.7399999999999999E-2</v>
      </c>
      <c r="H1260">
        <f t="shared" si="38"/>
        <v>1.7434620174346271E-2</v>
      </c>
      <c r="I1260">
        <f t="shared" si="39"/>
        <v>1.728438091324128E-2</v>
      </c>
    </row>
    <row r="1261" spans="1:9" x14ac:dyDescent="0.75">
      <c r="A1261" s="1">
        <v>43920</v>
      </c>
      <c r="B1261">
        <v>24.09</v>
      </c>
      <c r="C1261">
        <v>24.68</v>
      </c>
      <c r="D1261">
        <v>25.01</v>
      </c>
      <c r="E1261">
        <v>23.31</v>
      </c>
      <c r="F1261" t="s">
        <v>1198</v>
      </c>
      <c r="G1261" s="2">
        <v>-4.2099999999999999E-2</v>
      </c>
      <c r="H1261">
        <f t="shared" si="38"/>
        <v>-4.2147117296222614E-2</v>
      </c>
      <c r="I1261">
        <f t="shared" si="39"/>
        <v>-4.3061079918968223E-2</v>
      </c>
    </row>
    <row r="1262" spans="1:9" x14ac:dyDescent="0.75">
      <c r="A1262" s="1">
        <v>43917</v>
      </c>
      <c r="B1262">
        <v>25.15</v>
      </c>
      <c r="C1262">
        <v>26.23</v>
      </c>
      <c r="D1262">
        <v>26.43</v>
      </c>
      <c r="E1262">
        <v>24.59</v>
      </c>
      <c r="F1262" t="s">
        <v>1199</v>
      </c>
      <c r="G1262" s="2">
        <v>-2.18E-2</v>
      </c>
      <c r="H1262">
        <f t="shared" si="38"/>
        <v>-2.1781408012446605E-2</v>
      </c>
      <c r="I1262">
        <f t="shared" si="39"/>
        <v>-2.2022124732050039E-2</v>
      </c>
    </row>
    <row r="1263" spans="1:9" x14ac:dyDescent="0.75">
      <c r="A1263" s="1">
        <v>43916</v>
      </c>
      <c r="B1263">
        <v>25.71</v>
      </c>
      <c r="C1263">
        <v>27.04</v>
      </c>
      <c r="D1263">
        <v>27.46</v>
      </c>
      <c r="E1263">
        <v>25.47</v>
      </c>
      <c r="F1263" t="s">
        <v>424</v>
      </c>
      <c r="G1263" s="2">
        <v>-5.3400000000000003E-2</v>
      </c>
      <c r="H1263">
        <f t="shared" si="38"/>
        <v>-5.3387334315169344E-2</v>
      </c>
      <c r="I1263">
        <f t="shared" si="39"/>
        <v>-5.4865281412697184E-2</v>
      </c>
    </row>
    <row r="1264" spans="1:9" x14ac:dyDescent="0.75">
      <c r="A1264" s="1">
        <v>43915</v>
      </c>
      <c r="B1264">
        <v>27.16</v>
      </c>
      <c r="C1264">
        <v>26.64</v>
      </c>
      <c r="D1264">
        <v>27.59</v>
      </c>
      <c r="E1264">
        <v>25.56</v>
      </c>
      <c r="F1264" t="s">
        <v>1200</v>
      </c>
      <c r="G1264" s="2">
        <v>3.6600000000000001E-2</v>
      </c>
      <c r="H1264">
        <f t="shared" si="38"/>
        <v>3.6641221374045838E-2</v>
      </c>
      <c r="I1264">
        <f t="shared" si="39"/>
        <v>3.5985891923444313E-2</v>
      </c>
    </row>
    <row r="1265" spans="1:9" x14ac:dyDescent="0.75">
      <c r="A1265" s="1">
        <v>43914</v>
      </c>
      <c r="B1265">
        <v>26.2</v>
      </c>
      <c r="C1265">
        <v>25.87</v>
      </c>
      <c r="D1265">
        <v>27.28</v>
      </c>
      <c r="E1265">
        <v>25.44</v>
      </c>
      <c r="F1265" t="s">
        <v>1201</v>
      </c>
      <c r="G1265" s="2">
        <v>2.8299999999999999E-2</v>
      </c>
      <c r="H1265">
        <f t="shared" si="38"/>
        <v>2.8257456828885356E-2</v>
      </c>
      <c r="I1265">
        <f t="shared" si="39"/>
        <v>2.7865580063088535E-2</v>
      </c>
    </row>
    <row r="1266" spans="1:9" x14ac:dyDescent="0.75">
      <c r="A1266" s="1">
        <v>43913</v>
      </c>
      <c r="B1266">
        <v>25.48</v>
      </c>
      <c r="C1266">
        <v>24.4</v>
      </c>
      <c r="D1266">
        <v>26.12</v>
      </c>
      <c r="E1266">
        <v>22.74</v>
      </c>
      <c r="F1266" t="s">
        <v>1202</v>
      </c>
      <c r="G1266" s="2">
        <v>0.12590000000000001</v>
      </c>
      <c r="H1266">
        <f t="shared" si="38"/>
        <v>0.12593901900132573</v>
      </c>
      <c r="I1266">
        <f t="shared" si="39"/>
        <v>0.11861737105851657</v>
      </c>
    </row>
    <row r="1267" spans="1:9" x14ac:dyDescent="0.75">
      <c r="A1267" s="1">
        <v>43910</v>
      </c>
      <c r="B1267">
        <v>22.63</v>
      </c>
      <c r="C1267">
        <v>25.59</v>
      </c>
      <c r="D1267">
        <v>28.49</v>
      </c>
      <c r="E1267">
        <v>22.39</v>
      </c>
      <c r="F1267" t="s">
        <v>1203</v>
      </c>
      <c r="G1267" s="2">
        <v>-0.12659999999999999</v>
      </c>
      <c r="H1267">
        <f t="shared" si="38"/>
        <v>-0.12659204940177543</v>
      </c>
      <c r="I1267">
        <f t="shared" si="39"/>
        <v>-0.1353525349285726</v>
      </c>
    </row>
    <row r="1268" spans="1:9" x14ac:dyDescent="0.75">
      <c r="A1268" s="1">
        <v>43909</v>
      </c>
      <c r="B1268">
        <v>25.91</v>
      </c>
      <c r="C1268">
        <v>22.82</v>
      </c>
      <c r="D1268">
        <v>28.28</v>
      </c>
      <c r="E1268">
        <v>21.77</v>
      </c>
      <c r="F1268" t="s">
        <v>1204</v>
      </c>
      <c r="G1268" s="2">
        <v>0.24390000000000001</v>
      </c>
      <c r="H1268">
        <f t="shared" si="38"/>
        <v>0.24387902064330302</v>
      </c>
      <c r="I1268">
        <f t="shared" si="39"/>
        <v>0.21823473930113804</v>
      </c>
    </row>
    <row r="1269" spans="1:9" x14ac:dyDescent="0.75">
      <c r="A1269" s="1">
        <v>43908</v>
      </c>
      <c r="B1269">
        <v>20.83</v>
      </c>
      <c r="C1269">
        <v>27.3</v>
      </c>
      <c r="D1269">
        <v>27.6</v>
      </c>
      <c r="E1269">
        <v>20.52</v>
      </c>
      <c r="F1269" t="s">
        <v>1205</v>
      </c>
      <c r="G1269" s="2">
        <v>-0.23780000000000001</v>
      </c>
      <c r="H1269">
        <f t="shared" si="38"/>
        <v>-0.23783388218075377</v>
      </c>
      <c r="I1269">
        <f t="shared" si="39"/>
        <v>-0.27159074466709598</v>
      </c>
    </row>
    <row r="1270" spans="1:9" x14ac:dyDescent="0.75">
      <c r="A1270" s="1">
        <v>43907</v>
      </c>
      <c r="B1270">
        <v>27.33</v>
      </c>
      <c r="C1270">
        <v>28.99</v>
      </c>
      <c r="D1270">
        <v>30.61</v>
      </c>
      <c r="E1270">
        <v>27.06</v>
      </c>
      <c r="F1270" t="s">
        <v>1206</v>
      </c>
      <c r="G1270" s="2">
        <v>-5.7599999999999998E-2</v>
      </c>
      <c r="H1270">
        <f t="shared" si="38"/>
        <v>-5.7586206896551785E-2</v>
      </c>
      <c r="I1270">
        <f t="shared" si="39"/>
        <v>-5.9310830046497467E-2</v>
      </c>
    </row>
    <row r="1271" spans="1:9" x14ac:dyDescent="0.75">
      <c r="A1271" s="1">
        <v>43906</v>
      </c>
      <c r="B1271">
        <v>29</v>
      </c>
      <c r="C1271">
        <v>32.69</v>
      </c>
      <c r="D1271">
        <v>33.799999999999997</v>
      </c>
      <c r="E1271">
        <v>28.5</v>
      </c>
      <c r="F1271" t="s">
        <v>1207</v>
      </c>
      <c r="G1271" s="2">
        <v>-9.69E-2</v>
      </c>
      <c r="H1271">
        <f t="shared" si="38"/>
        <v>-9.6854562441606964E-2</v>
      </c>
      <c r="I1271">
        <f t="shared" si="39"/>
        <v>-0.1018716781149485</v>
      </c>
    </row>
    <row r="1272" spans="1:9" x14ac:dyDescent="0.75">
      <c r="A1272" s="1">
        <v>43903</v>
      </c>
      <c r="B1272">
        <v>32.11</v>
      </c>
      <c r="C1272">
        <v>31.35</v>
      </c>
      <c r="D1272">
        <v>34.380000000000003</v>
      </c>
      <c r="E1272">
        <v>30.8</v>
      </c>
      <c r="F1272" t="s">
        <v>1208</v>
      </c>
      <c r="G1272" s="2">
        <v>4.1000000000000003E-3</v>
      </c>
      <c r="H1272">
        <f t="shared" si="38"/>
        <v>4.0650406504064733E-3</v>
      </c>
      <c r="I1272">
        <f t="shared" si="39"/>
        <v>4.056800695614469E-3</v>
      </c>
    </row>
    <row r="1273" spans="1:9" x14ac:dyDescent="0.75">
      <c r="A1273" s="1">
        <v>43902</v>
      </c>
      <c r="B1273">
        <v>31.98</v>
      </c>
      <c r="C1273">
        <v>33.43</v>
      </c>
      <c r="D1273">
        <v>34.049999999999997</v>
      </c>
      <c r="E1273">
        <v>30.5</v>
      </c>
      <c r="F1273" t="s">
        <v>1209</v>
      </c>
      <c r="G1273" s="2">
        <v>-4.2200000000000001E-2</v>
      </c>
      <c r="H1273">
        <f t="shared" si="38"/>
        <v>-4.2228212039532795E-2</v>
      </c>
      <c r="I1273">
        <f t="shared" si="39"/>
        <v>-4.3145746549754942E-2</v>
      </c>
    </row>
    <row r="1274" spans="1:9" x14ac:dyDescent="0.75">
      <c r="A1274" s="1">
        <v>43901</v>
      </c>
      <c r="B1274">
        <v>33.39</v>
      </c>
      <c r="C1274">
        <v>35</v>
      </c>
      <c r="D1274">
        <v>36.700000000000003</v>
      </c>
      <c r="E1274">
        <v>32.97</v>
      </c>
      <c r="F1274" t="s">
        <v>1210</v>
      </c>
      <c r="G1274" s="2">
        <v>-3.8600000000000002E-2</v>
      </c>
      <c r="H1274">
        <f t="shared" si="38"/>
        <v>-3.8583357327958437E-2</v>
      </c>
      <c r="I1274">
        <f t="shared" si="39"/>
        <v>-3.9347412800419437E-2</v>
      </c>
    </row>
    <row r="1275" spans="1:9" x14ac:dyDescent="0.75">
      <c r="A1275" s="1">
        <v>43900</v>
      </c>
      <c r="B1275">
        <v>34.729999999999997</v>
      </c>
      <c r="C1275">
        <v>30.75</v>
      </c>
      <c r="D1275">
        <v>35.35</v>
      </c>
      <c r="E1275">
        <v>30.58</v>
      </c>
      <c r="F1275" t="s">
        <v>1211</v>
      </c>
      <c r="G1275" s="2">
        <v>0.1036</v>
      </c>
      <c r="H1275">
        <f t="shared" si="38"/>
        <v>0.10359072132189381</v>
      </c>
      <c r="I1275">
        <f t="shared" si="39"/>
        <v>9.8569155679667134E-2</v>
      </c>
    </row>
    <row r="1276" spans="1:9" x14ac:dyDescent="0.75">
      <c r="A1276" s="1">
        <v>43899</v>
      </c>
      <c r="B1276">
        <v>31.47</v>
      </c>
      <c r="C1276">
        <v>32.869999999999997</v>
      </c>
      <c r="D1276">
        <v>35.19</v>
      </c>
      <c r="E1276">
        <v>27.83</v>
      </c>
      <c r="F1276" t="s">
        <v>1212</v>
      </c>
      <c r="G1276" s="2">
        <v>-0.2419</v>
      </c>
      <c r="H1276">
        <f t="shared" si="38"/>
        <v>-0.24186942905324019</v>
      </c>
      <c r="I1276">
        <f t="shared" si="39"/>
        <v>-0.27689965098863184</v>
      </c>
    </row>
    <row r="1277" spans="1:9" x14ac:dyDescent="0.75">
      <c r="A1277" s="1">
        <v>43896</v>
      </c>
      <c r="B1277">
        <v>41.51</v>
      </c>
      <c r="C1277">
        <v>46.22</v>
      </c>
      <c r="D1277">
        <v>46.53</v>
      </c>
      <c r="E1277">
        <v>41.29</v>
      </c>
      <c r="F1277" t="s">
        <v>1213</v>
      </c>
      <c r="G1277" s="2">
        <v>-9.8799999999999999E-2</v>
      </c>
      <c r="H1277">
        <f t="shared" si="38"/>
        <v>-9.8784194528875463E-2</v>
      </c>
      <c r="I1277">
        <f t="shared" si="39"/>
        <v>-0.1040105323275918</v>
      </c>
    </row>
    <row r="1278" spans="1:9" x14ac:dyDescent="0.75">
      <c r="A1278" s="1">
        <v>43895</v>
      </c>
      <c r="B1278">
        <v>46.06</v>
      </c>
      <c r="C1278">
        <v>47.38</v>
      </c>
      <c r="D1278">
        <v>47.72</v>
      </c>
      <c r="E1278">
        <v>45.82</v>
      </c>
      <c r="F1278" t="s">
        <v>1214</v>
      </c>
      <c r="G1278" s="2">
        <v>-1.9E-2</v>
      </c>
      <c r="H1278">
        <f t="shared" si="38"/>
        <v>-1.8956336528221523E-2</v>
      </c>
      <c r="I1278">
        <f t="shared" si="39"/>
        <v>-1.9138311261732748E-2</v>
      </c>
    </row>
    <row r="1279" spans="1:9" x14ac:dyDescent="0.75">
      <c r="A1279" s="1">
        <v>43894</v>
      </c>
      <c r="B1279">
        <v>46.95</v>
      </c>
      <c r="C1279">
        <v>47.1</v>
      </c>
      <c r="D1279">
        <v>48.56</v>
      </c>
      <c r="E1279">
        <v>46.82</v>
      </c>
      <c r="F1279" t="s">
        <v>1215</v>
      </c>
      <c r="G1279" s="2">
        <v>-8.0000000000000002E-3</v>
      </c>
      <c r="H1279">
        <f t="shared" si="38"/>
        <v>-8.0287344179166588E-3</v>
      </c>
      <c r="I1279">
        <f t="shared" si="39"/>
        <v>-8.0611382638845729E-3</v>
      </c>
    </row>
    <row r="1280" spans="1:9" x14ac:dyDescent="0.75">
      <c r="A1280" s="1">
        <v>43893</v>
      </c>
      <c r="B1280">
        <v>47.33</v>
      </c>
      <c r="C1280">
        <v>47.98</v>
      </c>
      <c r="D1280">
        <v>48.82</v>
      </c>
      <c r="E1280">
        <v>46.64</v>
      </c>
      <c r="F1280" t="s">
        <v>1216</v>
      </c>
      <c r="G1280" s="2">
        <v>8.6999999999999994E-3</v>
      </c>
      <c r="H1280">
        <f t="shared" si="38"/>
        <v>8.7382779198635248E-3</v>
      </c>
      <c r="I1280">
        <f t="shared" si="39"/>
        <v>8.7003201328817864E-3</v>
      </c>
    </row>
    <row r="1281" spans="1:9" x14ac:dyDescent="0.75">
      <c r="A1281" s="1">
        <v>43892</v>
      </c>
      <c r="B1281">
        <v>46.92</v>
      </c>
      <c r="C1281">
        <v>43.93</v>
      </c>
      <c r="D1281">
        <v>47.71</v>
      </c>
      <c r="E1281">
        <v>43.4</v>
      </c>
      <c r="F1281" t="s">
        <v>1217</v>
      </c>
      <c r="G1281" s="2">
        <v>4.41E-2</v>
      </c>
      <c r="H1281">
        <f t="shared" si="38"/>
        <v>4.4058744993324524E-2</v>
      </c>
      <c r="I1281">
        <f t="shared" si="39"/>
        <v>4.3115757028091679E-2</v>
      </c>
    </row>
    <row r="1282" spans="1:9" x14ac:dyDescent="0.75">
      <c r="A1282" s="1">
        <v>43889</v>
      </c>
      <c r="B1282">
        <v>44.94</v>
      </c>
      <c r="C1282">
        <v>46.68</v>
      </c>
      <c r="D1282">
        <v>47.2</v>
      </c>
      <c r="E1282">
        <v>44.07</v>
      </c>
      <c r="F1282" t="s">
        <v>1218</v>
      </c>
      <c r="G1282" s="2">
        <v>-4.9700000000000001E-2</v>
      </c>
      <c r="H1282">
        <f t="shared" si="38"/>
        <v>-4.969338126453799E-2</v>
      </c>
      <c r="I1282">
        <f t="shared" si="39"/>
        <v>-5.0970589898601384E-2</v>
      </c>
    </row>
    <row r="1283" spans="1:9" x14ac:dyDescent="0.75">
      <c r="A1283" s="1">
        <v>43888</v>
      </c>
      <c r="B1283">
        <v>47.29</v>
      </c>
      <c r="C1283">
        <v>48.7</v>
      </c>
      <c r="D1283">
        <v>48.9</v>
      </c>
      <c r="E1283">
        <v>46.1</v>
      </c>
      <c r="F1283" t="s">
        <v>1219</v>
      </c>
      <c r="G1283" s="2">
        <v>-3.2500000000000001E-2</v>
      </c>
      <c r="H1283">
        <f t="shared" ref="H1283:H1346" si="40">(B1283-B1284)/B1284</f>
        <v>-3.2528641571194832E-2</v>
      </c>
      <c r="I1283">
        <f t="shared" ref="I1283:I1346" si="41">LN(B1283/B1284)</f>
        <v>-3.3069458207555552E-2</v>
      </c>
    </row>
    <row r="1284" spans="1:9" x14ac:dyDescent="0.75">
      <c r="A1284" s="1">
        <v>43887</v>
      </c>
      <c r="B1284">
        <v>48.88</v>
      </c>
      <c r="C1284">
        <v>50.22</v>
      </c>
      <c r="D1284">
        <v>50.57</v>
      </c>
      <c r="E1284">
        <v>48.44</v>
      </c>
      <c r="F1284" t="s">
        <v>1220</v>
      </c>
      <c r="G1284" s="2">
        <v>-2.3599999999999999E-2</v>
      </c>
      <c r="H1284">
        <f t="shared" si="40"/>
        <v>-2.3571713943268072E-2</v>
      </c>
      <c r="I1284">
        <f t="shared" si="41"/>
        <v>-2.3853971140288262E-2</v>
      </c>
    </row>
    <row r="1285" spans="1:9" x14ac:dyDescent="0.75">
      <c r="A1285" s="1">
        <v>43886</v>
      </c>
      <c r="B1285">
        <v>50.06</v>
      </c>
      <c r="C1285">
        <v>51.5</v>
      </c>
      <c r="D1285">
        <v>52.15</v>
      </c>
      <c r="E1285">
        <v>49.85</v>
      </c>
      <c r="F1285" t="s">
        <v>1221</v>
      </c>
      <c r="G1285" s="2">
        <v>-2.9499999999999998E-2</v>
      </c>
      <c r="H1285">
        <f t="shared" si="40"/>
        <v>-2.9468786351298876E-2</v>
      </c>
      <c r="I1285">
        <f t="shared" si="41"/>
        <v>-2.9911714449570512E-2</v>
      </c>
    </row>
    <row r="1286" spans="1:9" x14ac:dyDescent="0.75">
      <c r="A1286" s="1">
        <v>43885</v>
      </c>
      <c r="B1286">
        <v>51.58</v>
      </c>
      <c r="C1286">
        <v>52.79</v>
      </c>
      <c r="D1286">
        <v>52.79</v>
      </c>
      <c r="E1286">
        <v>50.61</v>
      </c>
      <c r="F1286" t="s">
        <v>1222</v>
      </c>
      <c r="G1286" s="2">
        <v>-3.5900000000000001E-2</v>
      </c>
      <c r="H1286">
        <f t="shared" si="40"/>
        <v>-3.5887850467289754E-2</v>
      </c>
      <c r="I1286">
        <f t="shared" si="41"/>
        <v>-3.6547653448762131E-2</v>
      </c>
    </row>
    <row r="1287" spans="1:9" x14ac:dyDescent="0.75">
      <c r="A1287" s="1">
        <v>43882</v>
      </c>
      <c r="B1287">
        <v>53.5</v>
      </c>
      <c r="C1287">
        <v>53.93</v>
      </c>
      <c r="D1287">
        <v>54.02</v>
      </c>
      <c r="E1287">
        <v>52.72</v>
      </c>
      <c r="F1287" t="s">
        <v>1223</v>
      </c>
      <c r="G1287" s="2">
        <v>-7.1000000000000004E-3</v>
      </c>
      <c r="H1287">
        <f t="shared" si="40"/>
        <v>-7.0527097253155627E-3</v>
      </c>
      <c r="I1287">
        <f t="shared" si="41"/>
        <v>-7.0776976402024318E-3</v>
      </c>
    </row>
    <row r="1288" spans="1:9" x14ac:dyDescent="0.75">
      <c r="A1288" s="1">
        <v>43881</v>
      </c>
      <c r="B1288">
        <v>53.88</v>
      </c>
      <c r="C1288">
        <v>53.7</v>
      </c>
      <c r="D1288">
        <v>54.66</v>
      </c>
      <c r="E1288">
        <v>53.44</v>
      </c>
      <c r="F1288" t="s">
        <v>1224</v>
      </c>
      <c r="G1288" s="2">
        <v>7.3000000000000001E-3</v>
      </c>
      <c r="H1288">
        <f t="shared" si="40"/>
        <v>7.2910824453168918E-3</v>
      </c>
      <c r="I1288">
        <f t="shared" si="41"/>
        <v>7.2646309990045763E-3</v>
      </c>
    </row>
    <row r="1289" spans="1:9" x14ac:dyDescent="0.75">
      <c r="A1289" s="1">
        <v>43880</v>
      </c>
      <c r="B1289">
        <v>53.49</v>
      </c>
      <c r="C1289">
        <v>52.36</v>
      </c>
      <c r="D1289">
        <v>53.87</v>
      </c>
      <c r="E1289">
        <v>52.16</v>
      </c>
      <c r="F1289" t="s">
        <v>1225</v>
      </c>
      <c r="G1289" s="2">
        <v>2.29E-2</v>
      </c>
      <c r="H1289">
        <f t="shared" si="40"/>
        <v>2.2948938611589267E-2</v>
      </c>
      <c r="I1289">
        <f t="shared" si="41"/>
        <v>2.2689572343119579E-2</v>
      </c>
    </row>
    <row r="1290" spans="1:9" x14ac:dyDescent="0.75">
      <c r="A1290" s="1">
        <v>43879</v>
      </c>
      <c r="B1290">
        <v>52.29</v>
      </c>
      <c r="C1290">
        <v>52.49</v>
      </c>
      <c r="D1290">
        <v>52.65</v>
      </c>
      <c r="E1290">
        <v>51.15</v>
      </c>
      <c r="F1290" t="s">
        <v>1226</v>
      </c>
      <c r="G1290" s="2">
        <v>1.6999999999999999E-3</v>
      </c>
      <c r="H1290">
        <f t="shared" si="40"/>
        <v>1.7241379310344118E-3</v>
      </c>
      <c r="I1290">
        <f t="shared" si="41"/>
        <v>1.722653311446156E-3</v>
      </c>
    </row>
    <row r="1291" spans="1:9" x14ac:dyDescent="0.75">
      <c r="A1291" s="1">
        <v>43878</v>
      </c>
      <c r="B1291">
        <v>52.2</v>
      </c>
      <c r="C1291">
        <v>52.34</v>
      </c>
      <c r="D1291">
        <v>52.59</v>
      </c>
      <c r="E1291">
        <v>52.05</v>
      </c>
      <c r="G1291" s="2">
        <v>-3.0999999999999999E-3</v>
      </c>
      <c r="H1291">
        <f t="shared" si="40"/>
        <v>-3.0557677616500495E-3</v>
      </c>
      <c r="I1291">
        <f t="shared" si="41"/>
        <v>-3.0604461531060934E-3</v>
      </c>
    </row>
    <row r="1292" spans="1:9" x14ac:dyDescent="0.75">
      <c r="A1292" s="1">
        <v>43877</v>
      </c>
      <c r="B1292">
        <v>52.36</v>
      </c>
      <c r="C1292">
        <v>52.45</v>
      </c>
      <c r="D1292">
        <v>52.63</v>
      </c>
      <c r="E1292">
        <v>52.34</v>
      </c>
      <c r="G1292" s="2">
        <v>8.0000000000000004E-4</v>
      </c>
      <c r="H1292">
        <f t="shared" si="40"/>
        <v>7.6452599388377579E-4</v>
      </c>
      <c r="I1292">
        <f t="shared" si="41"/>
        <v>7.642338927558957E-4</v>
      </c>
    </row>
    <row r="1293" spans="1:9" x14ac:dyDescent="0.75">
      <c r="A1293" s="1">
        <v>43875</v>
      </c>
      <c r="B1293">
        <v>52.32</v>
      </c>
      <c r="C1293">
        <v>51.73</v>
      </c>
      <c r="D1293">
        <v>52.56</v>
      </c>
      <c r="E1293">
        <v>51.55</v>
      </c>
      <c r="F1293" t="s">
        <v>1227</v>
      </c>
      <c r="G1293" s="2">
        <v>1.2800000000000001E-2</v>
      </c>
      <c r="H1293">
        <f t="shared" si="40"/>
        <v>1.2775842044134799E-2</v>
      </c>
      <c r="I1293">
        <f t="shared" si="41"/>
        <v>1.2694919481248944E-2</v>
      </c>
    </row>
    <row r="1294" spans="1:9" x14ac:dyDescent="0.75">
      <c r="A1294" s="1">
        <v>43874</v>
      </c>
      <c r="B1294">
        <v>51.66</v>
      </c>
      <c r="C1294">
        <v>51.87</v>
      </c>
      <c r="D1294">
        <v>52.19</v>
      </c>
      <c r="E1294">
        <v>50.82</v>
      </c>
      <c r="F1294" t="s">
        <v>1228</v>
      </c>
      <c r="G1294" s="2">
        <v>4.8999999999999998E-3</v>
      </c>
      <c r="H1294">
        <f t="shared" si="40"/>
        <v>4.8628671464695586E-3</v>
      </c>
      <c r="I1294">
        <f t="shared" si="41"/>
        <v>4.8510816002812485E-3</v>
      </c>
    </row>
    <row r="1295" spans="1:9" x14ac:dyDescent="0.75">
      <c r="A1295" s="1">
        <v>43873</v>
      </c>
      <c r="B1295">
        <v>51.41</v>
      </c>
      <c r="C1295">
        <v>50.16</v>
      </c>
      <c r="D1295">
        <v>51.93</v>
      </c>
      <c r="E1295">
        <v>50.16</v>
      </c>
      <c r="F1295" t="s">
        <v>1229</v>
      </c>
      <c r="G1295" s="2">
        <v>2.47E-2</v>
      </c>
      <c r="H1295">
        <f t="shared" si="40"/>
        <v>2.4715965716563582E-2</v>
      </c>
      <c r="I1295">
        <f t="shared" si="41"/>
        <v>2.4415467571251646E-2</v>
      </c>
    </row>
    <row r="1296" spans="1:9" x14ac:dyDescent="0.75">
      <c r="A1296" s="1">
        <v>43872</v>
      </c>
      <c r="B1296">
        <v>50.17</v>
      </c>
      <c r="C1296">
        <v>49.78</v>
      </c>
      <c r="D1296">
        <v>50.86</v>
      </c>
      <c r="E1296">
        <v>49.78</v>
      </c>
      <c r="F1296" t="s">
        <v>1230</v>
      </c>
      <c r="G1296" s="2">
        <v>7.7999999999999996E-3</v>
      </c>
      <c r="H1296">
        <f t="shared" si="40"/>
        <v>7.8344716753716466E-3</v>
      </c>
      <c r="I1296">
        <f t="shared" si="41"/>
        <v>7.8039415567155721E-3</v>
      </c>
    </row>
    <row r="1297" spans="1:9" x14ac:dyDescent="0.75">
      <c r="A1297" s="1">
        <v>43871</v>
      </c>
      <c r="B1297">
        <v>49.78</v>
      </c>
      <c r="C1297">
        <v>50.34</v>
      </c>
      <c r="D1297">
        <v>50.71</v>
      </c>
      <c r="E1297">
        <v>49.63</v>
      </c>
      <c r="F1297" t="s">
        <v>1231</v>
      </c>
      <c r="G1297" s="2">
        <v>-1.52E-2</v>
      </c>
      <c r="H1297">
        <f t="shared" si="40"/>
        <v>-1.5232443125618122E-2</v>
      </c>
      <c r="I1297">
        <f t="shared" si="41"/>
        <v>-1.5349648527034387E-2</v>
      </c>
    </row>
    <row r="1298" spans="1:9" x14ac:dyDescent="0.75">
      <c r="A1298" s="1">
        <v>43868</v>
      </c>
      <c r="B1298">
        <v>50.55</v>
      </c>
      <c r="C1298">
        <v>51.31</v>
      </c>
      <c r="D1298">
        <v>51.66</v>
      </c>
      <c r="E1298">
        <v>50.32</v>
      </c>
      <c r="F1298" t="s">
        <v>1232</v>
      </c>
      <c r="G1298" s="2">
        <v>-1.15E-2</v>
      </c>
      <c r="H1298">
        <f t="shared" si="40"/>
        <v>-1.1536957371920285E-2</v>
      </c>
      <c r="I1298">
        <f t="shared" si="41"/>
        <v>-1.1604024396560208E-2</v>
      </c>
    </row>
    <row r="1299" spans="1:9" x14ac:dyDescent="0.75">
      <c r="A1299" s="1">
        <v>43867</v>
      </c>
      <c r="B1299">
        <v>51.14</v>
      </c>
      <c r="C1299">
        <v>51.35</v>
      </c>
      <c r="D1299">
        <v>52.34</v>
      </c>
      <c r="E1299">
        <v>50.42</v>
      </c>
      <c r="F1299" t="s">
        <v>40</v>
      </c>
      <c r="G1299" s="2">
        <v>4.3E-3</v>
      </c>
      <c r="H1299">
        <f t="shared" si="40"/>
        <v>4.3205027494108185E-3</v>
      </c>
      <c r="I1299">
        <f t="shared" si="41"/>
        <v>4.3111961738348204E-3</v>
      </c>
    </row>
    <row r="1300" spans="1:9" x14ac:dyDescent="0.75">
      <c r="A1300" s="1">
        <v>43866</v>
      </c>
      <c r="B1300">
        <v>50.92</v>
      </c>
      <c r="C1300">
        <v>49.68</v>
      </c>
      <c r="D1300">
        <v>52.01</v>
      </c>
      <c r="E1300">
        <v>49.64</v>
      </c>
      <c r="F1300" t="s">
        <v>1233</v>
      </c>
      <c r="G1300" s="2">
        <v>2.2499999999999999E-2</v>
      </c>
      <c r="H1300">
        <f t="shared" si="40"/>
        <v>2.2489959839357521E-2</v>
      </c>
      <c r="I1300">
        <f t="shared" si="41"/>
        <v>2.2240789658598631E-2</v>
      </c>
    </row>
    <row r="1301" spans="1:9" x14ac:dyDescent="0.75">
      <c r="A1301" s="1">
        <v>43865</v>
      </c>
      <c r="B1301">
        <v>49.8</v>
      </c>
      <c r="C1301">
        <v>50.04</v>
      </c>
      <c r="D1301">
        <v>51.7</v>
      </c>
      <c r="E1301">
        <v>49.5</v>
      </c>
      <c r="F1301" t="s">
        <v>1234</v>
      </c>
      <c r="G1301" s="2">
        <v>-9.4999999999999998E-3</v>
      </c>
      <c r="H1301">
        <f t="shared" si="40"/>
        <v>-9.5465393794750188E-3</v>
      </c>
      <c r="I1301">
        <f t="shared" si="41"/>
        <v>-9.5923996914395217E-3</v>
      </c>
    </row>
    <row r="1302" spans="1:9" x14ac:dyDescent="0.75">
      <c r="A1302" s="1">
        <v>43864</v>
      </c>
      <c r="B1302">
        <v>50.28</v>
      </c>
      <c r="C1302">
        <v>51.15</v>
      </c>
      <c r="D1302">
        <v>52.05</v>
      </c>
      <c r="E1302">
        <v>49.98</v>
      </c>
      <c r="F1302" t="s">
        <v>1235</v>
      </c>
      <c r="G1302" s="2">
        <v>-2.7099999999999999E-2</v>
      </c>
      <c r="H1302">
        <f t="shared" si="40"/>
        <v>-2.7089783281733719E-2</v>
      </c>
      <c r="I1302">
        <f t="shared" si="41"/>
        <v>-2.7463475752299717E-2</v>
      </c>
    </row>
    <row r="1303" spans="1:9" x14ac:dyDescent="0.75">
      <c r="A1303" s="1">
        <v>43861</v>
      </c>
      <c r="B1303">
        <v>51.68</v>
      </c>
      <c r="C1303">
        <v>52.97</v>
      </c>
      <c r="D1303">
        <v>53.42</v>
      </c>
      <c r="E1303">
        <v>51.09</v>
      </c>
      <c r="F1303" t="s">
        <v>349</v>
      </c>
      <c r="G1303" s="2">
        <v>-1.0500000000000001E-2</v>
      </c>
      <c r="H1303">
        <f t="shared" si="40"/>
        <v>-1.0530346544131671E-2</v>
      </c>
      <c r="I1303">
        <f t="shared" si="41"/>
        <v>-1.0586182973860882E-2</v>
      </c>
    </row>
    <row r="1304" spans="1:9" x14ac:dyDescent="0.75">
      <c r="A1304" s="1">
        <v>43860</v>
      </c>
      <c r="B1304">
        <v>52.23</v>
      </c>
      <c r="C1304">
        <v>53.1</v>
      </c>
      <c r="D1304">
        <v>53.27</v>
      </c>
      <c r="E1304">
        <v>51.75</v>
      </c>
      <c r="F1304" t="s">
        <v>1236</v>
      </c>
      <c r="G1304" s="2">
        <v>-2.2100000000000002E-2</v>
      </c>
      <c r="H1304">
        <f t="shared" si="40"/>
        <v>-2.2093240966111212E-2</v>
      </c>
      <c r="I1304">
        <f t="shared" si="41"/>
        <v>-2.2340951903471566E-2</v>
      </c>
    </row>
    <row r="1305" spans="1:9" x14ac:dyDescent="0.75">
      <c r="A1305" s="1">
        <v>43859</v>
      </c>
      <c r="B1305">
        <v>53.41</v>
      </c>
      <c r="C1305">
        <v>54</v>
      </c>
      <c r="D1305">
        <v>54.39</v>
      </c>
      <c r="E1305">
        <v>52.87</v>
      </c>
      <c r="F1305" t="s">
        <v>1237</v>
      </c>
      <c r="G1305" s="2">
        <v>-2.0999999999999999E-3</v>
      </c>
      <c r="H1305">
        <f t="shared" si="40"/>
        <v>-2.0553064275038589E-3</v>
      </c>
      <c r="I1305">
        <f t="shared" si="41"/>
        <v>-2.0574214682941758E-3</v>
      </c>
    </row>
    <row r="1306" spans="1:9" x14ac:dyDescent="0.75">
      <c r="A1306" s="1">
        <v>43858</v>
      </c>
      <c r="B1306">
        <v>53.52</v>
      </c>
      <c r="C1306">
        <v>52.72</v>
      </c>
      <c r="D1306">
        <v>54.08</v>
      </c>
      <c r="E1306">
        <v>52.72</v>
      </c>
      <c r="F1306" t="s">
        <v>1238</v>
      </c>
      <c r="G1306" s="2">
        <v>6.4000000000000003E-3</v>
      </c>
      <c r="H1306">
        <f t="shared" si="40"/>
        <v>6.393380970289647E-3</v>
      </c>
      <c r="I1306">
        <f t="shared" si="41"/>
        <v>6.3730300050993038E-3</v>
      </c>
    </row>
    <row r="1307" spans="1:9" x14ac:dyDescent="0.75">
      <c r="A1307" s="1">
        <v>43857</v>
      </c>
      <c r="B1307">
        <v>53.18</v>
      </c>
      <c r="C1307">
        <v>53.57</v>
      </c>
      <c r="D1307">
        <v>53.72</v>
      </c>
      <c r="E1307">
        <v>52.16</v>
      </c>
      <c r="F1307" t="s">
        <v>1239</v>
      </c>
      <c r="G1307" s="2">
        <v>-1.8800000000000001E-2</v>
      </c>
      <c r="H1307">
        <f t="shared" si="40"/>
        <v>-1.8819188191881976E-2</v>
      </c>
      <c r="I1307">
        <f t="shared" si="41"/>
        <v>-1.899852263072685E-2</v>
      </c>
    </row>
    <row r="1308" spans="1:9" x14ac:dyDescent="0.75">
      <c r="A1308" s="1">
        <v>43854</v>
      </c>
      <c r="B1308">
        <v>54.2</v>
      </c>
      <c r="C1308">
        <v>55.72</v>
      </c>
      <c r="D1308">
        <v>55.97</v>
      </c>
      <c r="E1308">
        <v>53.88</v>
      </c>
      <c r="F1308" t="s">
        <v>1240</v>
      </c>
      <c r="G1308" s="2">
        <v>-2.5399999999999999E-2</v>
      </c>
      <c r="H1308">
        <f t="shared" si="40"/>
        <v>-2.5355151951087871E-2</v>
      </c>
      <c r="I1308">
        <f t="shared" si="41"/>
        <v>-2.5682132753871992E-2</v>
      </c>
    </row>
    <row r="1309" spans="1:9" x14ac:dyDescent="0.75">
      <c r="A1309" s="1">
        <v>43853</v>
      </c>
      <c r="B1309">
        <v>55.61</v>
      </c>
      <c r="C1309">
        <v>56.13</v>
      </c>
      <c r="D1309">
        <v>56.43</v>
      </c>
      <c r="E1309">
        <v>54.82</v>
      </c>
      <c r="F1309" t="s">
        <v>1241</v>
      </c>
      <c r="G1309" s="2">
        <v>-2.0299999999999999E-2</v>
      </c>
      <c r="H1309">
        <f t="shared" si="40"/>
        <v>-2.0260747004933029E-2</v>
      </c>
      <c r="I1309">
        <f t="shared" si="41"/>
        <v>-2.046881109236932E-2</v>
      </c>
    </row>
    <row r="1310" spans="1:9" x14ac:dyDescent="0.75">
      <c r="A1310" s="1">
        <v>43852</v>
      </c>
      <c r="B1310">
        <v>56.76</v>
      </c>
      <c r="C1310">
        <v>58.24</v>
      </c>
      <c r="D1310">
        <v>58.35</v>
      </c>
      <c r="E1310">
        <v>56.07</v>
      </c>
      <c r="F1310" t="s">
        <v>1242</v>
      </c>
      <c r="G1310" s="2">
        <v>-2.7699999999999999E-2</v>
      </c>
      <c r="H1310">
        <f t="shared" si="40"/>
        <v>-2.7749229188078185E-2</v>
      </c>
      <c r="I1310">
        <f t="shared" si="41"/>
        <v>-2.8141513134126887E-2</v>
      </c>
    </row>
    <row r="1311" spans="1:9" x14ac:dyDescent="0.75">
      <c r="A1311" s="1">
        <v>43851</v>
      </c>
      <c r="B1311">
        <v>58.38</v>
      </c>
      <c r="C1311">
        <v>59.35</v>
      </c>
      <c r="D1311">
        <v>59.77</v>
      </c>
      <c r="E1311">
        <v>57.71</v>
      </c>
      <c r="F1311" t="s">
        <v>1243</v>
      </c>
      <c r="G1311" s="2">
        <v>-6.0000000000000001E-3</v>
      </c>
      <c r="H1311">
        <f t="shared" si="40"/>
        <v>-5.9594755661500822E-3</v>
      </c>
      <c r="I1311">
        <f t="shared" si="41"/>
        <v>-5.9773041084593024E-3</v>
      </c>
    </row>
    <row r="1312" spans="1:9" x14ac:dyDescent="0.75">
      <c r="A1312" s="1">
        <v>43850</v>
      </c>
      <c r="B1312">
        <v>58.73</v>
      </c>
      <c r="C1312">
        <v>59.28</v>
      </c>
      <c r="D1312">
        <v>59.32</v>
      </c>
      <c r="E1312">
        <v>58.56</v>
      </c>
      <c r="G1312" s="2">
        <v>-9.1000000000000004E-3</v>
      </c>
      <c r="H1312">
        <f t="shared" si="40"/>
        <v>-9.1108486586807189E-3</v>
      </c>
      <c r="I1312">
        <f t="shared" si="41"/>
        <v>-9.1526062653187919E-3</v>
      </c>
    </row>
    <row r="1313" spans="1:9" x14ac:dyDescent="0.75">
      <c r="A1313" s="1">
        <v>43849</v>
      </c>
      <c r="B1313">
        <v>59.27</v>
      </c>
      <c r="C1313">
        <v>59.36</v>
      </c>
      <c r="D1313">
        <v>59.66</v>
      </c>
      <c r="E1313">
        <v>59.2</v>
      </c>
      <c r="G1313" s="2">
        <v>1.18E-2</v>
      </c>
      <c r="H1313">
        <f t="shared" si="40"/>
        <v>1.1778764083304964E-2</v>
      </c>
      <c r="I1313">
        <f t="shared" si="41"/>
        <v>1.1709934400159407E-2</v>
      </c>
    </row>
    <row r="1314" spans="1:9" x14ac:dyDescent="0.75">
      <c r="A1314" s="1">
        <v>43847</v>
      </c>
      <c r="B1314">
        <v>58.58</v>
      </c>
      <c r="C1314">
        <v>58.61</v>
      </c>
      <c r="D1314">
        <v>59</v>
      </c>
      <c r="E1314">
        <v>58.31</v>
      </c>
      <c r="F1314" t="s">
        <v>1244</v>
      </c>
      <c r="G1314" s="2">
        <v>8.9999999999999998E-4</v>
      </c>
      <c r="H1314">
        <f t="shared" si="40"/>
        <v>8.5426277122838134E-4</v>
      </c>
      <c r="I1314">
        <f t="shared" si="41"/>
        <v>8.5389809645791963E-4</v>
      </c>
    </row>
    <row r="1315" spans="1:9" x14ac:dyDescent="0.75">
      <c r="A1315" s="1">
        <v>43846</v>
      </c>
      <c r="B1315">
        <v>58.53</v>
      </c>
      <c r="C1315">
        <v>58.12</v>
      </c>
      <c r="D1315">
        <v>58.88</v>
      </c>
      <c r="E1315">
        <v>57.6</v>
      </c>
      <c r="F1315" t="s">
        <v>1245</v>
      </c>
      <c r="G1315" s="2">
        <v>1.1900000000000001E-2</v>
      </c>
      <c r="H1315">
        <f t="shared" si="40"/>
        <v>1.1929460580912822E-2</v>
      </c>
      <c r="I1315">
        <f t="shared" si="41"/>
        <v>1.1858865452620245E-2</v>
      </c>
    </row>
    <row r="1316" spans="1:9" x14ac:dyDescent="0.75">
      <c r="A1316" s="1">
        <v>43845</v>
      </c>
      <c r="B1316">
        <v>57.84</v>
      </c>
      <c r="C1316">
        <v>58.23</v>
      </c>
      <c r="D1316">
        <v>58.41</v>
      </c>
      <c r="E1316">
        <v>57.42</v>
      </c>
      <c r="F1316" t="s">
        <v>1246</v>
      </c>
      <c r="G1316" s="2">
        <v>-7.1999999999999998E-3</v>
      </c>
      <c r="H1316">
        <f t="shared" si="40"/>
        <v>-7.2090628218330691E-3</v>
      </c>
      <c r="I1316">
        <f t="shared" si="41"/>
        <v>-7.2351736807792248E-3</v>
      </c>
    </row>
    <row r="1317" spans="1:9" x14ac:dyDescent="0.75">
      <c r="A1317" s="1">
        <v>43844</v>
      </c>
      <c r="B1317">
        <v>58.26</v>
      </c>
      <c r="C1317">
        <v>58.06</v>
      </c>
      <c r="D1317">
        <v>58.73</v>
      </c>
      <c r="E1317">
        <v>57.74</v>
      </c>
      <c r="F1317" t="s">
        <v>1247</v>
      </c>
      <c r="G1317" s="2">
        <v>3.0999999999999999E-3</v>
      </c>
      <c r="H1317">
        <f t="shared" si="40"/>
        <v>3.0991735537190036E-3</v>
      </c>
      <c r="I1317">
        <f t="shared" si="41"/>
        <v>3.0943810147478017E-3</v>
      </c>
    </row>
    <row r="1318" spans="1:9" x14ac:dyDescent="0.75">
      <c r="A1318" s="1">
        <v>43843</v>
      </c>
      <c r="B1318">
        <v>58.08</v>
      </c>
      <c r="C1318">
        <v>59.08</v>
      </c>
      <c r="D1318">
        <v>59.21</v>
      </c>
      <c r="E1318">
        <v>57.93</v>
      </c>
      <c r="F1318" t="s">
        <v>1248</v>
      </c>
      <c r="G1318" s="2">
        <v>-1.54E-2</v>
      </c>
      <c r="H1318">
        <f t="shared" si="40"/>
        <v>-1.5426343448042104E-2</v>
      </c>
      <c r="I1318">
        <f t="shared" si="41"/>
        <v>-1.5546567498443272E-2</v>
      </c>
    </row>
    <row r="1319" spans="1:9" x14ac:dyDescent="0.75">
      <c r="A1319" s="1">
        <v>43840</v>
      </c>
      <c r="B1319">
        <v>58.99</v>
      </c>
      <c r="C1319">
        <v>59.51</v>
      </c>
      <c r="D1319">
        <v>59.67</v>
      </c>
      <c r="E1319">
        <v>58.79</v>
      </c>
      <c r="F1319" t="s">
        <v>1249</v>
      </c>
      <c r="G1319" s="2">
        <v>-7.6E-3</v>
      </c>
      <c r="H1319">
        <f t="shared" si="40"/>
        <v>-7.5706594885598206E-3</v>
      </c>
      <c r="I1319">
        <f t="shared" si="41"/>
        <v>-7.5994623945197662E-3</v>
      </c>
    </row>
    <row r="1320" spans="1:9" x14ac:dyDescent="0.75">
      <c r="A1320" s="1">
        <v>43839</v>
      </c>
      <c r="B1320">
        <v>59.44</v>
      </c>
      <c r="C1320">
        <v>59.85</v>
      </c>
      <c r="D1320">
        <v>60.17</v>
      </c>
      <c r="E1320">
        <v>58.55</v>
      </c>
      <c r="F1320" t="s">
        <v>1250</v>
      </c>
      <c r="G1320" s="2">
        <v>-2.9999999999999997E-4</v>
      </c>
      <c r="H1320">
        <f t="shared" si="40"/>
        <v>-3.3636057854024768E-4</v>
      </c>
      <c r="I1320">
        <f t="shared" si="41"/>
        <v>-3.3641716044795374E-4</v>
      </c>
    </row>
    <row r="1321" spans="1:9" x14ac:dyDescent="0.75">
      <c r="A1321" s="1">
        <v>43838</v>
      </c>
      <c r="B1321">
        <v>59.46</v>
      </c>
      <c r="C1321">
        <v>62.63</v>
      </c>
      <c r="D1321">
        <v>65.400000000000006</v>
      </c>
      <c r="E1321">
        <v>58.99</v>
      </c>
      <c r="F1321" t="s">
        <v>1251</v>
      </c>
      <c r="G1321" s="2">
        <v>-4.8800000000000003E-2</v>
      </c>
      <c r="H1321">
        <f t="shared" si="40"/>
        <v>-4.8792193249080101E-2</v>
      </c>
      <c r="I1321">
        <f t="shared" si="41"/>
        <v>-5.0022726373769345E-2</v>
      </c>
    </row>
    <row r="1322" spans="1:9" x14ac:dyDescent="0.75">
      <c r="A1322" s="1">
        <v>43837</v>
      </c>
      <c r="B1322">
        <v>62.51</v>
      </c>
      <c r="C1322">
        <v>62.67</v>
      </c>
      <c r="D1322">
        <v>62.92</v>
      </c>
      <c r="E1322">
        <v>61.96</v>
      </c>
      <c r="F1322" t="s">
        <v>1252</v>
      </c>
      <c r="G1322" s="2">
        <v>-8.3999999999999995E-3</v>
      </c>
      <c r="H1322">
        <f t="shared" si="40"/>
        <v>-8.4073604060913888E-3</v>
      </c>
      <c r="I1322">
        <f t="shared" si="41"/>
        <v>-8.4429016059026883E-3</v>
      </c>
    </row>
    <row r="1323" spans="1:9" x14ac:dyDescent="0.75">
      <c r="A1323" s="1">
        <v>43836</v>
      </c>
      <c r="B1323">
        <v>63.04</v>
      </c>
      <c r="C1323">
        <v>63.43</v>
      </c>
      <c r="D1323">
        <v>64.45</v>
      </c>
      <c r="E1323">
        <v>62.43</v>
      </c>
      <c r="F1323" t="s">
        <v>1253</v>
      </c>
      <c r="G1323" s="2">
        <v>3.5000000000000001E-3</v>
      </c>
      <c r="H1323">
        <f t="shared" si="40"/>
        <v>3.502069404648183E-3</v>
      </c>
      <c r="I1323">
        <f t="shared" si="41"/>
        <v>3.4959514391231421E-3</v>
      </c>
    </row>
    <row r="1324" spans="1:9" x14ac:dyDescent="0.75">
      <c r="A1324" s="1">
        <v>43833</v>
      </c>
      <c r="B1324">
        <v>62.82</v>
      </c>
      <c r="C1324">
        <v>60.96</v>
      </c>
      <c r="D1324">
        <v>63.8</v>
      </c>
      <c r="E1324">
        <v>60.91</v>
      </c>
      <c r="F1324" t="s">
        <v>1254</v>
      </c>
      <c r="G1324" s="2">
        <v>3.0700000000000002E-2</v>
      </c>
      <c r="H1324">
        <f t="shared" si="40"/>
        <v>3.0680885972108243E-2</v>
      </c>
      <c r="I1324">
        <f t="shared" si="41"/>
        <v>3.0219638183219835E-2</v>
      </c>
    </row>
    <row r="1325" spans="1:9" x14ac:dyDescent="0.75">
      <c r="A1325" s="1">
        <v>43832</v>
      </c>
      <c r="B1325">
        <v>60.95</v>
      </c>
      <c r="C1325">
        <v>61.29</v>
      </c>
      <c r="D1325">
        <v>61.32</v>
      </c>
      <c r="E1325">
        <v>60.42</v>
      </c>
      <c r="F1325" t="s">
        <v>1255</v>
      </c>
      <c r="G1325" s="2">
        <v>-6.1999999999999998E-3</v>
      </c>
      <c r="H1325">
        <f t="shared" si="40"/>
        <v>-6.1959889124408194E-3</v>
      </c>
      <c r="I1325">
        <f t="shared" si="41"/>
        <v>-6.2152637106117096E-3</v>
      </c>
    </row>
    <row r="1326" spans="1:9" x14ac:dyDescent="0.75">
      <c r="A1326" s="1">
        <v>43831</v>
      </c>
      <c r="B1326">
        <v>61.33</v>
      </c>
      <c r="C1326">
        <v>61.52</v>
      </c>
      <c r="D1326">
        <v>61.54</v>
      </c>
      <c r="E1326">
        <v>61.33</v>
      </c>
      <c r="G1326" s="2">
        <v>9.1999999999999998E-3</v>
      </c>
      <c r="H1326">
        <f t="shared" si="40"/>
        <v>9.2150732269210989E-3</v>
      </c>
      <c r="I1326">
        <f t="shared" si="41"/>
        <v>9.172873490628496E-3</v>
      </c>
    </row>
    <row r="1327" spans="1:9" x14ac:dyDescent="0.75">
      <c r="A1327" s="1">
        <v>43830</v>
      </c>
      <c r="B1327">
        <v>60.77</v>
      </c>
      <c r="C1327">
        <v>61.41</v>
      </c>
      <c r="D1327">
        <v>61.61</v>
      </c>
      <c r="E1327">
        <v>60.43</v>
      </c>
      <c r="F1327" t="s">
        <v>1256</v>
      </c>
      <c r="G1327" s="2">
        <v>-1.09E-2</v>
      </c>
      <c r="H1327">
        <f t="shared" si="40"/>
        <v>-1.0904947916666579E-2</v>
      </c>
      <c r="I1327">
        <f t="shared" si="41"/>
        <v>-1.0964842692152836E-2</v>
      </c>
    </row>
    <row r="1328" spans="1:9" x14ac:dyDescent="0.75">
      <c r="A1328" s="1">
        <v>43829</v>
      </c>
      <c r="B1328">
        <v>61.44</v>
      </c>
      <c r="C1328">
        <v>61.49</v>
      </c>
      <c r="D1328">
        <v>62.14</v>
      </c>
      <c r="E1328">
        <v>60.84</v>
      </c>
      <c r="F1328" t="s">
        <v>1257</v>
      </c>
      <c r="G1328" s="2">
        <v>-1.5E-3</v>
      </c>
      <c r="H1328">
        <f t="shared" si="40"/>
        <v>-1.4627011214042485E-3</v>
      </c>
      <c r="I1328">
        <f t="shared" si="41"/>
        <v>-1.4637719129822451E-3</v>
      </c>
    </row>
    <row r="1329" spans="1:9" x14ac:dyDescent="0.75">
      <c r="A1329" s="1">
        <v>43826</v>
      </c>
      <c r="B1329">
        <v>61.53</v>
      </c>
      <c r="C1329">
        <v>61.51</v>
      </c>
      <c r="D1329">
        <v>61.76</v>
      </c>
      <c r="E1329">
        <v>61.06</v>
      </c>
      <c r="F1329" t="s">
        <v>1258</v>
      </c>
      <c r="G1329" s="2">
        <v>8.0000000000000004E-4</v>
      </c>
      <c r="H1329">
        <f t="shared" si="40"/>
        <v>8.1327260897859897E-4</v>
      </c>
      <c r="I1329">
        <f t="shared" si="41"/>
        <v>8.1294208200396935E-4</v>
      </c>
    </row>
    <row r="1330" spans="1:9" x14ac:dyDescent="0.75">
      <c r="A1330" s="1">
        <v>43825</v>
      </c>
      <c r="B1330">
        <v>61.48</v>
      </c>
      <c r="C1330">
        <v>61.07</v>
      </c>
      <c r="D1330">
        <v>61.6</v>
      </c>
      <c r="E1330">
        <v>60.9</v>
      </c>
      <c r="F1330" t="s">
        <v>1259</v>
      </c>
      <c r="G1330" s="2">
        <v>4.7000000000000002E-3</v>
      </c>
      <c r="H1330">
        <f t="shared" si="40"/>
        <v>4.7393364928909817E-3</v>
      </c>
      <c r="I1330">
        <f t="shared" si="41"/>
        <v>4.7281411959458957E-3</v>
      </c>
    </row>
    <row r="1331" spans="1:9" x14ac:dyDescent="0.75">
      <c r="A1331" s="1">
        <v>43824</v>
      </c>
      <c r="B1331">
        <v>61.19</v>
      </c>
      <c r="C1331">
        <v>61.45</v>
      </c>
      <c r="D1331">
        <v>61.52</v>
      </c>
      <c r="E1331">
        <v>61.17</v>
      </c>
      <c r="G1331" s="2">
        <v>4.1000000000000003E-3</v>
      </c>
      <c r="H1331">
        <f t="shared" si="40"/>
        <v>4.1023957991467019E-3</v>
      </c>
      <c r="I1331">
        <f t="shared" si="41"/>
        <v>4.0940039168860867E-3</v>
      </c>
    </row>
    <row r="1332" spans="1:9" x14ac:dyDescent="0.75">
      <c r="A1332" s="1">
        <v>43823</v>
      </c>
      <c r="B1332">
        <v>60.94</v>
      </c>
      <c r="C1332">
        <v>60.49</v>
      </c>
      <c r="D1332">
        <v>60.99</v>
      </c>
      <c r="E1332">
        <v>60.33</v>
      </c>
      <c r="F1332" t="s">
        <v>1260</v>
      </c>
      <c r="G1332" s="2">
        <v>9.7999999999999997E-3</v>
      </c>
      <c r="H1332">
        <f t="shared" si="40"/>
        <v>9.7763048881523828E-3</v>
      </c>
      <c r="I1332">
        <f t="shared" si="41"/>
        <v>9.7288260140223227E-3</v>
      </c>
    </row>
    <row r="1333" spans="1:9" x14ac:dyDescent="0.75">
      <c r="A1333" s="1">
        <v>43822</v>
      </c>
      <c r="B1333">
        <v>60.35</v>
      </c>
      <c r="C1333">
        <v>60.19</v>
      </c>
      <c r="D1333">
        <v>60.59</v>
      </c>
      <c r="E1333">
        <v>59.95</v>
      </c>
      <c r="F1333" t="s">
        <v>1261</v>
      </c>
      <c r="G1333" s="2">
        <v>1.6999999999999999E-3</v>
      </c>
      <c r="H1333">
        <f t="shared" si="40"/>
        <v>1.6597510373444219E-3</v>
      </c>
      <c r="I1333">
        <f t="shared" si="41"/>
        <v>1.6583751727761256E-3</v>
      </c>
    </row>
    <row r="1334" spans="1:9" x14ac:dyDescent="0.75">
      <c r="A1334" s="1">
        <v>43819</v>
      </c>
      <c r="B1334">
        <v>60.25</v>
      </c>
      <c r="C1334">
        <v>60.84</v>
      </c>
      <c r="D1334">
        <v>60.93</v>
      </c>
      <c r="E1334">
        <v>59.85</v>
      </c>
      <c r="F1334" t="s">
        <v>1262</v>
      </c>
      <c r="G1334" s="2">
        <v>-1.52E-2</v>
      </c>
      <c r="H1334">
        <f t="shared" si="40"/>
        <v>-1.5201046093494602E-2</v>
      </c>
      <c r="I1334">
        <f t="shared" si="41"/>
        <v>-1.5317766351993011E-2</v>
      </c>
    </row>
    <row r="1335" spans="1:9" x14ac:dyDescent="0.75">
      <c r="A1335" s="1">
        <v>43818</v>
      </c>
      <c r="B1335">
        <v>61.18</v>
      </c>
      <c r="C1335">
        <v>60.81</v>
      </c>
      <c r="D1335">
        <v>61.4</v>
      </c>
      <c r="E1335">
        <v>60.69</v>
      </c>
      <c r="F1335" t="s">
        <v>1263</v>
      </c>
      <c r="G1335" s="2">
        <v>5.4000000000000003E-3</v>
      </c>
      <c r="H1335">
        <f t="shared" si="40"/>
        <v>5.423171733771541E-3</v>
      </c>
      <c r="I1335">
        <f t="shared" si="41"/>
        <v>5.4085192892212516E-3</v>
      </c>
    </row>
    <row r="1336" spans="1:9" x14ac:dyDescent="0.75">
      <c r="A1336" s="1">
        <v>43817</v>
      </c>
      <c r="B1336">
        <v>60.85</v>
      </c>
      <c r="C1336">
        <v>60.49</v>
      </c>
      <c r="D1336">
        <v>61.11</v>
      </c>
      <c r="E1336">
        <v>60.24</v>
      </c>
      <c r="F1336" t="s">
        <v>1264</v>
      </c>
      <c r="G1336" s="2">
        <v>-2.9999999999999997E-4</v>
      </c>
      <c r="H1336">
        <f t="shared" si="40"/>
        <v>-3.2856908164935141E-4</v>
      </c>
      <c r="I1336">
        <f t="shared" si="41"/>
        <v>-3.2862307229682483E-4</v>
      </c>
    </row>
    <row r="1337" spans="1:9" x14ac:dyDescent="0.75">
      <c r="A1337" s="1">
        <v>43816</v>
      </c>
      <c r="B1337">
        <v>60.87</v>
      </c>
      <c r="C1337">
        <v>60.16</v>
      </c>
      <c r="D1337">
        <v>60.97</v>
      </c>
      <c r="E1337">
        <v>59.97</v>
      </c>
      <c r="F1337" t="s">
        <v>1265</v>
      </c>
      <c r="G1337" s="2">
        <v>1.21E-2</v>
      </c>
      <c r="H1337">
        <f t="shared" si="40"/>
        <v>1.2138343864316543E-2</v>
      </c>
      <c r="I1337">
        <f t="shared" si="41"/>
        <v>1.2065264945450021E-2</v>
      </c>
    </row>
    <row r="1338" spans="1:9" x14ac:dyDescent="0.75">
      <c r="A1338" s="1">
        <v>43815</v>
      </c>
      <c r="B1338">
        <v>60.14</v>
      </c>
      <c r="C1338">
        <v>59.83</v>
      </c>
      <c r="D1338">
        <v>60.29</v>
      </c>
      <c r="E1338">
        <v>59.62</v>
      </c>
      <c r="F1338" t="s">
        <v>1266</v>
      </c>
      <c r="G1338" s="2">
        <v>2.7000000000000001E-3</v>
      </c>
      <c r="H1338">
        <f t="shared" si="40"/>
        <v>2.6675558519507121E-3</v>
      </c>
      <c r="I1338">
        <f t="shared" si="41"/>
        <v>2.6640042395199943E-3</v>
      </c>
    </row>
    <row r="1339" spans="1:9" x14ac:dyDescent="0.75">
      <c r="A1339" s="1">
        <v>43812</v>
      </c>
      <c r="B1339">
        <v>59.98</v>
      </c>
      <c r="C1339">
        <v>59.26</v>
      </c>
      <c r="D1339">
        <v>60.39</v>
      </c>
      <c r="E1339">
        <v>59.19</v>
      </c>
      <c r="F1339" t="s">
        <v>1267</v>
      </c>
      <c r="G1339" s="2">
        <v>1.5599999999999999E-2</v>
      </c>
      <c r="H1339">
        <f t="shared" si="40"/>
        <v>1.5577378936674477E-2</v>
      </c>
      <c r="I1339">
        <f t="shared" si="41"/>
        <v>1.5457297005086289E-2</v>
      </c>
    </row>
    <row r="1340" spans="1:9" x14ac:dyDescent="0.75">
      <c r="A1340" s="1">
        <v>43811</v>
      </c>
      <c r="B1340">
        <v>59.06</v>
      </c>
      <c r="C1340">
        <v>58.77</v>
      </c>
      <c r="D1340">
        <v>59.61</v>
      </c>
      <c r="E1340">
        <v>58.67</v>
      </c>
      <c r="F1340" t="s">
        <v>1268</v>
      </c>
      <c r="G1340" s="2">
        <v>7.0000000000000001E-3</v>
      </c>
      <c r="H1340">
        <f t="shared" si="40"/>
        <v>6.9906223358909411E-3</v>
      </c>
      <c r="I1340">
        <f t="shared" si="41"/>
        <v>6.9663012162921355E-3</v>
      </c>
    </row>
    <row r="1341" spans="1:9" x14ac:dyDescent="0.75">
      <c r="A1341" s="1">
        <v>43810</v>
      </c>
      <c r="B1341">
        <v>58.65</v>
      </c>
      <c r="C1341">
        <v>58.98</v>
      </c>
      <c r="D1341">
        <v>59.1</v>
      </c>
      <c r="E1341">
        <v>58.02</v>
      </c>
      <c r="F1341" t="s">
        <v>1269</v>
      </c>
      <c r="G1341" s="2">
        <v>-8.3000000000000001E-3</v>
      </c>
      <c r="H1341">
        <f t="shared" si="40"/>
        <v>-8.2854244166385184E-3</v>
      </c>
      <c r="I1341">
        <f t="shared" si="41"/>
        <v>-8.3199393248466914E-3</v>
      </c>
    </row>
    <row r="1342" spans="1:9" x14ac:dyDescent="0.75">
      <c r="A1342" s="1">
        <v>43809</v>
      </c>
      <c r="B1342">
        <v>59.14</v>
      </c>
      <c r="C1342">
        <v>58.8</v>
      </c>
      <c r="D1342">
        <v>59.4</v>
      </c>
      <c r="E1342">
        <v>58.46</v>
      </c>
      <c r="F1342" t="s">
        <v>1270</v>
      </c>
      <c r="G1342" s="2">
        <v>3.7000000000000002E-3</v>
      </c>
      <c r="H1342">
        <f t="shared" si="40"/>
        <v>3.7338764426340606E-3</v>
      </c>
      <c r="I1342">
        <f t="shared" si="41"/>
        <v>3.7269228299015677E-3</v>
      </c>
    </row>
    <row r="1343" spans="1:9" x14ac:dyDescent="0.75">
      <c r="A1343" s="1">
        <v>43808</v>
      </c>
      <c r="B1343">
        <v>58.92</v>
      </c>
      <c r="C1343">
        <v>59.03</v>
      </c>
      <c r="D1343">
        <v>59.14</v>
      </c>
      <c r="E1343">
        <v>58.18</v>
      </c>
      <c r="F1343" t="s">
        <v>1271</v>
      </c>
      <c r="G1343" s="2">
        <v>-3.0000000000000001E-3</v>
      </c>
      <c r="H1343">
        <f t="shared" si="40"/>
        <v>-3.0456852791878124E-3</v>
      </c>
      <c r="I1343">
        <f t="shared" si="41"/>
        <v>-3.05033281762298E-3</v>
      </c>
    </row>
    <row r="1344" spans="1:9" x14ac:dyDescent="0.75">
      <c r="A1344" s="1">
        <v>43805</v>
      </c>
      <c r="B1344">
        <v>59.1</v>
      </c>
      <c r="C1344">
        <v>58.26</v>
      </c>
      <c r="D1344">
        <v>59.74</v>
      </c>
      <c r="E1344">
        <v>57.62</v>
      </c>
      <c r="F1344" t="s">
        <v>1272</v>
      </c>
      <c r="G1344" s="2">
        <v>1.2999999999999999E-2</v>
      </c>
      <c r="H1344">
        <f t="shared" si="40"/>
        <v>1.3027082619129207E-2</v>
      </c>
      <c r="I1344">
        <f t="shared" si="41"/>
        <v>1.2942959972477127E-2</v>
      </c>
    </row>
    <row r="1345" spans="1:9" x14ac:dyDescent="0.75">
      <c r="A1345" s="1">
        <v>43804</v>
      </c>
      <c r="B1345">
        <v>58.34</v>
      </c>
      <c r="C1345">
        <v>58.3</v>
      </c>
      <c r="D1345">
        <v>59</v>
      </c>
      <c r="E1345">
        <v>58.01</v>
      </c>
      <c r="F1345" t="s">
        <v>1273</v>
      </c>
      <c r="G1345" s="2">
        <v>0</v>
      </c>
      <c r="H1345">
        <f t="shared" si="40"/>
        <v>0</v>
      </c>
      <c r="I1345">
        <f t="shared" si="41"/>
        <v>0</v>
      </c>
    </row>
    <row r="1346" spans="1:9" x14ac:dyDescent="0.75">
      <c r="A1346" s="1">
        <v>43803</v>
      </c>
      <c r="B1346">
        <v>58.34</v>
      </c>
      <c r="C1346">
        <v>56.33</v>
      </c>
      <c r="D1346">
        <v>58.56</v>
      </c>
      <c r="E1346">
        <v>56.21</v>
      </c>
      <c r="F1346" t="s">
        <v>1274</v>
      </c>
      <c r="G1346" s="2">
        <v>4.1200000000000001E-2</v>
      </c>
      <c r="H1346">
        <f t="shared" si="40"/>
        <v>4.1227913617704844E-2</v>
      </c>
      <c r="I1346">
        <f t="shared" si="41"/>
        <v>4.0400702862382343E-2</v>
      </c>
    </row>
    <row r="1347" spans="1:9" x14ac:dyDescent="0.75">
      <c r="A1347" s="1">
        <v>43802</v>
      </c>
      <c r="B1347">
        <v>56.03</v>
      </c>
      <c r="C1347">
        <v>56</v>
      </c>
      <c r="D1347">
        <v>56.72</v>
      </c>
      <c r="E1347">
        <v>55.32</v>
      </c>
      <c r="F1347" t="s">
        <v>1275</v>
      </c>
      <c r="G1347" s="2">
        <v>2.0999999999999999E-3</v>
      </c>
      <c r="H1347">
        <f t="shared" ref="H1347:H1410" si="42">(B1347-B1348)/B1348</f>
        <v>2.1463065641209901E-3</v>
      </c>
      <c r="I1347">
        <f t="shared" ref="I1347:I1410" si="43">LN(B1347/B1348)</f>
        <v>2.1440065386392651E-3</v>
      </c>
    </row>
    <row r="1348" spans="1:9" x14ac:dyDescent="0.75">
      <c r="A1348" s="1">
        <v>43801</v>
      </c>
      <c r="B1348">
        <v>55.91</v>
      </c>
      <c r="C1348">
        <v>55.45</v>
      </c>
      <c r="D1348">
        <v>56.64</v>
      </c>
      <c r="E1348">
        <v>55.39</v>
      </c>
      <c r="F1348" t="s">
        <v>1276</v>
      </c>
      <c r="G1348" s="2">
        <v>1.4E-2</v>
      </c>
      <c r="H1348">
        <f t="shared" si="42"/>
        <v>1.3964454116793545E-2</v>
      </c>
      <c r="I1348">
        <f t="shared" si="43"/>
        <v>1.3867849442903233E-2</v>
      </c>
    </row>
    <row r="1349" spans="1:9" x14ac:dyDescent="0.75">
      <c r="A1349" s="1">
        <v>43798</v>
      </c>
      <c r="B1349">
        <v>55.14</v>
      </c>
      <c r="C1349">
        <v>58.08</v>
      </c>
      <c r="D1349">
        <v>58.24</v>
      </c>
      <c r="E1349">
        <v>55.01</v>
      </c>
      <c r="F1349" t="s">
        <v>1277</v>
      </c>
      <c r="G1349" s="2">
        <v>-5.0599999999999999E-2</v>
      </c>
      <c r="H1349">
        <f t="shared" si="42"/>
        <v>-5.0619834710743765E-2</v>
      </c>
      <c r="I1349">
        <f t="shared" si="43"/>
        <v>-5.1945964920889875E-2</v>
      </c>
    </row>
    <row r="1350" spans="1:9" x14ac:dyDescent="0.75">
      <c r="A1350" s="1">
        <v>43797</v>
      </c>
      <c r="B1350">
        <v>58.08</v>
      </c>
      <c r="C1350">
        <v>57.97</v>
      </c>
      <c r="D1350">
        <v>58.29</v>
      </c>
      <c r="E1350">
        <v>57.64</v>
      </c>
      <c r="G1350" s="2">
        <v>5.0000000000000001E-4</v>
      </c>
      <c r="H1350">
        <f t="shared" si="42"/>
        <v>5.1679586563309452E-4</v>
      </c>
      <c r="I1350">
        <f t="shared" si="43"/>
        <v>5.1666237264020502E-4</v>
      </c>
    </row>
    <row r="1351" spans="1:9" x14ac:dyDescent="0.75">
      <c r="A1351" s="1">
        <v>43796</v>
      </c>
      <c r="B1351">
        <v>58.05</v>
      </c>
      <c r="C1351">
        <v>58.2</v>
      </c>
      <c r="D1351">
        <v>58.6</v>
      </c>
      <c r="E1351">
        <v>57.46</v>
      </c>
      <c r="F1351" t="s">
        <v>1278</v>
      </c>
      <c r="G1351" s="2">
        <v>-4.5999999999999999E-3</v>
      </c>
      <c r="H1351">
        <f t="shared" si="42"/>
        <v>-4.6296296296296831E-3</v>
      </c>
      <c r="I1351">
        <f t="shared" si="43"/>
        <v>-4.6403795565022254E-3</v>
      </c>
    </row>
    <row r="1352" spans="1:9" x14ac:dyDescent="0.75">
      <c r="A1352" s="1">
        <v>43795</v>
      </c>
      <c r="B1352">
        <v>58.32</v>
      </c>
      <c r="C1352">
        <v>57.85</v>
      </c>
      <c r="D1352">
        <v>58.47</v>
      </c>
      <c r="E1352">
        <v>57.66</v>
      </c>
      <c r="F1352" t="s">
        <v>1279</v>
      </c>
      <c r="G1352" s="2">
        <v>7.1000000000000004E-3</v>
      </c>
      <c r="H1352">
        <f t="shared" si="42"/>
        <v>7.0799516491107531E-3</v>
      </c>
      <c r="I1352">
        <f t="shared" si="43"/>
        <v>7.0550064627042707E-3</v>
      </c>
    </row>
    <row r="1353" spans="1:9" x14ac:dyDescent="0.75">
      <c r="A1353" s="1">
        <v>43794</v>
      </c>
      <c r="B1353">
        <v>57.91</v>
      </c>
      <c r="C1353">
        <v>57.83</v>
      </c>
      <c r="D1353">
        <v>58.02</v>
      </c>
      <c r="E1353">
        <v>57.12</v>
      </c>
      <c r="F1353" t="s">
        <v>1280</v>
      </c>
      <c r="G1353" s="2">
        <v>4.3E-3</v>
      </c>
      <c r="H1353">
        <f t="shared" si="42"/>
        <v>4.3357613596947623E-3</v>
      </c>
      <c r="I1353">
        <f t="shared" si="43"/>
        <v>4.3263890274423669E-3</v>
      </c>
    </row>
    <row r="1354" spans="1:9" x14ac:dyDescent="0.75">
      <c r="A1354" s="1">
        <v>43791</v>
      </c>
      <c r="B1354">
        <v>57.66</v>
      </c>
      <c r="C1354">
        <v>58.22</v>
      </c>
      <c r="D1354">
        <v>58.56</v>
      </c>
      <c r="E1354">
        <v>57.39</v>
      </c>
      <c r="F1354" t="s">
        <v>1281</v>
      </c>
      <c r="G1354" s="2">
        <v>-1.2800000000000001E-2</v>
      </c>
      <c r="H1354">
        <f t="shared" si="42"/>
        <v>-1.2840267077555215E-2</v>
      </c>
      <c r="I1354">
        <f t="shared" si="43"/>
        <v>-1.2923415841961928E-2</v>
      </c>
    </row>
    <row r="1355" spans="1:9" x14ac:dyDescent="0.75">
      <c r="A1355" s="1">
        <v>43790</v>
      </c>
      <c r="B1355">
        <v>58.41</v>
      </c>
      <c r="C1355">
        <v>56.91</v>
      </c>
      <c r="D1355">
        <v>58.5</v>
      </c>
      <c r="E1355">
        <v>56.46</v>
      </c>
      <c r="F1355" t="s">
        <v>1282</v>
      </c>
      <c r="G1355" s="2">
        <v>2.46E-2</v>
      </c>
      <c r="H1355">
        <f t="shared" si="42"/>
        <v>2.4557095246447967E-2</v>
      </c>
      <c r="I1355">
        <f t="shared" si="43"/>
        <v>2.4260417008727522E-2</v>
      </c>
    </row>
    <row r="1356" spans="1:9" x14ac:dyDescent="0.75">
      <c r="A1356" s="1">
        <v>43789</v>
      </c>
      <c r="B1356">
        <v>57.01</v>
      </c>
      <c r="C1356">
        <v>55.26</v>
      </c>
      <c r="D1356">
        <v>57.37</v>
      </c>
      <c r="E1356">
        <v>54.85</v>
      </c>
      <c r="F1356" t="s">
        <v>1283</v>
      </c>
      <c r="G1356" s="2">
        <v>0.03</v>
      </c>
      <c r="H1356">
        <f t="shared" si="42"/>
        <v>2.9990966576332368E-2</v>
      </c>
      <c r="I1356">
        <f t="shared" si="43"/>
        <v>2.9550031888844454E-2</v>
      </c>
    </row>
    <row r="1357" spans="1:9" x14ac:dyDescent="0.75">
      <c r="A1357" s="1">
        <v>43788</v>
      </c>
      <c r="B1357">
        <v>55.35</v>
      </c>
      <c r="C1357">
        <v>57</v>
      </c>
      <c r="D1357">
        <v>57.21</v>
      </c>
      <c r="E1357">
        <v>55.16</v>
      </c>
      <c r="F1357" t="s">
        <v>1284</v>
      </c>
      <c r="G1357" s="2">
        <v>-3.1300000000000001E-2</v>
      </c>
      <c r="H1357">
        <f t="shared" si="42"/>
        <v>-3.1326566328316402E-2</v>
      </c>
      <c r="I1357">
        <f t="shared" si="43"/>
        <v>-3.1827737647981143E-2</v>
      </c>
    </row>
    <row r="1358" spans="1:9" x14ac:dyDescent="0.75">
      <c r="A1358" s="1">
        <v>43787</v>
      </c>
      <c r="B1358">
        <v>57.14</v>
      </c>
      <c r="C1358">
        <v>57.97</v>
      </c>
      <c r="D1358">
        <v>58.17</v>
      </c>
      <c r="E1358">
        <v>56.64</v>
      </c>
      <c r="F1358" t="s">
        <v>1285</v>
      </c>
      <c r="G1358" s="2">
        <v>-1.1900000000000001E-2</v>
      </c>
      <c r="H1358">
        <f t="shared" si="42"/>
        <v>-1.193152343074525E-2</v>
      </c>
      <c r="I1358">
        <f t="shared" si="43"/>
        <v>-1.2003275367499804E-2</v>
      </c>
    </row>
    <row r="1359" spans="1:9" x14ac:dyDescent="0.75">
      <c r="A1359" s="1">
        <v>43784</v>
      </c>
      <c r="B1359">
        <v>57.83</v>
      </c>
      <c r="C1359">
        <v>57.01</v>
      </c>
      <c r="D1359">
        <v>58.09</v>
      </c>
      <c r="E1359">
        <v>56.53</v>
      </c>
      <c r="F1359" t="s">
        <v>1286</v>
      </c>
      <c r="G1359" s="2">
        <v>1.67E-2</v>
      </c>
      <c r="H1359">
        <f t="shared" si="42"/>
        <v>1.6701828410689096E-2</v>
      </c>
      <c r="I1359">
        <f t="shared" si="43"/>
        <v>1.6563886675141297E-2</v>
      </c>
    </row>
    <row r="1360" spans="1:9" x14ac:dyDescent="0.75">
      <c r="A1360" s="1">
        <v>43783</v>
      </c>
      <c r="B1360">
        <v>56.88</v>
      </c>
      <c r="C1360">
        <v>57.42</v>
      </c>
      <c r="D1360">
        <v>57.85</v>
      </c>
      <c r="E1360">
        <v>56.76</v>
      </c>
      <c r="F1360" t="s">
        <v>1128</v>
      </c>
      <c r="G1360" s="2">
        <v>-5.5999999999999999E-3</v>
      </c>
      <c r="H1360">
        <f t="shared" si="42"/>
        <v>-5.5944055944055987E-3</v>
      </c>
      <c r="I1360">
        <f t="shared" si="43"/>
        <v>-5.610112890766788E-3</v>
      </c>
    </row>
    <row r="1361" spans="1:9" x14ac:dyDescent="0.75">
      <c r="A1361" s="1">
        <v>43782</v>
      </c>
      <c r="B1361">
        <v>57.2</v>
      </c>
      <c r="C1361">
        <v>56.83</v>
      </c>
      <c r="D1361">
        <v>57.6</v>
      </c>
      <c r="E1361">
        <v>56.27</v>
      </c>
      <c r="F1361" t="s">
        <v>1287</v>
      </c>
      <c r="G1361" s="2">
        <v>6.1999999999999998E-3</v>
      </c>
      <c r="H1361">
        <f t="shared" si="42"/>
        <v>6.1565523306948361E-3</v>
      </c>
      <c r="I1361">
        <f t="shared" si="43"/>
        <v>6.1376781892071453E-3</v>
      </c>
    </row>
    <row r="1362" spans="1:9" x14ac:dyDescent="0.75">
      <c r="A1362" s="1">
        <v>43781</v>
      </c>
      <c r="B1362">
        <v>56.85</v>
      </c>
      <c r="C1362">
        <v>56.91</v>
      </c>
      <c r="D1362">
        <v>57.59</v>
      </c>
      <c r="E1362">
        <v>56.59</v>
      </c>
      <c r="F1362" t="s">
        <v>1288</v>
      </c>
      <c r="G1362" s="2">
        <v>-8.9999999999999998E-4</v>
      </c>
      <c r="H1362">
        <f t="shared" si="42"/>
        <v>-8.7873462214406255E-4</v>
      </c>
      <c r="I1362">
        <f t="shared" si="43"/>
        <v>-8.7912093574012932E-4</v>
      </c>
    </row>
    <row r="1363" spans="1:9" x14ac:dyDescent="0.75">
      <c r="A1363" s="1">
        <v>43780</v>
      </c>
      <c r="B1363">
        <v>56.9</v>
      </c>
      <c r="C1363">
        <v>57.38</v>
      </c>
      <c r="D1363">
        <v>57.4</v>
      </c>
      <c r="E1363">
        <v>56.28</v>
      </c>
      <c r="F1363" t="s">
        <v>1289</v>
      </c>
      <c r="G1363" s="2">
        <v>-6.3E-3</v>
      </c>
      <c r="H1363">
        <f t="shared" si="42"/>
        <v>-6.2871114215857392E-3</v>
      </c>
      <c r="I1363">
        <f t="shared" si="43"/>
        <v>-6.3069585376837843E-3</v>
      </c>
    </row>
    <row r="1364" spans="1:9" x14ac:dyDescent="0.75">
      <c r="A1364" s="1">
        <v>43777</v>
      </c>
      <c r="B1364">
        <v>57.26</v>
      </c>
      <c r="C1364">
        <v>57.11</v>
      </c>
      <c r="D1364">
        <v>57.48</v>
      </c>
      <c r="E1364">
        <v>55.77</v>
      </c>
      <c r="F1364" t="s">
        <v>1290</v>
      </c>
      <c r="G1364" s="2">
        <v>1.9E-3</v>
      </c>
      <c r="H1364">
        <f t="shared" si="42"/>
        <v>1.9247594050743558E-3</v>
      </c>
      <c r="I1364">
        <f t="shared" si="43"/>
        <v>1.9229094291493805E-3</v>
      </c>
    </row>
    <row r="1365" spans="1:9" x14ac:dyDescent="0.75">
      <c r="A1365" s="1">
        <v>43776</v>
      </c>
      <c r="B1365">
        <v>57.15</v>
      </c>
      <c r="C1365">
        <v>56.37</v>
      </c>
      <c r="D1365">
        <v>57.85</v>
      </c>
      <c r="E1365">
        <v>56.31</v>
      </c>
      <c r="F1365" t="s">
        <v>1291</v>
      </c>
      <c r="G1365" s="2">
        <v>1.37E-2</v>
      </c>
      <c r="H1365">
        <f t="shared" si="42"/>
        <v>1.36573252926569E-2</v>
      </c>
      <c r="I1365">
        <f t="shared" si="43"/>
        <v>1.3564904554853045E-2</v>
      </c>
    </row>
    <row r="1366" spans="1:9" x14ac:dyDescent="0.75">
      <c r="A1366" s="1">
        <v>43775</v>
      </c>
      <c r="B1366">
        <v>56.38</v>
      </c>
      <c r="C1366">
        <v>57.3</v>
      </c>
      <c r="D1366">
        <v>57.87</v>
      </c>
      <c r="E1366">
        <v>56.16</v>
      </c>
      <c r="F1366" t="s">
        <v>1292</v>
      </c>
      <c r="G1366" s="2">
        <v>-1.5900000000000001E-2</v>
      </c>
      <c r="H1366">
        <f t="shared" si="42"/>
        <v>-1.5884098446500204E-2</v>
      </c>
      <c r="I1366">
        <f t="shared" si="43"/>
        <v>-1.6011602734519865E-2</v>
      </c>
    </row>
    <row r="1367" spans="1:9" x14ac:dyDescent="0.75">
      <c r="A1367" s="1">
        <v>43774</v>
      </c>
      <c r="B1367">
        <v>57.29</v>
      </c>
      <c r="C1367">
        <v>56.6</v>
      </c>
      <c r="D1367">
        <v>57.55</v>
      </c>
      <c r="E1367">
        <v>56.36</v>
      </c>
      <c r="F1367" t="s">
        <v>1293</v>
      </c>
      <c r="G1367" s="2">
        <v>1.2200000000000001E-2</v>
      </c>
      <c r="H1367">
        <f t="shared" si="42"/>
        <v>1.2190812720848015E-2</v>
      </c>
      <c r="I1367">
        <f t="shared" si="43"/>
        <v>1.2117103211349229E-2</v>
      </c>
    </row>
    <row r="1368" spans="1:9" x14ac:dyDescent="0.75">
      <c r="A1368" s="1">
        <v>43773</v>
      </c>
      <c r="B1368">
        <v>56.6</v>
      </c>
      <c r="C1368">
        <v>56.47</v>
      </c>
      <c r="D1368">
        <v>57.45</v>
      </c>
      <c r="E1368">
        <v>55.92</v>
      </c>
      <c r="F1368" t="s">
        <v>1294</v>
      </c>
      <c r="G1368" s="2">
        <v>5.8999999999999999E-3</v>
      </c>
      <c r="H1368">
        <f t="shared" si="42"/>
        <v>5.8645814821396526E-3</v>
      </c>
      <c r="I1368">
        <f t="shared" si="43"/>
        <v>5.8474517639495946E-3</v>
      </c>
    </row>
    <row r="1369" spans="1:9" x14ac:dyDescent="0.75">
      <c r="A1369" s="1">
        <v>43770</v>
      </c>
      <c r="B1369">
        <v>56.27</v>
      </c>
      <c r="C1369">
        <v>54.19</v>
      </c>
      <c r="D1369">
        <v>56.39</v>
      </c>
      <c r="E1369">
        <v>54.14</v>
      </c>
      <c r="F1369" t="s">
        <v>1295</v>
      </c>
      <c r="G1369" s="2">
        <v>3.7199999999999997E-2</v>
      </c>
      <c r="H1369">
        <f t="shared" si="42"/>
        <v>3.7235023041474712E-2</v>
      </c>
      <c r="I1369">
        <f t="shared" si="43"/>
        <v>3.6558541024618661E-2</v>
      </c>
    </row>
    <row r="1370" spans="1:9" x14ac:dyDescent="0.75">
      <c r="A1370" s="1">
        <v>43769</v>
      </c>
      <c r="B1370">
        <v>54.25</v>
      </c>
      <c r="C1370">
        <v>54.99</v>
      </c>
      <c r="D1370">
        <v>55.64</v>
      </c>
      <c r="E1370">
        <v>53.84</v>
      </c>
      <c r="F1370" t="s">
        <v>1296</v>
      </c>
      <c r="G1370" s="2">
        <v>-1.54E-2</v>
      </c>
      <c r="H1370">
        <f t="shared" si="42"/>
        <v>-1.5426497277676976E-2</v>
      </c>
      <c r="I1370">
        <f t="shared" si="43"/>
        <v>-1.5546723738299897E-2</v>
      </c>
    </row>
    <row r="1371" spans="1:9" x14ac:dyDescent="0.75">
      <c r="A1371" s="1">
        <v>43768</v>
      </c>
      <c r="B1371">
        <v>55.1</v>
      </c>
      <c r="C1371">
        <v>55.62</v>
      </c>
      <c r="D1371">
        <v>55.88</v>
      </c>
      <c r="E1371">
        <v>54.58</v>
      </c>
      <c r="F1371" t="s">
        <v>1297</v>
      </c>
      <c r="G1371" s="2">
        <v>-1.04E-2</v>
      </c>
      <c r="H1371">
        <f t="shared" si="42"/>
        <v>-1.0416666666666637E-2</v>
      </c>
      <c r="I1371">
        <f t="shared" si="43"/>
        <v>-1.0471299867295366E-2</v>
      </c>
    </row>
    <row r="1372" spans="1:9" x14ac:dyDescent="0.75">
      <c r="A1372" s="1">
        <v>43767</v>
      </c>
      <c r="B1372">
        <v>55.68</v>
      </c>
      <c r="C1372">
        <v>55.88</v>
      </c>
      <c r="D1372">
        <v>56.04</v>
      </c>
      <c r="E1372">
        <v>54.74</v>
      </c>
      <c r="F1372" t="s">
        <v>1298</v>
      </c>
      <c r="G1372" s="2">
        <v>-3.8999999999999998E-3</v>
      </c>
      <c r="H1372">
        <f t="shared" si="42"/>
        <v>-3.9355992844364732E-3</v>
      </c>
      <c r="I1372">
        <f t="shared" si="43"/>
        <v>-3.9433641348892053E-3</v>
      </c>
    </row>
    <row r="1373" spans="1:9" x14ac:dyDescent="0.75">
      <c r="A1373" s="1">
        <v>43766</v>
      </c>
      <c r="B1373">
        <v>55.9</v>
      </c>
      <c r="C1373">
        <v>56.7</v>
      </c>
      <c r="D1373">
        <v>56.99</v>
      </c>
      <c r="E1373">
        <v>55.68</v>
      </c>
      <c r="F1373" t="s">
        <v>1299</v>
      </c>
      <c r="G1373" s="2">
        <v>-1.43E-2</v>
      </c>
      <c r="H1373">
        <f t="shared" si="42"/>
        <v>-1.4283195203667824E-2</v>
      </c>
      <c r="I1373">
        <f t="shared" si="43"/>
        <v>-1.4386181864883212E-2</v>
      </c>
    </row>
    <row r="1374" spans="1:9" x14ac:dyDescent="0.75">
      <c r="A1374" s="1">
        <v>43763</v>
      </c>
      <c r="B1374">
        <v>56.71</v>
      </c>
      <c r="C1374">
        <v>56.13</v>
      </c>
      <c r="D1374">
        <v>56.79</v>
      </c>
      <c r="E1374">
        <v>55.65</v>
      </c>
      <c r="F1374" t="s">
        <v>1300</v>
      </c>
      <c r="G1374" s="2">
        <v>7.7999999999999996E-3</v>
      </c>
      <c r="H1374">
        <f t="shared" si="42"/>
        <v>7.8194419761862047E-3</v>
      </c>
      <c r="I1374">
        <f t="shared" si="43"/>
        <v>7.7890285807488968E-3</v>
      </c>
    </row>
    <row r="1375" spans="1:9" x14ac:dyDescent="0.75">
      <c r="A1375" s="1">
        <v>43762</v>
      </c>
      <c r="B1375">
        <v>56.27</v>
      </c>
      <c r="C1375">
        <v>55.9</v>
      </c>
      <c r="D1375">
        <v>56.55</v>
      </c>
      <c r="E1375">
        <v>55.46</v>
      </c>
      <c r="F1375" t="s">
        <v>1301</v>
      </c>
      <c r="G1375" s="2">
        <v>5.0000000000000001E-3</v>
      </c>
      <c r="H1375">
        <f t="shared" si="42"/>
        <v>5.0008930166101292E-3</v>
      </c>
      <c r="I1375">
        <f t="shared" si="43"/>
        <v>4.988430084385694E-3</v>
      </c>
    </row>
    <row r="1376" spans="1:9" x14ac:dyDescent="0.75">
      <c r="A1376" s="1">
        <v>43761</v>
      </c>
      <c r="B1376">
        <v>55.99</v>
      </c>
      <c r="C1376">
        <v>54.31</v>
      </c>
      <c r="D1376">
        <v>56.1</v>
      </c>
      <c r="E1376">
        <v>53.69</v>
      </c>
      <c r="F1376" t="s">
        <v>1302</v>
      </c>
      <c r="G1376" s="2">
        <v>2.7699999999999999E-2</v>
      </c>
      <c r="H1376">
        <f t="shared" si="42"/>
        <v>2.77165932452277E-2</v>
      </c>
      <c r="I1376">
        <f t="shared" si="43"/>
        <v>2.7339441519545066E-2</v>
      </c>
    </row>
    <row r="1377" spans="1:9" x14ac:dyDescent="0.75">
      <c r="A1377" s="1">
        <v>43760</v>
      </c>
      <c r="B1377">
        <v>54.48</v>
      </c>
      <c r="C1377">
        <v>53.6</v>
      </c>
      <c r="D1377">
        <v>54.81</v>
      </c>
      <c r="E1377">
        <v>53.23</v>
      </c>
      <c r="F1377" t="s">
        <v>1303</v>
      </c>
      <c r="G1377" s="2">
        <v>1.8100000000000002E-2</v>
      </c>
      <c r="H1377">
        <f t="shared" si="42"/>
        <v>1.812745281255838E-2</v>
      </c>
      <c r="I1377">
        <f t="shared" si="43"/>
        <v>1.7965109518043615E-2</v>
      </c>
    </row>
    <row r="1378" spans="1:9" x14ac:dyDescent="0.75">
      <c r="A1378" s="1">
        <v>43759</v>
      </c>
      <c r="B1378">
        <v>53.51</v>
      </c>
      <c r="C1378">
        <v>53.83</v>
      </c>
      <c r="D1378">
        <v>54.17</v>
      </c>
      <c r="E1378">
        <v>52.85</v>
      </c>
      <c r="F1378" t="s">
        <v>1304</v>
      </c>
      <c r="G1378" s="2">
        <v>-6.7000000000000002E-3</v>
      </c>
      <c r="H1378">
        <f t="shared" si="42"/>
        <v>-6.6827547800259787E-3</v>
      </c>
      <c r="I1378">
        <f t="shared" si="43"/>
        <v>-6.705184369229145E-3</v>
      </c>
    </row>
    <row r="1379" spans="1:9" x14ac:dyDescent="0.75">
      <c r="A1379" s="1">
        <v>43756</v>
      </c>
      <c r="B1379">
        <v>53.87</v>
      </c>
      <c r="C1379">
        <v>54.2</v>
      </c>
      <c r="D1379">
        <v>54.69</v>
      </c>
      <c r="E1379">
        <v>53.44</v>
      </c>
      <c r="F1379" t="s">
        <v>1305</v>
      </c>
      <c r="G1379" s="2">
        <v>-3.0000000000000001E-3</v>
      </c>
      <c r="H1379">
        <f t="shared" si="42"/>
        <v>-2.9613177864150231E-3</v>
      </c>
      <c r="I1379">
        <f t="shared" si="43"/>
        <v>-2.9657111635321238E-3</v>
      </c>
    </row>
    <row r="1380" spans="1:9" x14ac:dyDescent="0.75">
      <c r="A1380" s="1">
        <v>43755</v>
      </c>
      <c r="B1380">
        <v>54.03</v>
      </c>
      <c r="C1380">
        <v>53.08</v>
      </c>
      <c r="D1380">
        <v>54.26</v>
      </c>
      <c r="E1380">
        <v>52.73</v>
      </c>
      <c r="F1380" t="s">
        <v>1306</v>
      </c>
      <c r="G1380" s="2">
        <v>1.09E-2</v>
      </c>
      <c r="H1380">
        <f t="shared" si="42"/>
        <v>1.0851262862488274E-2</v>
      </c>
      <c r="I1380">
        <f t="shared" si="43"/>
        <v>1.079281038492003E-2</v>
      </c>
    </row>
    <row r="1381" spans="1:9" x14ac:dyDescent="0.75">
      <c r="A1381" s="1">
        <v>43754</v>
      </c>
      <c r="B1381">
        <v>53.45</v>
      </c>
      <c r="C1381">
        <v>52.98</v>
      </c>
      <c r="D1381">
        <v>53.82</v>
      </c>
      <c r="E1381">
        <v>52.6</v>
      </c>
      <c r="F1381" t="s">
        <v>1307</v>
      </c>
      <c r="G1381" s="2">
        <v>1.0800000000000001E-2</v>
      </c>
      <c r="H1381">
        <f t="shared" si="42"/>
        <v>1.0779122541603636E-2</v>
      </c>
      <c r="I1381">
        <f t="shared" si="43"/>
        <v>1.0721441927623381E-2</v>
      </c>
    </row>
    <row r="1382" spans="1:9" x14ac:dyDescent="0.75">
      <c r="A1382" s="1">
        <v>43753</v>
      </c>
      <c r="B1382">
        <v>52.88</v>
      </c>
      <c r="C1382">
        <v>53.56</v>
      </c>
      <c r="D1382">
        <v>53.84</v>
      </c>
      <c r="E1382">
        <v>52.46</v>
      </c>
      <c r="F1382" t="s">
        <v>1308</v>
      </c>
      <c r="G1382" s="2">
        <v>-1.44E-2</v>
      </c>
      <c r="H1382">
        <f t="shared" si="42"/>
        <v>-1.4352283317800486E-2</v>
      </c>
      <c r="I1382">
        <f t="shared" si="43"/>
        <v>-1.4456273533276545E-2</v>
      </c>
    </row>
    <row r="1383" spans="1:9" x14ac:dyDescent="0.75">
      <c r="A1383" s="1">
        <v>43752</v>
      </c>
      <c r="B1383">
        <v>53.65</v>
      </c>
      <c r="C1383">
        <v>54.97</v>
      </c>
      <c r="D1383">
        <v>54.99</v>
      </c>
      <c r="E1383">
        <v>52.86</v>
      </c>
      <c r="F1383" t="s">
        <v>1309</v>
      </c>
      <c r="G1383" s="2">
        <v>-2.06E-2</v>
      </c>
      <c r="H1383">
        <f t="shared" si="42"/>
        <v>-2.0627966411098986E-2</v>
      </c>
      <c r="I1383">
        <f t="shared" si="43"/>
        <v>-2.0843694758224666E-2</v>
      </c>
    </row>
    <row r="1384" spans="1:9" x14ac:dyDescent="0.75">
      <c r="A1384" s="1">
        <v>43749</v>
      </c>
      <c r="B1384">
        <v>54.78</v>
      </c>
      <c r="C1384">
        <v>53.87</v>
      </c>
      <c r="D1384">
        <v>54.99</v>
      </c>
      <c r="E1384">
        <v>53.67</v>
      </c>
      <c r="F1384" t="s">
        <v>1310</v>
      </c>
      <c r="G1384" s="2">
        <v>2.2800000000000001E-2</v>
      </c>
      <c r="H1384">
        <f t="shared" si="42"/>
        <v>2.2778192681105279E-2</v>
      </c>
      <c r="I1384">
        <f t="shared" si="43"/>
        <v>2.2522643011960299E-2</v>
      </c>
    </row>
    <row r="1385" spans="1:9" x14ac:dyDescent="0.75">
      <c r="A1385" s="1">
        <v>43748</v>
      </c>
      <c r="B1385">
        <v>53.56</v>
      </c>
      <c r="C1385">
        <v>52.61</v>
      </c>
      <c r="D1385">
        <v>53.98</v>
      </c>
      <c r="E1385">
        <v>51.4</v>
      </c>
      <c r="F1385" t="s">
        <v>1311</v>
      </c>
      <c r="G1385" s="2">
        <v>1.8100000000000002E-2</v>
      </c>
      <c r="H1385">
        <f t="shared" si="42"/>
        <v>1.8057403535449587E-2</v>
      </c>
      <c r="I1385">
        <f t="shared" si="43"/>
        <v>1.7896305080255855E-2</v>
      </c>
    </row>
    <row r="1386" spans="1:9" x14ac:dyDescent="0.75">
      <c r="A1386" s="1">
        <v>43747</v>
      </c>
      <c r="B1386">
        <v>52.61</v>
      </c>
      <c r="C1386">
        <v>52.57</v>
      </c>
      <c r="D1386">
        <v>53.71</v>
      </c>
      <c r="E1386">
        <v>52.3</v>
      </c>
      <c r="F1386" t="s">
        <v>1312</v>
      </c>
      <c r="G1386" s="2">
        <v>-2.0000000000000001E-4</v>
      </c>
      <c r="H1386">
        <f t="shared" si="42"/>
        <v>-1.9004180919798578E-4</v>
      </c>
      <c r="I1386">
        <f t="shared" si="43"/>
        <v>-1.900598694308068E-4</v>
      </c>
    </row>
    <row r="1387" spans="1:9" x14ac:dyDescent="0.75">
      <c r="A1387" s="1">
        <v>43746</v>
      </c>
      <c r="B1387">
        <v>52.62</v>
      </c>
      <c r="C1387">
        <v>52.7</v>
      </c>
      <c r="D1387">
        <v>53.22</v>
      </c>
      <c r="E1387">
        <v>51.78</v>
      </c>
      <c r="F1387" t="s">
        <v>1313</v>
      </c>
      <c r="G1387" s="2">
        <v>-1.6999999999999999E-3</v>
      </c>
      <c r="H1387">
        <f t="shared" si="42"/>
        <v>-1.7074558907228877E-3</v>
      </c>
      <c r="I1387">
        <f t="shared" si="43"/>
        <v>-1.7089152549688721E-3</v>
      </c>
    </row>
    <row r="1388" spans="1:9" x14ac:dyDescent="0.75">
      <c r="A1388" s="1">
        <v>43745</v>
      </c>
      <c r="B1388">
        <v>52.71</v>
      </c>
      <c r="C1388">
        <v>52.59</v>
      </c>
      <c r="D1388">
        <v>53.96</v>
      </c>
      <c r="E1388">
        <v>52.52</v>
      </c>
      <c r="F1388" t="s">
        <v>1314</v>
      </c>
      <c r="G1388" s="2">
        <v>-5.9999999999999995E-4</v>
      </c>
      <c r="H1388">
        <f t="shared" si="42"/>
        <v>-5.6882821387942996E-4</v>
      </c>
      <c r="I1388">
        <f t="shared" si="43"/>
        <v>-5.6899005802508692E-4</v>
      </c>
    </row>
    <row r="1389" spans="1:9" x14ac:dyDescent="0.75">
      <c r="A1389" s="1">
        <v>43742</v>
      </c>
      <c r="B1389">
        <v>52.74</v>
      </c>
      <c r="C1389">
        <v>52.19</v>
      </c>
      <c r="D1389">
        <v>53.26</v>
      </c>
      <c r="E1389">
        <v>51.98</v>
      </c>
      <c r="F1389" t="s">
        <v>1315</v>
      </c>
      <c r="G1389" s="2">
        <v>7.3000000000000001E-3</v>
      </c>
      <c r="H1389">
        <f t="shared" si="42"/>
        <v>7.2574484339190714E-3</v>
      </c>
      <c r="I1389">
        <f t="shared" si="43"/>
        <v>7.231239883441605E-3</v>
      </c>
    </row>
    <row r="1390" spans="1:9" x14ac:dyDescent="0.75">
      <c r="A1390" s="1">
        <v>43741</v>
      </c>
      <c r="B1390">
        <v>52.36</v>
      </c>
      <c r="C1390">
        <v>52.31</v>
      </c>
      <c r="D1390">
        <v>52.77</v>
      </c>
      <c r="E1390">
        <v>50.89</v>
      </c>
      <c r="F1390" t="s">
        <v>1316</v>
      </c>
      <c r="G1390" s="2">
        <v>-2.8999999999999998E-3</v>
      </c>
      <c r="H1390">
        <f t="shared" si="42"/>
        <v>-2.8565987430965263E-3</v>
      </c>
      <c r="I1390">
        <f t="shared" si="43"/>
        <v>-2.8606866080687042E-3</v>
      </c>
    </row>
    <row r="1391" spans="1:9" x14ac:dyDescent="0.75">
      <c r="A1391" s="1">
        <v>43740</v>
      </c>
      <c r="B1391">
        <v>52.51</v>
      </c>
      <c r="C1391">
        <v>53.85</v>
      </c>
      <c r="D1391">
        <v>54.28</v>
      </c>
      <c r="E1391">
        <v>52.05</v>
      </c>
      <c r="F1391" t="s">
        <v>1317</v>
      </c>
      <c r="G1391" s="2">
        <v>-1.8499999999999999E-2</v>
      </c>
      <c r="H1391">
        <f t="shared" si="42"/>
        <v>-1.85046728971963E-2</v>
      </c>
      <c r="I1391">
        <f t="shared" si="43"/>
        <v>-1.8678026252192944E-2</v>
      </c>
    </row>
    <row r="1392" spans="1:9" x14ac:dyDescent="0.75">
      <c r="A1392" s="1">
        <v>43739</v>
      </c>
      <c r="B1392">
        <v>53.5</v>
      </c>
      <c r="C1392">
        <v>54.13</v>
      </c>
      <c r="D1392">
        <v>54.73</v>
      </c>
      <c r="E1392">
        <v>52.95</v>
      </c>
      <c r="F1392" t="s">
        <v>1318</v>
      </c>
      <c r="G1392" s="2">
        <v>-8.8999999999999999E-3</v>
      </c>
      <c r="H1392">
        <f t="shared" si="42"/>
        <v>-8.8921822897368823E-3</v>
      </c>
      <c r="I1392">
        <f t="shared" si="43"/>
        <v>-8.9319536878976636E-3</v>
      </c>
    </row>
    <row r="1393" spans="1:9" x14ac:dyDescent="0.75">
      <c r="A1393" s="1">
        <v>43738</v>
      </c>
      <c r="B1393">
        <v>53.98</v>
      </c>
      <c r="C1393">
        <v>56.39</v>
      </c>
      <c r="D1393">
        <v>56.4</v>
      </c>
      <c r="E1393">
        <v>53.89</v>
      </c>
      <c r="F1393" t="s">
        <v>1319</v>
      </c>
      <c r="G1393" s="2">
        <v>-3.2399999999999998E-2</v>
      </c>
      <c r="H1393">
        <f t="shared" si="42"/>
        <v>-3.2443090159526837E-2</v>
      </c>
      <c r="I1393">
        <f t="shared" si="43"/>
        <v>-3.2981034267578431E-2</v>
      </c>
    </row>
    <row r="1394" spans="1:9" x14ac:dyDescent="0.75">
      <c r="A1394" s="1">
        <v>43735</v>
      </c>
      <c r="B1394">
        <v>55.79</v>
      </c>
      <c r="C1394">
        <v>56.3</v>
      </c>
      <c r="D1394">
        <v>56.61</v>
      </c>
      <c r="E1394">
        <v>54.64</v>
      </c>
      <c r="F1394" t="s">
        <v>1320</v>
      </c>
      <c r="G1394" s="2">
        <v>-8.6999999999999994E-3</v>
      </c>
      <c r="H1394">
        <f t="shared" si="42"/>
        <v>-8.7064676616915773E-3</v>
      </c>
      <c r="I1394">
        <f t="shared" si="43"/>
        <v>-8.7445903887513748E-3</v>
      </c>
    </row>
    <row r="1395" spans="1:9" x14ac:dyDescent="0.75">
      <c r="A1395" s="1">
        <v>43734</v>
      </c>
      <c r="B1395">
        <v>56.28</v>
      </c>
      <c r="C1395">
        <v>56.55</v>
      </c>
      <c r="D1395">
        <v>56.65</v>
      </c>
      <c r="E1395">
        <v>55.25</v>
      </c>
      <c r="F1395" t="s">
        <v>1321</v>
      </c>
      <c r="G1395" s="2">
        <v>-6.9999999999999999E-4</v>
      </c>
      <c r="H1395">
        <f t="shared" si="42"/>
        <v>-7.1022727272725757E-4</v>
      </c>
      <c r="I1395">
        <f t="shared" si="43"/>
        <v>-7.1047960359867405E-4</v>
      </c>
    </row>
    <row r="1396" spans="1:9" x14ac:dyDescent="0.75">
      <c r="A1396" s="1">
        <v>43733</v>
      </c>
      <c r="B1396">
        <v>56.32</v>
      </c>
      <c r="C1396">
        <v>56.45</v>
      </c>
      <c r="D1396">
        <v>56.8</v>
      </c>
      <c r="E1396">
        <v>55.37</v>
      </c>
      <c r="F1396" t="s">
        <v>1322</v>
      </c>
      <c r="G1396" s="2">
        <v>-1.3299999999999999E-2</v>
      </c>
      <c r="H1396">
        <f t="shared" si="42"/>
        <v>-1.3314646110721759E-2</v>
      </c>
      <c r="I1396">
        <f t="shared" si="43"/>
        <v>-1.3404080758848663E-2</v>
      </c>
    </row>
    <row r="1397" spans="1:9" x14ac:dyDescent="0.75">
      <c r="A1397" s="1">
        <v>43732</v>
      </c>
      <c r="B1397">
        <v>57.08</v>
      </c>
      <c r="C1397">
        <v>58.21</v>
      </c>
      <c r="D1397">
        <v>58.26</v>
      </c>
      <c r="E1397">
        <v>56.47</v>
      </c>
      <c r="F1397" t="s">
        <v>1323</v>
      </c>
      <c r="G1397" s="2">
        <v>-2.29E-2</v>
      </c>
      <c r="H1397">
        <f t="shared" si="42"/>
        <v>-2.293735022252659E-2</v>
      </c>
      <c r="I1397">
        <f t="shared" si="43"/>
        <v>-2.3204504350959339E-2</v>
      </c>
    </row>
    <row r="1398" spans="1:9" x14ac:dyDescent="0.75">
      <c r="A1398" s="1">
        <v>43731</v>
      </c>
      <c r="B1398">
        <v>58.42</v>
      </c>
      <c r="C1398">
        <v>58.98</v>
      </c>
      <c r="D1398">
        <v>59.11</v>
      </c>
      <c r="E1398">
        <v>57.13</v>
      </c>
      <c r="F1398" t="s">
        <v>1324</v>
      </c>
      <c r="G1398" s="2">
        <v>5.7000000000000002E-3</v>
      </c>
      <c r="H1398">
        <f t="shared" si="42"/>
        <v>5.6808400757445048E-3</v>
      </c>
      <c r="I1398">
        <f t="shared" si="43"/>
        <v>5.6647649551536689E-3</v>
      </c>
    </row>
    <row r="1399" spans="1:9" x14ac:dyDescent="0.75">
      <c r="A1399" s="1">
        <v>43728</v>
      </c>
      <c r="B1399">
        <v>58.09</v>
      </c>
      <c r="C1399">
        <v>58.69</v>
      </c>
      <c r="D1399">
        <v>59.24</v>
      </c>
      <c r="E1399">
        <v>57.93</v>
      </c>
      <c r="F1399" t="s">
        <v>1325</v>
      </c>
      <c r="G1399" s="2">
        <v>-1.6999999999999999E-3</v>
      </c>
      <c r="H1399">
        <f t="shared" si="42"/>
        <v>-1.718508334765326E-3</v>
      </c>
      <c r="I1399">
        <f t="shared" si="43"/>
        <v>-1.7199866641372785E-3</v>
      </c>
    </row>
    <row r="1400" spans="1:9" x14ac:dyDescent="0.75">
      <c r="A1400" s="1">
        <v>43727</v>
      </c>
      <c r="B1400">
        <v>58.19</v>
      </c>
      <c r="C1400">
        <v>58.17</v>
      </c>
      <c r="D1400">
        <v>59.49</v>
      </c>
      <c r="E1400">
        <v>58.02</v>
      </c>
      <c r="F1400" t="s">
        <v>1326</v>
      </c>
      <c r="G1400" s="2">
        <v>2.5999999999999999E-3</v>
      </c>
      <c r="H1400">
        <f t="shared" si="42"/>
        <v>2.5844245348035592E-3</v>
      </c>
      <c r="I1400">
        <f t="shared" si="43"/>
        <v>2.5810906525913302E-3</v>
      </c>
    </row>
    <row r="1401" spans="1:9" x14ac:dyDescent="0.75">
      <c r="A1401" s="1">
        <v>43726</v>
      </c>
      <c r="B1401">
        <v>58.04</v>
      </c>
      <c r="C1401">
        <v>58.62</v>
      </c>
      <c r="D1401">
        <v>59.27</v>
      </c>
      <c r="E1401">
        <v>57.58</v>
      </c>
      <c r="F1401" t="s">
        <v>1327</v>
      </c>
      <c r="G1401" s="2">
        <v>-1.7899999999999999E-2</v>
      </c>
      <c r="H1401">
        <f t="shared" si="42"/>
        <v>-1.7935702199661629E-2</v>
      </c>
      <c r="I1401">
        <f t="shared" si="43"/>
        <v>-1.8098496396065502E-2</v>
      </c>
    </row>
    <row r="1402" spans="1:9" x14ac:dyDescent="0.75">
      <c r="A1402" s="1">
        <v>43725</v>
      </c>
      <c r="B1402">
        <v>59.1</v>
      </c>
      <c r="C1402">
        <v>61.72</v>
      </c>
      <c r="D1402">
        <v>62.39</v>
      </c>
      <c r="E1402">
        <v>58.27</v>
      </c>
      <c r="F1402" t="s">
        <v>1328</v>
      </c>
      <c r="G1402" s="2">
        <v>-5.7000000000000002E-2</v>
      </c>
      <c r="H1402">
        <f t="shared" si="42"/>
        <v>-5.6965055050263287E-2</v>
      </c>
      <c r="I1402">
        <f t="shared" si="43"/>
        <v>-5.8651939824531589E-2</v>
      </c>
    </row>
    <row r="1403" spans="1:9" x14ac:dyDescent="0.75">
      <c r="A1403" s="1">
        <v>43724</v>
      </c>
      <c r="B1403">
        <v>62.67</v>
      </c>
      <c r="C1403">
        <v>60.16</v>
      </c>
      <c r="D1403">
        <v>63.89</v>
      </c>
      <c r="E1403">
        <v>58.62</v>
      </c>
      <c r="F1403" t="s">
        <v>1329</v>
      </c>
      <c r="G1403" s="2">
        <v>0.14360000000000001</v>
      </c>
      <c r="H1403">
        <f t="shared" si="42"/>
        <v>0.14361313868613149</v>
      </c>
      <c r="I1403">
        <f t="shared" si="43"/>
        <v>0.13419267028261433</v>
      </c>
    </row>
    <row r="1404" spans="1:9" x14ac:dyDescent="0.75">
      <c r="A1404" s="1">
        <v>43721</v>
      </c>
      <c r="B1404">
        <v>54.8</v>
      </c>
      <c r="C1404">
        <v>55.11</v>
      </c>
      <c r="D1404">
        <v>55.61</v>
      </c>
      <c r="E1404">
        <v>54.38</v>
      </c>
      <c r="F1404" t="s">
        <v>1330</v>
      </c>
      <c r="G1404" s="2">
        <v>-4.4999999999999997E-3</v>
      </c>
      <c r="H1404">
        <f t="shared" si="42"/>
        <v>-4.5413260672116261E-3</v>
      </c>
      <c r="I1404">
        <f t="shared" si="43"/>
        <v>-4.5516692147190754E-3</v>
      </c>
    </row>
    <row r="1405" spans="1:9" x14ac:dyDescent="0.75">
      <c r="A1405" s="1">
        <v>43720</v>
      </c>
      <c r="B1405">
        <v>55.05</v>
      </c>
      <c r="C1405">
        <v>55.85</v>
      </c>
      <c r="D1405">
        <v>56.28</v>
      </c>
      <c r="E1405">
        <v>53.93</v>
      </c>
      <c r="F1405" t="s">
        <v>1331</v>
      </c>
      <c r="G1405" s="2">
        <v>-1.11E-2</v>
      </c>
      <c r="H1405">
        <f t="shared" si="42"/>
        <v>-1.1137057661217973E-2</v>
      </c>
      <c r="I1405">
        <f t="shared" si="43"/>
        <v>-1.1199539026727514E-2</v>
      </c>
    </row>
    <row r="1406" spans="1:9" x14ac:dyDescent="0.75">
      <c r="A1406" s="1">
        <v>43719</v>
      </c>
      <c r="B1406">
        <v>55.67</v>
      </c>
      <c r="C1406">
        <v>57.76</v>
      </c>
      <c r="D1406">
        <v>58.19</v>
      </c>
      <c r="E1406">
        <v>55.54</v>
      </c>
      <c r="F1406" t="s">
        <v>1332</v>
      </c>
      <c r="G1406" s="2">
        <v>-2.8299999999999999E-2</v>
      </c>
      <c r="H1406">
        <f t="shared" si="42"/>
        <v>-2.8277186245418005E-2</v>
      </c>
      <c r="I1406">
        <f t="shared" si="43"/>
        <v>-2.868468622506996E-2</v>
      </c>
    </row>
    <row r="1407" spans="1:9" x14ac:dyDescent="0.75">
      <c r="A1407" s="1">
        <v>43718</v>
      </c>
      <c r="B1407">
        <v>57.29</v>
      </c>
      <c r="C1407">
        <v>57.91</v>
      </c>
      <c r="D1407">
        <v>58.64</v>
      </c>
      <c r="E1407">
        <v>57.09</v>
      </c>
      <c r="F1407" t="s">
        <v>470</v>
      </c>
      <c r="G1407" s="2">
        <v>-7.6E-3</v>
      </c>
      <c r="H1407">
        <f t="shared" si="42"/>
        <v>-7.6216871643858958E-3</v>
      </c>
      <c r="I1407">
        <f t="shared" si="43"/>
        <v>-7.650880652355775E-3</v>
      </c>
    </row>
    <row r="1408" spans="1:9" x14ac:dyDescent="0.75">
      <c r="A1408" s="1">
        <v>43717</v>
      </c>
      <c r="B1408">
        <v>57.73</v>
      </c>
      <c r="C1408">
        <v>56.68</v>
      </c>
      <c r="D1408">
        <v>58.05</v>
      </c>
      <c r="E1408">
        <v>56.51</v>
      </c>
      <c r="F1408" t="s">
        <v>1333</v>
      </c>
      <c r="G1408" s="2">
        <v>2.3E-2</v>
      </c>
      <c r="H1408">
        <f t="shared" si="42"/>
        <v>2.303739145844404E-2</v>
      </c>
      <c r="I1408">
        <f t="shared" si="43"/>
        <v>2.2776037091793488E-2</v>
      </c>
    </row>
    <row r="1409" spans="1:9" x14ac:dyDescent="0.75">
      <c r="A1409" s="1">
        <v>43714</v>
      </c>
      <c r="B1409">
        <v>56.43</v>
      </c>
      <c r="C1409">
        <v>56.01</v>
      </c>
      <c r="D1409">
        <v>56.84</v>
      </c>
      <c r="E1409">
        <v>54.75</v>
      </c>
      <c r="F1409" t="s">
        <v>1334</v>
      </c>
      <c r="G1409" s="2">
        <v>4.7999999999999996E-3</v>
      </c>
      <c r="H1409">
        <f t="shared" si="42"/>
        <v>4.8076923076923635E-3</v>
      </c>
      <c r="I1409">
        <f t="shared" si="43"/>
        <v>4.7961722634930135E-3</v>
      </c>
    </row>
    <row r="1410" spans="1:9" x14ac:dyDescent="0.75">
      <c r="A1410" s="1">
        <v>43713</v>
      </c>
      <c r="B1410">
        <v>56.16</v>
      </c>
      <c r="C1410">
        <v>55.77</v>
      </c>
      <c r="D1410">
        <v>57.59</v>
      </c>
      <c r="E1410">
        <v>55.6</v>
      </c>
      <c r="F1410" t="s">
        <v>1335</v>
      </c>
      <c r="G1410" s="2">
        <v>1.1000000000000001E-3</v>
      </c>
      <c r="H1410">
        <f t="shared" si="42"/>
        <v>1.069518716577454E-3</v>
      </c>
      <c r="I1410">
        <f t="shared" si="43"/>
        <v>1.0689471889049637E-3</v>
      </c>
    </row>
    <row r="1411" spans="1:9" x14ac:dyDescent="0.75">
      <c r="A1411" s="1">
        <v>43712</v>
      </c>
      <c r="B1411">
        <v>56.1</v>
      </c>
      <c r="C1411">
        <v>53.75</v>
      </c>
      <c r="D1411">
        <v>56.39</v>
      </c>
      <c r="E1411">
        <v>53.65</v>
      </c>
      <c r="F1411" t="s">
        <v>1336</v>
      </c>
      <c r="G1411" s="2">
        <v>4.3499999999999997E-2</v>
      </c>
      <c r="H1411">
        <f t="shared" ref="H1411:H1474" si="44">(B1411-B1412)/B1412</f>
        <v>4.3526785714285782E-2</v>
      </c>
      <c r="I1411">
        <f t="shared" ref="I1411:I1474" si="45">LN(B1411/B1412)</f>
        <v>4.2606116313756617E-2</v>
      </c>
    </row>
    <row r="1412" spans="1:9" x14ac:dyDescent="0.75">
      <c r="A1412" s="1">
        <v>43711</v>
      </c>
      <c r="B1412">
        <v>53.76</v>
      </c>
      <c r="C1412">
        <v>54.76</v>
      </c>
      <c r="D1412">
        <v>55.01</v>
      </c>
      <c r="E1412">
        <v>52.71</v>
      </c>
      <c r="F1412" t="s">
        <v>264</v>
      </c>
      <c r="G1412" s="2">
        <v>-1.6500000000000001E-2</v>
      </c>
      <c r="H1412">
        <f t="shared" si="44"/>
        <v>-1.6465422612513696E-2</v>
      </c>
      <c r="I1412">
        <f t="shared" si="45"/>
        <v>-1.6602484285027842E-2</v>
      </c>
    </row>
    <row r="1413" spans="1:9" x14ac:dyDescent="0.75">
      <c r="A1413" s="1">
        <v>43710</v>
      </c>
      <c r="B1413">
        <v>54.66</v>
      </c>
      <c r="C1413">
        <v>54.81</v>
      </c>
      <c r="D1413">
        <v>55.22</v>
      </c>
      <c r="E1413">
        <v>54.36</v>
      </c>
      <c r="G1413" s="2">
        <v>-2.5999999999999999E-3</v>
      </c>
      <c r="H1413">
        <f t="shared" si="44"/>
        <v>-2.5547445255474557E-3</v>
      </c>
      <c r="I1413">
        <f t="shared" si="45"/>
        <v>-2.5580134540479434E-3</v>
      </c>
    </row>
    <row r="1414" spans="1:9" x14ac:dyDescent="0.75">
      <c r="A1414" s="1">
        <v>43709</v>
      </c>
      <c r="B1414">
        <v>54.8</v>
      </c>
      <c r="C1414">
        <v>55</v>
      </c>
      <c r="D1414">
        <v>55</v>
      </c>
      <c r="E1414">
        <v>54.56</v>
      </c>
      <c r="G1414" s="2">
        <v>-1.6000000000000001E-3</v>
      </c>
      <c r="H1414">
        <f t="shared" si="44"/>
        <v>-1.6396429222081145E-3</v>
      </c>
      <c r="I1414">
        <f t="shared" si="45"/>
        <v>-1.6409886078280231E-3</v>
      </c>
    </row>
    <row r="1415" spans="1:9" x14ac:dyDescent="0.75">
      <c r="A1415" s="1">
        <v>43707</v>
      </c>
      <c r="B1415">
        <v>54.89</v>
      </c>
      <c r="C1415">
        <v>56.32</v>
      </c>
      <c r="D1415">
        <v>56.46</v>
      </c>
      <c r="E1415">
        <v>54.34</v>
      </c>
      <c r="F1415" t="s">
        <v>1337</v>
      </c>
      <c r="G1415" s="2">
        <v>-2.76E-2</v>
      </c>
      <c r="H1415">
        <f t="shared" si="44"/>
        <v>-2.7635075287865407E-2</v>
      </c>
      <c r="I1415">
        <f t="shared" si="45"/>
        <v>-2.8024108033873167E-2</v>
      </c>
    </row>
    <row r="1416" spans="1:9" x14ac:dyDescent="0.75">
      <c r="A1416" s="1">
        <v>43706</v>
      </c>
      <c r="B1416">
        <v>56.45</v>
      </c>
      <c r="C1416">
        <v>55.69</v>
      </c>
      <c r="D1416">
        <v>56.62</v>
      </c>
      <c r="E1416">
        <v>55.23</v>
      </c>
      <c r="F1416" t="s">
        <v>1338</v>
      </c>
      <c r="G1416" s="2">
        <v>1.5299999999999999E-2</v>
      </c>
      <c r="H1416">
        <f t="shared" si="44"/>
        <v>1.5287769784172687E-2</v>
      </c>
      <c r="I1416">
        <f t="shared" si="45"/>
        <v>1.5172089339134347E-2</v>
      </c>
    </row>
    <row r="1417" spans="1:9" x14ac:dyDescent="0.75">
      <c r="A1417" s="1">
        <v>43705</v>
      </c>
      <c r="B1417">
        <v>55.6</v>
      </c>
      <c r="C1417">
        <v>55.54</v>
      </c>
      <c r="D1417">
        <v>56.51</v>
      </c>
      <c r="E1417">
        <v>55.15</v>
      </c>
      <c r="F1417" t="s">
        <v>1339</v>
      </c>
      <c r="G1417" s="2">
        <v>1.52E-2</v>
      </c>
      <c r="H1417">
        <f t="shared" si="44"/>
        <v>1.5154281540989561E-2</v>
      </c>
      <c r="I1417">
        <f t="shared" si="45"/>
        <v>1.5040602460906667E-2</v>
      </c>
    </row>
    <row r="1418" spans="1:9" x14ac:dyDescent="0.75">
      <c r="A1418" s="1">
        <v>43704</v>
      </c>
      <c r="B1418">
        <v>54.77</v>
      </c>
      <c r="C1418">
        <v>53.65</v>
      </c>
      <c r="D1418">
        <v>55.54</v>
      </c>
      <c r="E1418">
        <v>53.57</v>
      </c>
      <c r="F1418" t="s">
        <v>1340</v>
      </c>
      <c r="G1418" s="2">
        <v>2.3699999999999999E-2</v>
      </c>
      <c r="H1418">
        <f t="shared" si="44"/>
        <v>2.3738317757009405E-2</v>
      </c>
      <c r="I1418">
        <f t="shared" si="45"/>
        <v>2.3460944893669154E-2</v>
      </c>
    </row>
    <row r="1419" spans="1:9" x14ac:dyDescent="0.75">
      <c r="A1419" s="1">
        <v>43703</v>
      </c>
      <c r="B1419">
        <v>53.5</v>
      </c>
      <c r="C1419">
        <v>53.16</v>
      </c>
      <c r="D1419">
        <v>55.06</v>
      </c>
      <c r="E1419">
        <v>52.84</v>
      </c>
      <c r="F1419" t="s">
        <v>495</v>
      </c>
      <c r="G1419" s="2">
        <v>-9.5999999999999992E-3</v>
      </c>
      <c r="H1419">
        <f t="shared" si="44"/>
        <v>-9.6260644205850253E-3</v>
      </c>
      <c r="I1419">
        <f t="shared" si="45"/>
        <v>-9.6726944625086832E-3</v>
      </c>
    </row>
    <row r="1420" spans="1:9" x14ac:dyDescent="0.75">
      <c r="A1420" s="1">
        <v>43700</v>
      </c>
      <c r="B1420">
        <v>54.02</v>
      </c>
      <c r="C1420">
        <v>55.16</v>
      </c>
      <c r="D1420">
        <v>55.41</v>
      </c>
      <c r="E1420">
        <v>53.12</v>
      </c>
      <c r="F1420" t="s">
        <v>1341</v>
      </c>
      <c r="G1420" s="2">
        <v>-2.07E-2</v>
      </c>
      <c r="H1420">
        <f t="shared" si="44"/>
        <v>-2.0667150108774356E-2</v>
      </c>
      <c r="I1420">
        <f t="shared" si="45"/>
        <v>-2.0883704560631475E-2</v>
      </c>
    </row>
    <row r="1421" spans="1:9" x14ac:dyDescent="0.75">
      <c r="A1421" s="1">
        <v>43699</v>
      </c>
      <c r="B1421">
        <v>55.16</v>
      </c>
      <c r="C1421">
        <v>55.7</v>
      </c>
      <c r="D1421">
        <v>56.23</v>
      </c>
      <c r="E1421">
        <v>54.7</v>
      </c>
      <c r="F1421" t="s">
        <v>1342</v>
      </c>
      <c r="G1421" s="2">
        <v>-5.8999999999999999E-3</v>
      </c>
      <c r="H1421">
        <f t="shared" si="44"/>
        <v>-5.9470174806272374E-3</v>
      </c>
      <c r="I1421">
        <f t="shared" si="45"/>
        <v>-5.9647714127088755E-3</v>
      </c>
    </row>
    <row r="1422" spans="1:9" x14ac:dyDescent="0.75">
      <c r="A1422" s="1">
        <v>43698</v>
      </c>
      <c r="B1422">
        <v>55.49</v>
      </c>
      <c r="C1422">
        <v>55.78</v>
      </c>
      <c r="D1422">
        <v>56.85</v>
      </c>
      <c r="E1422">
        <v>55.35</v>
      </c>
      <c r="F1422" t="s">
        <v>1343</v>
      </c>
      <c r="G1422" s="2">
        <v>-1.14E-2</v>
      </c>
      <c r="H1422">
        <f t="shared" si="44"/>
        <v>-1.1402102262604677E-2</v>
      </c>
      <c r="I1422">
        <f t="shared" si="45"/>
        <v>-1.1467604616298026E-2</v>
      </c>
    </row>
    <row r="1423" spans="1:9" x14ac:dyDescent="0.75">
      <c r="A1423" s="1">
        <v>43697</v>
      </c>
      <c r="B1423">
        <v>56.13</v>
      </c>
      <c r="C1423">
        <v>56.13</v>
      </c>
      <c r="D1423">
        <v>56.6</v>
      </c>
      <c r="E1423">
        <v>55.16</v>
      </c>
      <c r="F1423" t="s">
        <v>1344</v>
      </c>
      <c r="G1423" s="2">
        <v>-2.0000000000000001E-4</v>
      </c>
      <c r="H1423">
        <f t="shared" si="44"/>
        <v>-1.7812611328817262E-4</v>
      </c>
      <c r="I1423">
        <f t="shared" si="45"/>
        <v>-1.7814197962844253E-4</v>
      </c>
    </row>
    <row r="1424" spans="1:9" x14ac:dyDescent="0.75">
      <c r="A1424" s="1">
        <v>43696</v>
      </c>
      <c r="B1424">
        <v>56.14</v>
      </c>
      <c r="C1424">
        <v>54.95</v>
      </c>
      <c r="D1424">
        <v>56.32</v>
      </c>
      <c r="E1424">
        <v>54.79</v>
      </c>
      <c r="F1424" t="s">
        <v>1345</v>
      </c>
      <c r="G1424" s="2">
        <v>2.4299999999999999E-2</v>
      </c>
      <c r="H1424">
        <f t="shared" si="44"/>
        <v>2.4265644955300095E-2</v>
      </c>
      <c r="I1424">
        <f t="shared" si="45"/>
        <v>2.3975911875711305E-2</v>
      </c>
    </row>
    <row r="1425" spans="1:9" x14ac:dyDescent="0.75">
      <c r="A1425" s="1">
        <v>43693</v>
      </c>
      <c r="B1425">
        <v>54.81</v>
      </c>
      <c r="C1425">
        <v>54.61</v>
      </c>
      <c r="D1425">
        <v>55.62</v>
      </c>
      <c r="E1425">
        <v>54.22</v>
      </c>
      <c r="F1425" t="s">
        <v>1346</v>
      </c>
      <c r="G1425" s="2">
        <v>7.1999999999999998E-3</v>
      </c>
      <c r="H1425">
        <f t="shared" si="44"/>
        <v>7.1664829106946075E-3</v>
      </c>
      <c r="I1425">
        <f t="shared" si="45"/>
        <v>7.1409257029247551E-3</v>
      </c>
    </row>
    <row r="1426" spans="1:9" x14ac:dyDescent="0.75">
      <c r="A1426" s="1">
        <v>43692</v>
      </c>
      <c r="B1426">
        <v>54.42</v>
      </c>
      <c r="C1426">
        <v>54.92</v>
      </c>
      <c r="D1426">
        <v>55.32</v>
      </c>
      <c r="E1426">
        <v>53.77</v>
      </c>
      <c r="F1426" t="s">
        <v>1347</v>
      </c>
      <c r="G1426" s="2">
        <v>-1.4999999999999999E-2</v>
      </c>
      <c r="H1426">
        <f t="shared" si="44"/>
        <v>-1.502262443438911E-2</v>
      </c>
      <c r="I1426">
        <f t="shared" si="45"/>
        <v>-1.5136607042761886E-2</v>
      </c>
    </row>
    <row r="1427" spans="1:9" x14ac:dyDescent="0.75">
      <c r="A1427" s="1">
        <v>43691</v>
      </c>
      <c r="B1427">
        <v>55.25</v>
      </c>
      <c r="C1427">
        <v>56.73</v>
      </c>
      <c r="D1427">
        <v>56.84</v>
      </c>
      <c r="E1427">
        <v>54</v>
      </c>
      <c r="F1427" t="s">
        <v>1348</v>
      </c>
      <c r="G1427" s="2">
        <v>-3.2399999999999998E-2</v>
      </c>
      <c r="H1427">
        <f t="shared" si="44"/>
        <v>-3.2399299474605979E-2</v>
      </c>
      <c r="I1427">
        <f t="shared" si="45"/>
        <v>-3.2935776264102337E-2</v>
      </c>
    </row>
    <row r="1428" spans="1:9" x14ac:dyDescent="0.75">
      <c r="A1428" s="1">
        <v>43690</v>
      </c>
      <c r="B1428">
        <v>57.1</v>
      </c>
      <c r="C1428">
        <v>54.68</v>
      </c>
      <c r="D1428">
        <v>57.4</v>
      </c>
      <c r="E1428">
        <v>54.13</v>
      </c>
      <c r="F1428" t="s">
        <v>1349</v>
      </c>
      <c r="G1428" s="2">
        <v>4.1000000000000002E-2</v>
      </c>
      <c r="H1428">
        <f t="shared" si="44"/>
        <v>4.1020966271649952E-2</v>
      </c>
      <c r="I1428">
        <f t="shared" si="45"/>
        <v>4.020192994072519E-2</v>
      </c>
    </row>
    <row r="1429" spans="1:9" x14ac:dyDescent="0.75">
      <c r="A1429" s="1">
        <v>43689</v>
      </c>
      <c r="B1429">
        <v>54.85</v>
      </c>
      <c r="C1429">
        <v>54.22</v>
      </c>
      <c r="D1429">
        <v>55.05</v>
      </c>
      <c r="E1429">
        <v>53.46</v>
      </c>
      <c r="F1429" t="s">
        <v>1350</v>
      </c>
      <c r="G1429" s="2">
        <v>8.8000000000000005E-3</v>
      </c>
      <c r="H1429">
        <f t="shared" si="44"/>
        <v>8.8283980136105202E-3</v>
      </c>
      <c r="I1429">
        <f t="shared" si="45"/>
        <v>8.7896555634100811E-3</v>
      </c>
    </row>
    <row r="1430" spans="1:9" x14ac:dyDescent="0.75">
      <c r="A1430" s="1">
        <v>43686</v>
      </c>
      <c r="B1430">
        <v>54.37</v>
      </c>
      <c r="C1430">
        <v>52.72</v>
      </c>
      <c r="D1430">
        <v>54.75</v>
      </c>
      <c r="E1430">
        <v>52.31</v>
      </c>
      <c r="F1430" t="s">
        <v>1351</v>
      </c>
      <c r="G1430" s="2">
        <v>3.6400000000000002E-2</v>
      </c>
      <c r="H1430">
        <f t="shared" si="44"/>
        <v>3.6408692337018614E-2</v>
      </c>
      <c r="I1430">
        <f t="shared" si="45"/>
        <v>3.5761556719101605E-2</v>
      </c>
    </row>
    <row r="1431" spans="1:9" x14ac:dyDescent="0.75">
      <c r="A1431" s="1">
        <v>43685</v>
      </c>
      <c r="B1431">
        <v>52.46</v>
      </c>
      <c r="C1431">
        <v>52.24</v>
      </c>
      <c r="D1431">
        <v>52.97</v>
      </c>
      <c r="E1431">
        <v>51.84</v>
      </c>
      <c r="F1431" t="s">
        <v>1352</v>
      </c>
      <c r="G1431" s="2">
        <v>2.8000000000000001E-2</v>
      </c>
      <c r="H1431">
        <f t="shared" si="44"/>
        <v>2.8022731726435424E-2</v>
      </c>
      <c r="I1431">
        <f t="shared" si="45"/>
        <v>2.7637279362847534E-2</v>
      </c>
    </row>
    <row r="1432" spans="1:9" x14ac:dyDescent="0.75">
      <c r="A1432" s="1">
        <v>43684</v>
      </c>
      <c r="B1432">
        <v>51.03</v>
      </c>
      <c r="C1432">
        <v>53.37</v>
      </c>
      <c r="D1432">
        <v>53.74</v>
      </c>
      <c r="E1432">
        <v>50.5</v>
      </c>
      <c r="F1432" t="s">
        <v>1353</v>
      </c>
      <c r="G1432" s="2">
        <v>-4.7800000000000002E-2</v>
      </c>
      <c r="H1432">
        <f t="shared" si="44"/>
        <v>-4.7770106363127486E-2</v>
      </c>
      <c r="I1432">
        <f t="shared" si="45"/>
        <v>-4.894878843087886E-2</v>
      </c>
    </row>
    <row r="1433" spans="1:9" x14ac:dyDescent="0.75">
      <c r="A1433" s="1">
        <v>43683</v>
      </c>
      <c r="B1433">
        <v>53.59</v>
      </c>
      <c r="C1433">
        <v>54.8</v>
      </c>
      <c r="D1433">
        <v>55.28</v>
      </c>
      <c r="E1433">
        <v>53.28</v>
      </c>
      <c r="F1433" t="s">
        <v>1354</v>
      </c>
      <c r="G1433" s="2">
        <v>-1.8100000000000002E-2</v>
      </c>
      <c r="H1433">
        <f t="shared" si="44"/>
        <v>-1.8138512275558721E-2</v>
      </c>
      <c r="I1433">
        <f t="shared" si="45"/>
        <v>-1.8305031773433449E-2</v>
      </c>
    </row>
    <row r="1434" spans="1:9" x14ac:dyDescent="0.75">
      <c r="A1434" s="1">
        <v>43682</v>
      </c>
      <c r="B1434">
        <v>54.58</v>
      </c>
      <c r="C1434">
        <v>55.36</v>
      </c>
      <c r="D1434">
        <v>55.51</v>
      </c>
      <c r="E1434">
        <v>54.22</v>
      </c>
      <c r="F1434" t="s">
        <v>1355</v>
      </c>
      <c r="G1434" s="2">
        <v>-1.9599999999999999E-2</v>
      </c>
      <c r="H1434">
        <f t="shared" si="44"/>
        <v>-1.9579665888270224E-2</v>
      </c>
      <c r="I1434">
        <f t="shared" si="45"/>
        <v>-1.9773886915224026E-2</v>
      </c>
    </row>
    <row r="1435" spans="1:9" x14ac:dyDescent="0.75">
      <c r="A1435" s="1">
        <v>43679</v>
      </c>
      <c r="B1435">
        <v>55.67</v>
      </c>
      <c r="C1435">
        <v>54.83</v>
      </c>
      <c r="D1435">
        <v>56.09</v>
      </c>
      <c r="E1435">
        <v>54.22</v>
      </c>
      <c r="F1435" t="s">
        <v>1356</v>
      </c>
      <c r="G1435" s="2">
        <v>3.0700000000000002E-2</v>
      </c>
      <c r="H1435">
        <f t="shared" si="44"/>
        <v>3.0735049064988036E-2</v>
      </c>
      <c r="I1435">
        <f t="shared" si="45"/>
        <v>3.0272187590616704E-2</v>
      </c>
    </row>
    <row r="1436" spans="1:9" x14ac:dyDescent="0.75">
      <c r="A1436" s="1">
        <v>43678</v>
      </c>
      <c r="B1436">
        <v>54.01</v>
      </c>
      <c r="C1436">
        <v>57.96</v>
      </c>
      <c r="D1436">
        <v>58.05</v>
      </c>
      <c r="E1436">
        <v>53.67</v>
      </c>
      <c r="F1436" t="s">
        <v>1357</v>
      </c>
      <c r="G1436" s="2">
        <v>-7.8799999999999995E-2</v>
      </c>
      <c r="H1436">
        <f t="shared" si="44"/>
        <v>-7.8799249530956919E-2</v>
      </c>
      <c r="I1436">
        <f t="shared" si="45"/>
        <v>-8.2077296371324077E-2</v>
      </c>
    </row>
    <row r="1437" spans="1:9" x14ac:dyDescent="0.75">
      <c r="A1437" s="1">
        <v>43677</v>
      </c>
      <c r="B1437">
        <v>58.63</v>
      </c>
      <c r="C1437">
        <v>58.42</v>
      </c>
      <c r="D1437">
        <v>58.86</v>
      </c>
      <c r="E1437">
        <v>57.85</v>
      </c>
      <c r="F1437" t="s">
        <v>1358</v>
      </c>
      <c r="G1437" s="2">
        <v>8.8999999999999999E-3</v>
      </c>
      <c r="H1437">
        <f t="shared" si="44"/>
        <v>8.9485458612975927E-3</v>
      </c>
      <c r="I1437">
        <f t="shared" si="45"/>
        <v>8.9087448891096502E-3</v>
      </c>
    </row>
    <row r="1438" spans="1:9" x14ac:dyDescent="0.75">
      <c r="A1438" s="1">
        <v>43676</v>
      </c>
      <c r="B1438">
        <v>58.11</v>
      </c>
      <c r="C1438">
        <v>57.07</v>
      </c>
      <c r="D1438">
        <v>58.51</v>
      </c>
      <c r="E1438">
        <v>57.05</v>
      </c>
      <c r="F1438" t="s">
        <v>1359</v>
      </c>
      <c r="G1438" s="2">
        <v>2.0199999999999999E-2</v>
      </c>
      <c r="H1438">
        <f t="shared" si="44"/>
        <v>2.018960674157301E-2</v>
      </c>
      <c r="I1438">
        <f t="shared" si="45"/>
        <v>1.9988498983293836E-2</v>
      </c>
    </row>
    <row r="1439" spans="1:9" x14ac:dyDescent="0.75">
      <c r="A1439" s="1">
        <v>43675</v>
      </c>
      <c r="B1439">
        <v>56.96</v>
      </c>
      <c r="C1439">
        <v>56.31</v>
      </c>
      <c r="D1439">
        <v>57.19</v>
      </c>
      <c r="E1439">
        <v>55.94</v>
      </c>
      <c r="F1439" t="s">
        <v>1360</v>
      </c>
      <c r="G1439" s="2">
        <v>1.12E-2</v>
      </c>
      <c r="H1439">
        <f t="shared" si="44"/>
        <v>1.118409373335705E-2</v>
      </c>
      <c r="I1439">
        <f t="shared" si="45"/>
        <v>1.1122014197097881E-2</v>
      </c>
    </row>
    <row r="1440" spans="1:9" x14ac:dyDescent="0.75">
      <c r="A1440" s="1">
        <v>43672</v>
      </c>
      <c r="B1440">
        <v>56.33</v>
      </c>
      <c r="C1440">
        <v>56.05</v>
      </c>
      <c r="D1440">
        <v>56.69</v>
      </c>
      <c r="E1440">
        <v>55.83</v>
      </c>
      <c r="F1440" t="s">
        <v>1361</v>
      </c>
      <c r="G1440" s="2">
        <v>3.0000000000000001E-3</v>
      </c>
      <c r="H1440">
        <f t="shared" si="44"/>
        <v>3.0270655270655577E-3</v>
      </c>
      <c r="I1440">
        <f t="shared" si="45"/>
        <v>3.0224931890670565E-3</v>
      </c>
    </row>
    <row r="1441" spans="1:9" x14ac:dyDescent="0.75">
      <c r="A1441" s="1">
        <v>43671</v>
      </c>
      <c r="B1441">
        <v>56.16</v>
      </c>
      <c r="C1441">
        <v>56</v>
      </c>
      <c r="D1441">
        <v>57.11</v>
      </c>
      <c r="E1441">
        <v>55.94</v>
      </c>
      <c r="F1441" t="s">
        <v>187</v>
      </c>
      <c r="G1441" s="2">
        <v>2.8999999999999998E-3</v>
      </c>
      <c r="H1441">
        <f t="shared" si="44"/>
        <v>2.8571428571427964E-3</v>
      </c>
      <c r="I1441">
        <f t="shared" si="45"/>
        <v>2.8530689824064807E-3</v>
      </c>
    </row>
    <row r="1442" spans="1:9" x14ac:dyDescent="0.75">
      <c r="A1442" s="1">
        <v>43670</v>
      </c>
      <c r="B1442">
        <v>56</v>
      </c>
      <c r="C1442">
        <v>57.26</v>
      </c>
      <c r="D1442">
        <v>57.74</v>
      </c>
      <c r="E1442">
        <v>55.45</v>
      </c>
      <c r="F1442" t="s">
        <v>1362</v>
      </c>
      <c r="G1442" s="2">
        <v>-1.4999999999999999E-2</v>
      </c>
      <c r="H1442">
        <f t="shared" si="44"/>
        <v>-1.495162708883028E-2</v>
      </c>
      <c r="I1442">
        <f t="shared" si="45"/>
        <v>-1.5064529461395802E-2</v>
      </c>
    </row>
    <row r="1443" spans="1:9" x14ac:dyDescent="0.75">
      <c r="A1443" s="1">
        <v>43669</v>
      </c>
      <c r="B1443">
        <v>56.85</v>
      </c>
      <c r="C1443">
        <v>56.28</v>
      </c>
      <c r="D1443">
        <v>57.54</v>
      </c>
      <c r="E1443">
        <v>55.82</v>
      </c>
      <c r="F1443" t="s">
        <v>1363</v>
      </c>
      <c r="G1443" s="2">
        <v>1.12E-2</v>
      </c>
      <c r="H1443">
        <f t="shared" si="44"/>
        <v>1.1205976520811145E-2</v>
      </c>
      <c r="I1443">
        <f t="shared" si="45"/>
        <v>1.1143654718159358E-2</v>
      </c>
    </row>
    <row r="1444" spans="1:9" x14ac:dyDescent="0.75">
      <c r="A1444" s="1">
        <v>43668</v>
      </c>
      <c r="B1444">
        <v>56.22</v>
      </c>
      <c r="C1444">
        <v>56.2</v>
      </c>
      <c r="D1444">
        <v>57.04</v>
      </c>
      <c r="E1444">
        <v>55.83</v>
      </c>
      <c r="F1444" t="s">
        <v>1364</v>
      </c>
      <c r="G1444" s="2">
        <v>8.2000000000000007E-3</v>
      </c>
      <c r="H1444">
        <f t="shared" si="44"/>
        <v>8.2496413199426265E-3</v>
      </c>
      <c r="I1444">
        <f t="shared" si="45"/>
        <v>8.2157990261174218E-3</v>
      </c>
    </row>
    <row r="1445" spans="1:9" x14ac:dyDescent="0.75">
      <c r="A1445" s="1">
        <v>43665</v>
      </c>
      <c r="B1445">
        <v>55.76</v>
      </c>
      <c r="C1445">
        <v>55.84</v>
      </c>
      <c r="D1445">
        <v>56.49</v>
      </c>
      <c r="E1445">
        <v>55.12</v>
      </c>
      <c r="F1445" t="s">
        <v>1365</v>
      </c>
      <c r="G1445" s="2">
        <v>6.1000000000000004E-3</v>
      </c>
      <c r="H1445">
        <f t="shared" si="44"/>
        <v>6.1349693251533076E-3</v>
      </c>
      <c r="I1445">
        <f t="shared" si="45"/>
        <v>6.1162270174360536E-3</v>
      </c>
    </row>
    <row r="1446" spans="1:9" x14ac:dyDescent="0.75">
      <c r="A1446" s="1">
        <v>43664</v>
      </c>
      <c r="B1446">
        <v>55.42</v>
      </c>
      <c r="C1446">
        <v>56.72</v>
      </c>
      <c r="D1446">
        <v>57.45</v>
      </c>
      <c r="E1446">
        <v>54.85</v>
      </c>
      <c r="F1446" t="s">
        <v>1366</v>
      </c>
      <c r="G1446" s="2">
        <v>-2.64E-2</v>
      </c>
      <c r="H1446">
        <f t="shared" si="44"/>
        <v>-2.635277582572031E-2</v>
      </c>
      <c r="I1446">
        <f t="shared" si="45"/>
        <v>-2.670623378681922E-2</v>
      </c>
    </row>
    <row r="1447" spans="1:9" x14ac:dyDescent="0.75">
      <c r="A1447" s="1">
        <v>43663</v>
      </c>
      <c r="B1447">
        <v>56.92</v>
      </c>
      <c r="C1447">
        <v>57.65</v>
      </c>
      <c r="D1447">
        <v>58.49</v>
      </c>
      <c r="E1447">
        <v>56.36</v>
      </c>
      <c r="F1447" t="s">
        <v>1367</v>
      </c>
      <c r="G1447" s="2">
        <v>-1.4200000000000001E-2</v>
      </c>
      <c r="H1447">
        <f t="shared" si="44"/>
        <v>-1.4201593349497752E-2</v>
      </c>
      <c r="I1447">
        <f t="shared" si="45"/>
        <v>-1.4303401013137445E-2</v>
      </c>
    </row>
    <row r="1448" spans="1:9" x14ac:dyDescent="0.75">
      <c r="A1448" s="1">
        <v>43662</v>
      </c>
      <c r="B1448">
        <v>57.74</v>
      </c>
      <c r="C1448">
        <v>59.39</v>
      </c>
      <c r="D1448">
        <v>60.17</v>
      </c>
      <c r="E1448">
        <v>57.19</v>
      </c>
      <c r="F1448" t="s">
        <v>1368</v>
      </c>
      <c r="G1448" s="2">
        <v>-3.2500000000000001E-2</v>
      </c>
      <c r="H1448">
        <f t="shared" si="44"/>
        <v>-3.2506702412868592E-2</v>
      </c>
      <c r="I1448">
        <f t="shared" si="45"/>
        <v>-3.3046781660716312E-2</v>
      </c>
    </row>
    <row r="1449" spans="1:9" x14ac:dyDescent="0.75">
      <c r="A1449" s="1">
        <v>43661</v>
      </c>
      <c r="B1449">
        <v>59.68</v>
      </c>
      <c r="C1449">
        <v>60.36</v>
      </c>
      <c r="D1449">
        <v>60.99</v>
      </c>
      <c r="E1449">
        <v>59.3</v>
      </c>
      <c r="F1449" t="s">
        <v>1369</v>
      </c>
      <c r="G1449" s="2">
        <v>-1.03E-2</v>
      </c>
      <c r="H1449">
        <f t="shared" si="44"/>
        <v>-1.0281923714759493E-2</v>
      </c>
      <c r="I1449">
        <f t="shared" si="45"/>
        <v>-1.0335147837634255E-2</v>
      </c>
    </row>
    <row r="1450" spans="1:9" x14ac:dyDescent="0.75">
      <c r="A1450" s="1">
        <v>43658</v>
      </c>
      <c r="B1450">
        <v>60.3</v>
      </c>
      <c r="C1450">
        <v>60.5</v>
      </c>
      <c r="D1450">
        <v>60.82</v>
      </c>
      <c r="E1450">
        <v>60.03</v>
      </c>
      <c r="F1450" t="s">
        <v>1370</v>
      </c>
      <c r="G1450" s="2">
        <v>2.9999999999999997E-4</v>
      </c>
      <c r="H1450">
        <f t="shared" si="44"/>
        <v>3.31785003317784E-4</v>
      </c>
      <c r="I1450">
        <f t="shared" si="45"/>
        <v>3.3172997484496209E-4</v>
      </c>
    </row>
    <row r="1451" spans="1:9" x14ac:dyDescent="0.75">
      <c r="A1451" s="1">
        <v>43657</v>
      </c>
      <c r="B1451">
        <v>60.28</v>
      </c>
      <c r="C1451">
        <v>60.5</v>
      </c>
      <c r="D1451">
        <v>61.02</v>
      </c>
      <c r="E1451">
        <v>60.22</v>
      </c>
      <c r="F1451" t="s">
        <v>1371</v>
      </c>
      <c r="G1451" s="2">
        <v>-4.0000000000000001E-3</v>
      </c>
      <c r="H1451">
        <f t="shared" si="44"/>
        <v>-3.9656311962987766E-3</v>
      </c>
      <c r="I1451">
        <f t="shared" si="45"/>
        <v>-3.973515161860495E-3</v>
      </c>
    </row>
    <row r="1452" spans="1:9" x14ac:dyDescent="0.75">
      <c r="A1452" s="1">
        <v>43656</v>
      </c>
      <c r="B1452">
        <v>60.52</v>
      </c>
      <c r="C1452">
        <v>58.45</v>
      </c>
      <c r="D1452">
        <v>60.62</v>
      </c>
      <c r="E1452">
        <v>58.45</v>
      </c>
      <c r="F1452" t="s">
        <v>1372</v>
      </c>
      <c r="G1452" s="2">
        <v>4.4499999999999998E-2</v>
      </c>
      <c r="H1452">
        <f t="shared" si="44"/>
        <v>4.4528822920262438E-2</v>
      </c>
      <c r="I1452">
        <f t="shared" si="45"/>
        <v>4.3565896578950984E-2</v>
      </c>
    </row>
    <row r="1453" spans="1:9" x14ac:dyDescent="0.75">
      <c r="A1453" s="1">
        <v>43655</v>
      </c>
      <c r="B1453">
        <v>57.94</v>
      </c>
      <c r="C1453">
        <v>57.69</v>
      </c>
      <c r="D1453">
        <v>59</v>
      </c>
      <c r="E1453">
        <v>57.42</v>
      </c>
      <c r="F1453" t="s">
        <v>1373</v>
      </c>
      <c r="G1453" s="2">
        <v>3.0999999999999999E-3</v>
      </c>
      <c r="H1453">
        <f t="shared" si="44"/>
        <v>3.1163434903047045E-3</v>
      </c>
      <c r="I1453">
        <f t="shared" si="45"/>
        <v>3.1114977566336043E-3</v>
      </c>
    </row>
    <row r="1454" spans="1:9" x14ac:dyDescent="0.75">
      <c r="A1454" s="1">
        <v>43654</v>
      </c>
      <c r="B1454">
        <v>57.76</v>
      </c>
      <c r="C1454">
        <v>57.89</v>
      </c>
      <c r="D1454">
        <v>58.55</v>
      </c>
      <c r="E1454">
        <v>57.4</v>
      </c>
      <c r="F1454" t="s">
        <v>1374</v>
      </c>
      <c r="G1454" s="2">
        <v>3.0000000000000001E-3</v>
      </c>
      <c r="H1454">
        <f t="shared" si="44"/>
        <v>2.9519013717658376E-3</v>
      </c>
      <c r="I1454">
        <f t="shared" si="45"/>
        <v>2.9475530659896715E-3</v>
      </c>
    </row>
    <row r="1455" spans="1:9" x14ac:dyDescent="0.75">
      <c r="A1455" s="1">
        <v>43651</v>
      </c>
      <c r="B1455">
        <v>57.59</v>
      </c>
      <c r="C1455">
        <v>57.51</v>
      </c>
      <c r="D1455">
        <v>57.88</v>
      </c>
      <c r="E1455">
        <v>56.38</v>
      </c>
      <c r="F1455" t="s">
        <v>1375</v>
      </c>
      <c r="G1455" s="2">
        <v>1.3899999999999999E-2</v>
      </c>
      <c r="H1455">
        <f t="shared" si="44"/>
        <v>1.3908450704225464E-2</v>
      </c>
      <c r="I1455">
        <f t="shared" si="45"/>
        <v>1.3812615791475514E-2</v>
      </c>
    </row>
    <row r="1456" spans="1:9" x14ac:dyDescent="0.75">
      <c r="A1456" s="1">
        <v>43650</v>
      </c>
      <c r="B1456">
        <v>56.8</v>
      </c>
      <c r="C1456">
        <v>57.41</v>
      </c>
      <c r="D1456">
        <v>57.57</v>
      </c>
      <c r="E1456">
        <v>56.48</v>
      </c>
      <c r="G1456" s="2">
        <v>-1.11E-2</v>
      </c>
      <c r="H1456">
        <f t="shared" si="44"/>
        <v>-1.1142061281337058E-2</v>
      </c>
      <c r="I1456">
        <f t="shared" si="45"/>
        <v>-1.1204599012863132E-2</v>
      </c>
    </row>
    <row r="1457" spans="1:9" x14ac:dyDescent="0.75">
      <c r="A1457" s="1">
        <v>43649</v>
      </c>
      <c r="B1457">
        <v>57.44</v>
      </c>
      <c r="C1457">
        <v>56.59</v>
      </c>
      <c r="D1457">
        <v>57.57</v>
      </c>
      <c r="E1457">
        <v>56.13</v>
      </c>
      <c r="F1457" t="s">
        <v>1376</v>
      </c>
      <c r="G1457" s="2">
        <v>1.95E-2</v>
      </c>
      <c r="H1457">
        <f t="shared" si="44"/>
        <v>1.9524316648917187E-2</v>
      </c>
      <c r="I1457">
        <f t="shared" si="45"/>
        <v>1.93361622917421E-2</v>
      </c>
    </row>
    <row r="1458" spans="1:9" x14ac:dyDescent="0.75">
      <c r="A1458" s="1">
        <v>43648</v>
      </c>
      <c r="B1458">
        <v>56.34</v>
      </c>
      <c r="C1458">
        <v>59.23</v>
      </c>
      <c r="D1458">
        <v>59.48</v>
      </c>
      <c r="E1458">
        <v>56.18</v>
      </c>
      <c r="F1458" t="s">
        <v>1377</v>
      </c>
      <c r="G1458" s="2">
        <v>-4.7300000000000002E-2</v>
      </c>
      <c r="H1458">
        <f t="shared" si="44"/>
        <v>-4.7345282380791297E-2</v>
      </c>
      <c r="I1458">
        <f t="shared" si="45"/>
        <v>-4.8502751976104548E-2</v>
      </c>
    </row>
    <row r="1459" spans="1:9" x14ac:dyDescent="0.75">
      <c r="A1459" s="1">
        <v>43647</v>
      </c>
      <c r="B1459">
        <v>59.14</v>
      </c>
      <c r="C1459">
        <v>59.14</v>
      </c>
      <c r="D1459">
        <v>60.32</v>
      </c>
      <c r="E1459">
        <v>58.4</v>
      </c>
      <c r="F1459" t="s">
        <v>1378</v>
      </c>
      <c r="G1459" s="2">
        <v>1.06E-2</v>
      </c>
      <c r="H1459">
        <f t="shared" si="44"/>
        <v>1.0594668489405287E-2</v>
      </c>
      <c r="I1459">
        <f t="shared" si="45"/>
        <v>1.0538938272407646E-2</v>
      </c>
    </row>
    <row r="1460" spans="1:9" x14ac:dyDescent="0.75">
      <c r="A1460" s="1">
        <v>43644</v>
      </c>
      <c r="B1460">
        <v>58.52</v>
      </c>
      <c r="C1460">
        <v>59.28</v>
      </c>
      <c r="D1460">
        <v>59.84</v>
      </c>
      <c r="E1460">
        <v>57.8</v>
      </c>
      <c r="F1460" t="s">
        <v>1379</v>
      </c>
      <c r="G1460" s="2">
        <v>-1.6299999999999999E-2</v>
      </c>
      <c r="H1460">
        <f t="shared" si="44"/>
        <v>-1.630526138846863E-2</v>
      </c>
      <c r="I1460">
        <f t="shared" si="45"/>
        <v>-1.6439655047890751E-2</v>
      </c>
    </row>
    <row r="1461" spans="1:9" x14ac:dyDescent="0.75">
      <c r="A1461" s="1">
        <v>43643</v>
      </c>
      <c r="B1461">
        <v>59.49</v>
      </c>
      <c r="C1461">
        <v>59.3</v>
      </c>
      <c r="D1461">
        <v>59.76</v>
      </c>
      <c r="E1461">
        <v>58.66</v>
      </c>
      <c r="F1461" t="s">
        <v>1380</v>
      </c>
      <c r="G1461" s="2">
        <v>1E-3</v>
      </c>
      <c r="H1461">
        <f t="shared" si="44"/>
        <v>1.0095911155982211E-3</v>
      </c>
      <c r="I1461">
        <f t="shared" si="45"/>
        <v>1.0090818212451498E-3</v>
      </c>
    </row>
    <row r="1462" spans="1:9" x14ac:dyDescent="0.75">
      <c r="A1462" s="1">
        <v>43642</v>
      </c>
      <c r="B1462">
        <v>59.43</v>
      </c>
      <c r="C1462">
        <v>58.86</v>
      </c>
      <c r="D1462">
        <v>59.95</v>
      </c>
      <c r="E1462">
        <v>58.69</v>
      </c>
      <c r="F1462" t="s">
        <v>1381</v>
      </c>
      <c r="G1462" s="2">
        <v>2.6599999999999999E-2</v>
      </c>
      <c r="H1462">
        <f t="shared" si="44"/>
        <v>2.6602176541717034E-2</v>
      </c>
      <c r="I1462">
        <f t="shared" si="45"/>
        <v>2.6254491287655991E-2</v>
      </c>
    </row>
    <row r="1463" spans="1:9" x14ac:dyDescent="0.75">
      <c r="A1463" s="1">
        <v>43641</v>
      </c>
      <c r="B1463">
        <v>57.89</v>
      </c>
      <c r="C1463">
        <v>57.8</v>
      </c>
      <c r="D1463">
        <v>58.86</v>
      </c>
      <c r="E1463">
        <v>57.24</v>
      </c>
      <c r="F1463" t="s">
        <v>1382</v>
      </c>
      <c r="G1463" s="2">
        <v>-6.9999999999999999E-4</v>
      </c>
      <c r="H1463">
        <f t="shared" si="44"/>
        <v>-6.9048852062832979E-4</v>
      </c>
      <c r="I1463">
        <f t="shared" si="45"/>
        <v>-6.9072701761953184E-4</v>
      </c>
    </row>
    <row r="1464" spans="1:9" x14ac:dyDescent="0.75">
      <c r="A1464" s="1">
        <v>43640</v>
      </c>
      <c r="B1464">
        <v>57.93</v>
      </c>
      <c r="C1464">
        <v>57.8</v>
      </c>
      <c r="D1464">
        <v>58.26</v>
      </c>
      <c r="E1464">
        <v>56.82</v>
      </c>
      <c r="F1464" t="s">
        <v>1383</v>
      </c>
      <c r="G1464" s="2">
        <v>7.4999999999999997E-3</v>
      </c>
      <c r="H1464">
        <f t="shared" si="44"/>
        <v>7.4782608695652128E-3</v>
      </c>
      <c r="I1464">
        <f t="shared" si="45"/>
        <v>7.4504373052279487E-3</v>
      </c>
    </row>
    <row r="1465" spans="1:9" x14ac:dyDescent="0.75">
      <c r="A1465" s="1">
        <v>43637</v>
      </c>
      <c r="B1465">
        <v>57.5</v>
      </c>
      <c r="C1465">
        <v>57.3</v>
      </c>
      <c r="D1465">
        <v>58.04</v>
      </c>
      <c r="E1465">
        <v>56.71</v>
      </c>
      <c r="F1465" t="s">
        <v>1384</v>
      </c>
      <c r="G1465" s="2">
        <v>7.4999999999999997E-3</v>
      </c>
      <c r="H1465">
        <f t="shared" si="44"/>
        <v>7.534606623444887E-3</v>
      </c>
      <c r="I1465">
        <f t="shared" si="45"/>
        <v>7.5063632546881068E-3</v>
      </c>
    </row>
    <row r="1466" spans="1:9" x14ac:dyDescent="0.75">
      <c r="A1466" s="1">
        <v>43636</v>
      </c>
      <c r="B1466">
        <v>57.07</v>
      </c>
      <c r="C1466">
        <v>54.38</v>
      </c>
      <c r="D1466">
        <v>57.37</v>
      </c>
      <c r="E1466">
        <v>54.35</v>
      </c>
      <c r="F1466" t="s">
        <v>1385</v>
      </c>
      <c r="G1466" s="2">
        <v>5.74E-2</v>
      </c>
      <c r="H1466">
        <f t="shared" si="44"/>
        <v>5.743931813970727E-2</v>
      </c>
      <c r="I1466">
        <f t="shared" si="45"/>
        <v>5.585024791806531E-2</v>
      </c>
    </row>
    <row r="1467" spans="1:9" x14ac:dyDescent="0.75">
      <c r="A1467" s="1">
        <v>43635</v>
      </c>
      <c r="B1467">
        <v>53.97</v>
      </c>
      <c r="C1467">
        <v>54.3</v>
      </c>
      <c r="D1467">
        <v>54.65</v>
      </c>
      <c r="E1467">
        <v>53.5</v>
      </c>
      <c r="F1467" t="s">
        <v>1386</v>
      </c>
      <c r="G1467" s="2">
        <v>-2.5999999999999999E-3</v>
      </c>
      <c r="H1467">
        <f t="shared" si="44"/>
        <v>-2.5873221216041503E-3</v>
      </c>
      <c r="I1467">
        <f t="shared" si="45"/>
        <v>-2.5906750240925064E-3</v>
      </c>
    </row>
    <row r="1468" spans="1:9" x14ac:dyDescent="0.75">
      <c r="A1468" s="1">
        <v>43634</v>
      </c>
      <c r="B1468">
        <v>54.11</v>
      </c>
      <c r="C1468">
        <v>52.15</v>
      </c>
      <c r="D1468">
        <v>54.53</v>
      </c>
      <c r="E1468">
        <v>51.72</v>
      </c>
      <c r="F1468" t="s">
        <v>1387</v>
      </c>
      <c r="G1468" s="2">
        <v>3.7199999999999997E-2</v>
      </c>
      <c r="H1468">
        <f t="shared" si="44"/>
        <v>3.7186122292505223E-2</v>
      </c>
      <c r="I1468">
        <f t="shared" si="45"/>
        <v>3.6511394620342454E-2</v>
      </c>
    </row>
    <row r="1469" spans="1:9" x14ac:dyDescent="0.75">
      <c r="A1469" s="1">
        <v>43633</v>
      </c>
      <c r="B1469">
        <v>52.17</v>
      </c>
      <c r="C1469">
        <v>52.71</v>
      </c>
      <c r="D1469">
        <v>53</v>
      </c>
      <c r="E1469">
        <v>51.82</v>
      </c>
      <c r="F1469" t="s">
        <v>98</v>
      </c>
      <c r="G1469" s="2">
        <v>-1.14E-2</v>
      </c>
      <c r="H1469">
        <f t="shared" si="44"/>
        <v>-1.1370096645821516E-2</v>
      </c>
      <c r="I1469">
        <f t="shared" si="45"/>
        <v>-1.143523038327521E-2</v>
      </c>
    </row>
    <row r="1470" spans="1:9" x14ac:dyDescent="0.75">
      <c r="A1470" s="1">
        <v>43630</v>
      </c>
      <c r="B1470">
        <v>52.77</v>
      </c>
      <c r="C1470">
        <v>52.44</v>
      </c>
      <c r="D1470">
        <v>53.26</v>
      </c>
      <c r="E1470">
        <v>51.95</v>
      </c>
      <c r="F1470" t="s">
        <v>1388</v>
      </c>
      <c r="G1470" s="2">
        <v>4.4000000000000003E-3</v>
      </c>
      <c r="H1470">
        <f t="shared" si="44"/>
        <v>4.3776170536734679E-3</v>
      </c>
      <c r="I1470">
        <f t="shared" si="45"/>
        <v>4.3680631601828593E-3</v>
      </c>
    </row>
    <row r="1471" spans="1:9" x14ac:dyDescent="0.75">
      <c r="A1471" s="1">
        <v>43629</v>
      </c>
      <c r="B1471">
        <v>52.54</v>
      </c>
      <c r="C1471">
        <v>51.31</v>
      </c>
      <c r="D1471">
        <v>53.67</v>
      </c>
      <c r="E1471">
        <v>51.18</v>
      </c>
      <c r="F1471" t="s">
        <v>1389</v>
      </c>
      <c r="G1471" s="2">
        <v>2.2800000000000001E-2</v>
      </c>
      <c r="H1471">
        <f t="shared" si="44"/>
        <v>2.2775939264161996E-2</v>
      </c>
      <c r="I1471">
        <f t="shared" si="45"/>
        <v>2.2520439778217348E-2</v>
      </c>
    </row>
    <row r="1472" spans="1:9" x14ac:dyDescent="0.75">
      <c r="A1472" s="1">
        <v>43628</v>
      </c>
      <c r="B1472">
        <v>51.37</v>
      </c>
      <c r="C1472">
        <v>53.3</v>
      </c>
      <c r="D1472">
        <v>53.3</v>
      </c>
      <c r="E1472">
        <v>50.98</v>
      </c>
      <c r="F1472" t="s">
        <v>1390</v>
      </c>
      <c r="G1472" s="2">
        <v>-4.02E-2</v>
      </c>
      <c r="H1472">
        <f t="shared" si="44"/>
        <v>-4.0171898355754965E-2</v>
      </c>
      <c r="I1472">
        <f t="shared" si="45"/>
        <v>-4.1001071340796634E-2</v>
      </c>
    </row>
    <row r="1473" spans="1:9" x14ac:dyDescent="0.75">
      <c r="A1473" s="1">
        <v>43627</v>
      </c>
      <c r="B1473">
        <v>53.52</v>
      </c>
      <c r="C1473">
        <v>53.6</v>
      </c>
      <c r="D1473">
        <v>54.25</v>
      </c>
      <c r="E1473">
        <v>53.18</v>
      </c>
      <c r="F1473" t="s">
        <v>1391</v>
      </c>
      <c r="G1473" s="2">
        <v>6.9999999999999999E-4</v>
      </c>
      <c r="H1473">
        <f t="shared" si="44"/>
        <v>7.4794315632023664E-4</v>
      </c>
      <c r="I1473">
        <f t="shared" si="45"/>
        <v>7.4766358623066945E-4</v>
      </c>
    </row>
    <row r="1474" spans="1:9" x14ac:dyDescent="0.75">
      <c r="A1474" s="1">
        <v>43626</v>
      </c>
      <c r="B1474">
        <v>53.48</v>
      </c>
      <c r="C1474">
        <v>54.4</v>
      </c>
      <c r="D1474">
        <v>54.99</v>
      </c>
      <c r="E1474">
        <v>53.26</v>
      </c>
      <c r="F1474" t="s">
        <v>1392</v>
      </c>
      <c r="G1474" s="2">
        <v>-1.26E-2</v>
      </c>
      <c r="H1474">
        <f t="shared" si="44"/>
        <v>-1.2555391432791723E-2</v>
      </c>
      <c r="I1474">
        <f t="shared" si="45"/>
        <v>-1.2634876370277114E-2</v>
      </c>
    </row>
    <row r="1475" spans="1:9" x14ac:dyDescent="0.75">
      <c r="A1475" s="1">
        <v>43623</v>
      </c>
      <c r="B1475">
        <v>54.16</v>
      </c>
      <c r="C1475">
        <v>53.24</v>
      </c>
      <c r="D1475">
        <v>54.45</v>
      </c>
      <c r="E1475">
        <v>52.77</v>
      </c>
      <c r="F1475" t="s">
        <v>1393</v>
      </c>
      <c r="G1475" s="2">
        <v>2.7099999999999999E-2</v>
      </c>
      <c r="H1475">
        <f t="shared" ref="H1475:H1538" si="46">(B1475-B1476)/B1476</f>
        <v>2.7119286933434475E-2</v>
      </c>
      <c r="I1475">
        <f t="shared" ref="I1475:I1538" si="47">LN(B1475/B1476)</f>
        <v>2.6758075061641122E-2</v>
      </c>
    </row>
    <row r="1476" spans="1:9" x14ac:dyDescent="0.75">
      <c r="A1476" s="1">
        <v>43622</v>
      </c>
      <c r="B1476">
        <v>52.73</v>
      </c>
      <c r="C1476">
        <v>51.8</v>
      </c>
      <c r="D1476">
        <v>53.43</v>
      </c>
      <c r="E1476">
        <v>51.33</v>
      </c>
      <c r="F1476" t="s">
        <v>1394</v>
      </c>
      <c r="G1476" s="2">
        <v>1.7399999999999999E-2</v>
      </c>
      <c r="H1476">
        <f t="shared" si="46"/>
        <v>1.7364460737024863E-2</v>
      </c>
      <c r="I1476">
        <f t="shared" si="47"/>
        <v>1.7215421340763253E-2</v>
      </c>
    </row>
    <row r="1477" spans="1:9" x14ac:dyDescent="0.75">
      <c r="A1477" s="1">
        <v>43621</v>
      </c>
      <c r="B1477">
        <v>51.83</v>
      </c>
      <c r="C1477">
        <v>53.01</v>
      </c>
      <c r="D1477">
        <v>53.56</v>
      </c>
      <c r="E1477">
        <v>50.79</v>
      </c>
      <c r="F1477" t="s">
        <v>1395</v>
      </c>
      <c r="G1477" s="2">
        <v>-3.3599999999999998E-2</v>
      </c>
      <c r="H1477">
        <f t="shared" si="46"/>
        <v>-3.3563304120827975E-2</v>
      </c>
      <c r="I1477">
        <f t="shared" si="47"/>
        <v>-3.4139480793218727E-2</v>
      </c>
    </row>
    <row r="1478" spans="1:9" x14ac:dyDescent="0.75">
      <c r="A1478" s="1">
        <v>43620</v>
      </c>
      <c r="B1478">
        <v>53.63</v>
      </c>
      <c r="C1478">
        <v>53</v>
      </c>
      <c r="D1478">
        <v>53.94</v>
      </c>
      <c r="E1478">
        <v>52.56</v>
      </c>
      <c r="F1478" t="s">
        <v>1396</v>
      </c>
      <c r="G1478" s="2">
        <v>4.7000000000000002E-3</v>
      </c>
      <c r="H1478">
        <f t="shared" si="46"/>
        <v>4.683402023229674E-3</v>
      </c>
      <c r="I1478">
        <f t="shared" si="47"/>
        <v>4.67246901845566E-3</v>
      </c>
    </row>
    <row r="1479" spans="1:9" x14ac:dyDescent="0.75">
      <c r="A1479" s="1">
        <v>43619</v>
      </c>
      <c r="B1479">
        <v>53.38</v>
      </c>
      <c r="C1479">
        <v>53.54</v>
      </c>
      <c r="D1479">
        <v>54.73</v>
      </c>
      <c r="E1479">
        <v>52.22</v>
      </c>
      <c r="F1479" t="s">
        <v>1397</v>
      </c>
      <c r="G1479" s="2">
        <v>-4.7999999999999996E-3</v>
      </c>
      <c r="H1479">
        <f t="shared" si="46"/>
        <v>-4.8471290082027964E-3</v>
      </c>
      <c r="I1479">
        <f t="shared" si="47"/>
        <v>-4.8589144370996947E-3</v>
      </c>
    </row>
    <row r="1480" spans="1:9" x14ac:dyDescent="0.75">
      <c r="A1480" s="1">
        <v>43616</v>
      </c>
      <c r="B1480">
        <v>53.64</v>
      </c>
      <c r="C1480">
        <v>56.67</v>
      </c>
      <c r="D1480">
        <v>56.77</v>
      </c>
      <c r="E1480">
        <v>53.19</v>
      </c>
      <c r="F1480" t="s">
        <v>1398</v>
      </c>
      <c r="G1480" s="2">
        <v>-5.4600000000000003E-2</v>
      </c>
      <c r="H1480">
        <f t="shared" si="46"/>
        <v>-5.4635178004934816E-2</v>
      </c>
      <c r="I1480">
        <f t="shared" si="47"/>
        <v>-5.6184370967227504E-2</v>
      </c>
    </row>
    <row r="1481" spans="1:9" x14ac:dyDescent="0.75">
      <c r="A1481" s="1">
        <v>43615</v>
      </c>
      <c r="B1481">
        <v>56.74</v>
      </c>
      <c r="C1481">
        <v>59.21</v>
      </c>
      <c r="D1481">
        <v>59.8</v>
      </c>
      <c r="E1481">
        <v>56.49</v>
      </c>
      <c r="F1481" t="s">
        <v>1399</v>
      </c>
      <c r="G1481" s="2">
        <v>-3.7499999999999999E-2</v>
      </c>
      <c r="H1481">
        <f t="shared" si="46"/>
        <v>-3.7489397794741322E-2</v>
      </c>
      <c r="I1481">
        <f t="shared" si="47"/>
        <v>-3.8210197602674703E-2</v>
      </c>
    </row>
    <row r="1482" spans="1:9" x14ac:dyDescent="0.75">
      <c r="A1482" s="1">
        <v>43614</v>
      </c>
      <c r="B1482">
        <v>58.95</v>
      </c>
      <c r="C1482">
        <v>59.29</v>
      </c>
      <c r="D1482">
        <v>59.29</v>
      </c>
      <c r="E1482">
        <v>57.22</v>
      </c>
      <c r="F1482" t="s">
        <v>1400</v>
      </c>
      <c r="G1482" s="2">
        <v>-6.7000000000000002E-3</v>
      </c>
      <c r="H1482">
        <f t="shared" si="46"/>
        <v>-6.7396798652063789E-3</v>
      </c>
      <c r="I1482">
        <f t="shared" si="47"/>
        <v>-6.7624940722971127E-3</v>
      </c>
    </row>
    <row r="1483" spans="1:9" x14ac:dyDescent="0.75">
      <c r="A1483" s="1">
        <v>43613</v>
      </c>
      <c r="B1483">
        <v>59.35</v>
      </c>
      <c r="C1483">
        <v>59.01</v>
      </c>
      <c r="D1483">
        <v>59.7</v>
      </c>
      <c r="E1483">
        <v>58.26</v>
      </c>
      <c r="F1483" t="s">
        <v>1401</v>
      </c>
      <c r="G1483" s="2">
        <v>3.2000000000000002E-3</v>
      </c>
      <c r="H1483">
        <f t="shared" si="46"/>
        <v>3.21162947937804E-3</v>
      </c>
      <c r="I1483">
        <f t="shared" si="47"/>
        <v>3.2064832130780665E-3</v>
      </c>
    </row>
    <row r="1484" spans="1:9" x14ac:dyDescent="0.75">
      <c r="A1484" s="1">
        <v>43612</v>
      </c>
      <c r="B1484">
        <v>59.16</v>
      </c>
      <c r="C1484">
        <v>58.77</v>
      </c>
      <c r="D1484">
        <v>59.26</v>
      </c>
      <c r="E1484">
        <v>58.14</v>
      </c>
      <c r="G1484" s="2">
        <v>6.6E-3</v>
      </c>
      <c r="H1484">
        <f t="shared" si="46"/>
        <v>6.636038795303615E-3</v>
      </c>
      <c r="I1484">
        <f t="shared" si="47"/>
        <v>6.6141172180399698E-3</v>
      </c>
    </row>
    <row r="1485" spans="1:9" x14ac:dyDescent="0.75">
      <c r="A1485" s="1">
        <v>43611</v>
      </c>
      <c r="B1485">
        <v>58.77</v>
      </c>
      <c r="C1485">
        <v>58.94</v>
      </c>
      <c r="D1485">
        <v>59</v>
      </c>
      <c r="E1485">
        <v>58.67</v>
      </c>
      <c r="G1485" s="2">
        <v>1E-3</v>
      </c>
      <c r="H1485">
        <f t="shared" si="46"/>
        <v>1.0219724067450566E-3</v>
      </c>
      <c r="I1485">
        <f t="shared" si="47"/>
        <v>1.0214505484645682E-3</v>
      </c>
    </row>
    <row r="1486" spans="1:9" x14ac:dyDescent="0.75">
      <c r="A1486" s="1">
        <v>43609</v>
      </c>
      <c r="B1486">
        <v>58.71</v>
      </c>
      <c r="C1486">
        <v>58.3</v>
      </c>
      <c r="D1486">
        <v>59.17</v>
      </c>
      <c r="E1486">
        <v>57.58</v>
      </c>
      <c r="F1486" t="s">
        <v>1402</v>
      </c>
      <c r="G1486" s="2">
        <v>1.24E-2</v>
      </c>
      <c r="H1486">
        <f t="shared" si="46"/>
        <v>1.2415933781686478E-2</v>
      </c>
      <c r="I1486">
        <f t="shared" si="47"/>
        <v>1.233948818774532E-2</v>
      </c>
    </row>
    <row r="1487" spans="1:9" x14ac:dyDescent="0.75">
      <c r="A1487" s="1">
        <v>43608</v>
      </c>
      <c r="B1487">
        <v>57.99</v>
      </c>
      <c r="C1487">
        <v>61.35</v>
      </c>
      <c r="D1487">
        <v>61.48</v>
      </c>
      <c r="E1487">
        <v>57.42</v>
      </c>
      <c r="F1487" t="s">
        <v>1403</v>
      </c>
      <c r="G1487" s="2">
        <v>-5.7099999999999998E-2</v>
      </c>
      <c r="H1487">
        <f t="shared" si="46"/>
        <v>-5.7073170731707284E-2</v>
      </c>
      <c r="I1487">
        <f t="shared" si="47"/>
        <v>-5.8766592924122903E-2</v>
      </c>
    </row>
    <row r="1488" spans="1:9" x14ac:dyDescent="0.75">
      <c r="A1488" s="1">
        <v>43607</v>
      </c>
      <c r="B1488">
        <v>61.5</v>
      </c>
      <c r="C1488">
        <v>63.04</v>
      </c>
      <c r="D1488">
        <v>63.08</v>
      </c>
      <c r="E1488">
        <v>61.1</v>
      </c>
      <c r="F1488" t="s">
        <v>1404</v>
      </c>
      <c r="G1488" s="2">
        <v>-2.58E-2</v>
      </c>
      <c r="H1488">
        <f t="shared" si="46"/>
        <v>-2.581973705053069E-2</v>
      </c>
      <c r="I1488">
        <f t="shared" si="47"/>
        <v>-2.6158917567062064E-2</v>
      </c>
    </row>
    <row r="1489" spans="1:9" x14ac:dyDescent="0.75">
      <c r="A1489" s="1">
        <v>43606</v>
      </c>
      <c r="B1489">
        <v>63.13</v>
      </c>
      <c r="C1489">
        <v>63.3</v>
      </c>
      <c r="D1489">
        <v>63.78</v>
      </c>
      <c r="E1489">
        <v>62.78</v>
      </c>
      <c r="F1489" t="s">
        <v>1405</v>
      </c>
      <c r="G1489" s="2">
        <v>-1.2999999999999999E-3</v>
      </c>
      <c r="H1489">
        <f t="shared" si="46"/>
        <v>-1.2656225280809729E-3</v>
      </c>
      <c r="I1489">
        <f t="shared" si="47"/>
        <v>-1.2664241046730354E-3</v>
      </c>
    </row>
    <row r="1490" spans="1:9" x14ac:dyDescent="0.75">
      <c r="A1490" s="1">
        <v>43605</v>
      </c>
      <c r="B1490">
        <v>63.21</v>
      </c>
      <c r="C1490">
        <v>63.09</v>
      </c>
      <c r="D1490">
        <v>63.96</v>
      </c>
      <c r="E1490">
        <v>62.6</v>
      </c>
      <c r="F1490" t="s">
        <v>1406</v>
      </c>
      <c r="G1490" s="2">
        <v>4.5999999999999999E-3</v>
      </c>
      <c r="H1490">
        <f t="shared" si="46"/>
        <v>4.6090273363000502E-3</v>
      </c>
      <c r="I1490">
        <f t="shared" si="47"/>
        <v>4.5984382941301949E-3</v>
      </c>
    </row>
    <row r="1491" spans="1:9" x14ac:dyDescent="0.75">
      <c r="A1491" s="1">
        <v>43602</v>
      </c>
      <c r="B1491">
        <v>62.92</v>
      </c>
      <c r="C1491">
        <v>63.3</v>
      </c>
      <c r="D1491">
        <v>63.82</v>
      </c>
      <c r="E1491">
        <v>62.7</v>
      </c>
      <c r="F1491" t="s">
        <v>1407</v>
      </c>
      <c r="G1491" s="2">
        <v>-2.2000000000000001E-3</v>
      </c>
      <c r="H1491">
        <f t="shared" si="46"/>
        <v>-2.2201078338090798E-3</v>
      </c>
      <c r="I1491">
        <f t="shared" si="47"/>
        <v>-2.2225759268377169E-3</v>
      </c>
    </row>
    <row r="1492" spans="1:9" x14ac:dyDescent="0.75">
      <c r="A1492" s="1">
        <v>43601</v>
      </c>
      <c r="B1492">
        <v>63.06</v>
      </c>
      <c r="C1492">
        <v>62.33</v>
      </c>
      <c r="D1492">
        <v>63.69</v>
      </c>
      <c r="E1492">
        <v>62.31</v>
      </c>
      <c r="F1492" t="s">
        <v>1408</v>
      </c>
      <c r="G1492" s="2">
        <v>1.32E-2</v>
      </c>
      <c r="H1492">
        <f t="shared" si="46"/>
        <v>1.3174807197943448E-2</v>
      </c>
      <c r="I1492">
        <f t="shared" si="47"/>
        <v>1.3088774246778546E-2</v>
      </c>
    </row>
    <row r="1493" spans="1:9" x14ac:dyDescent="0.75">
      <c r="A1493" s="1">
        <v>43600</v>
      </c>
      <c r="B1493">
        <v>62.24</v>
      </c>
      <c r="C1493">
        <v>61.56</v>
      </c>
      <c r="D1493">
        <v>62.57</v>
      </c>
      <c r="E1493">
        <v>61.05</v>
      </c>
      <c r="F1493" t="s">
        <v>1409</v>
      </c>
      <c r="G1493" s="2">
        <v>4.4999999999999997E-3</v>
      </c>
      <c r="H1493">
        <f t="shared" si="46"/>
        <v>4.5190445448676751E-3</v>
      </c>
      <c r="I1493">
        <f t="shared" si="47"/>
        <v>4.5088643214683576E-3</v>
      </c>
    </row>
    <row r="1494" spans="1:9" x14ac:dyDescent="0.75">
      <c r="A1494" s="1">
        <v>43599</v>
      </c>
      <c r="B1494">
        <v>61.96</v>
      </c>
      <c r="C1494">
        <v>61.06</v>
      </c>
      <c r="D1494">
        <v>62.28</v>
      </c>
      <c r="E1494">
        <v>60.87</v>
      </c>
      <c r="F1494" t="s">
        <v>1410</v>
      </c>
      <c r="G1494" s="2">
        <v>1.23E-2</v>
      </c>
      <c r="H1494">
        <f t="shared" si="46"/>
        <v>1.2252899852965201E-2</v>
      </c>
      <c r="I1494">
        <f t="shared" si="47"/>
        <v>1.2178440685689391E-2</v>
      </c>
    </row>
    <row r="1495" spans="1:9" x14ac:dyDescent="0.75">
      <c r="A1495" s="1">
        <v>43598</v>
      </c>
      <c r="B1495">
        <v>61.21</v>
      </c>
      <c r="C1495">
        <v>61.8</v>
      </c>
      <c r="D1495">
        <v>63.48</v>
      </c>
      <c r="E1495">
        <v>60.81</v>
      </c>
      <c r="F1495" t="s">
        <v>1411</v>
      </c>
      <c r="G1495" s="2">
        <v>-9.4999999999999998E-3</v>
      </c>
      <c r="H1495">
        <f t="shared" si="46"/>
        <v>-9.5469255663429824E-3</v>
      </c>
      <c r="I1495">
        <f t="shared" si="47"/>
        <v>-9.5927896006665295E-3</v>
      </c>
    </row>
    <row r="1496" spans="1:9" x14ac:dyDescent="0.75">
      <c r="A1496" s="1">
        <v>43595</v>
      </c>
      <c r="B1496">
        <v>61.8</v>
      </c>
      <c r="C1496">
        <v>61.74</v>
      </c>
      <c r="D1496">
        <v>62.59</v>
      </c>
      <c r="E1496">
        <v>61.54</v>
      </c>
      <c r="F1496" t="s">
        <v>1412</v>
      </c>
      <c r="G1496" s="2">
        <v>-2.0000000000000001E-4</v>
      </c>
      <c r="H1496">
        <f t="shared" si="46"/>
        <v>-1.6178611875109392E-4</v>
      </c>
      <c r="I1496">
        <f t="shared" si="47"/>
        <v>-1.617992075369135E-4</v>
      </c>
    </row>
    <row r="1497" spans="1:9" x14ac:dyDescent="0.75">
      <c r="A1497" s="1">
        <v>43594</v>
      </c>
      <c r="B1497">
        <v>61.81</v>
      </c>
      <c r="C1497">
        <v>62.13</v>
      </c>
      <c r="D1497">
        <v>62.32</v>
      </c>
      <c r="E1497">
        <v>61.05</v>
      </c>
      <c r="F1497" t="s">
        <v>1154</v>
      </c>
      <c r="G1497" s="2">
        <v>-6.6E-3</v>
      </c>
      <c r="H1497">
        <f t="shared" si="46"/>
        <v>-6.5895210543233142E-3</v>
      </c>
      <c r="I1497">
        <f t="shared" si="47"/>
        <v>-6.611327798308953E-3</v>
      </c>
    </row>
    <row r="1498" spans="1:9" x14ac:dyDescent="0.75">
      <c r="A1498" s="1">
        <v>43593</v>
      </c>
      <c r="B1498">
        <v>62.22</v>
      </c>
      <c r="C1498">
        <v>61.58</v>
      </c>
      <c r="D1498">
        <v>62.47</v>
      </c>
      <c r="E1498">
        <v>61.17</v>
      </c>
      <c r="F1498" t="s">
        <v>1413</v>
      </c>
      <c r="G1498" s="2">
        <v>1.15E-2</v>
      </c>
      <c r="H1498">
        <f t="shared" si="46"/>
        <v>1.1542838562835325E-2</v>
      </c>
      <c r="I1498">
        <f t="shared" si="47"/>
        <v>1.147672824921408E-2</v>
      </c>
    </row>
    <row r="1499" spans="1:9" x14ac:dyDescent="0.75">
      <c r="A1499" s="1">
        <v>43592</v>
      </c>
      <c r="B1499">
        <v>61.51</v>
      </c>
      <c r="C1499">
        <v>62.15</v>
      </c>
      <c r="D1499">
        <v>62.59</v>
      </c>
      <c r="E1499">
        <v>60.77</v>
      </c>
      <c r="F1499" t="s">
        <v>1414</v>
      </c>
      <c r="G1499" s="2">
        <v>-1.38E-2</v>
      </c>
      <c r="H1499">
        <f t="shared" si="46"/>
        <v>-1.3788680455347114E-2</v>
      </c>
      <c r="I1499">
        <f t="shared" si="47"/>
        <v>-1.3884627317754313E-2</v>
      </c>
    </row>
    <row r="1500" spans="1:9" x14ac:dyDescent="0.75">
      <c r="A1500" s="1">
        <v>43591</v>
      </c>
      <c r="B1500">
        <v>62.37</v>
      </c>
      <c r="C1500">
        <v>61.54</v>
      </c>
      <c r="D1500">
        <v>63.05</v>
      </c>
      <c r="E1500">
        <v>60.1</v>
      </c>
      <c r="F1500" t="s">
        <v>1415</v>
      </c>
      <c r="G1500" s="2">
        <v>5.3E-3</v>
      </c>
      <c r="H1500">
        <f t="shared" si="46"/>
        <v>5.3191489361701857E-3</v>
      </c>
      <c r="I1500">
        <f t="shared" si="47"/>
        <v>5.3050522296930981E-3</v>
      </c>
    </row>
    <row r="1501" spans="1:9" x14ac:dyDescent="0.75">
      <c r="A1501" s="1">
        <v>43588</v>
      </c>
      <c r="B1501">
        <v>62.04</v>
      </c>
      <c r="C1501">
        <v>61.63</v>
      </c>
      <c r="D1501">
        <v>62.61</v>
      </c>
      <c r="E1501">
        <v>61.39</v>
      </c>
      <c r="F1501" t="s">
        <v>1416</v>
      </c>
      <c r="G1501" s="2">
        <v>2.3E-3</v>
      </c>
      <c r="H1501">
        <f t="shared" si="46"/>
        <v>2.261712439418426E-3</v>
      </c>
      <c r="I1501">
        <f t="shared" si="47"/>
        <v>2.2591586177876555E-3</v>
      </c>
    </row>
    <row r="1502" spans="1:9" x14ac:dyDescent="0.75">
      <c r="A1502" s="1">
        <v>43587</v>
      </c>
      <c r="B1502">
        <v>61.9</v>
      </c>
      <c r="C1502">
        <v>63.7</v>
      </c>
      <c r="D1502">
        <v>63.76</v>
      </c>
      <c r="E1502">
        <v>61.06</v>
      </c>
      <c r="F1502" t="s">
        <v>1417</v>
      </c>
      <c r="G1502" s="2">
        <v>-2.81E-2</v>
      </c>
      <c r="H1502">
        <f t="shared" si="46"/>
        <v>-2.8104883027162807E-2</v>
      </c>
      <c r="I1502">
        <f t="shared" si="47"/>
        <v>-2.8507384692724035E-2</v>
      </c>
    </row>
    <row r="1503" spans="1:9" x14ac:dyDescent="0.75">
      <c r="A1503" s="1">
        <v>43586</v>
      </c>
      <c r="B1503">
        <v>63.69</v>
      </c>
      <c r="C1503">
        <v>63.53</v>
      </c>
      <c r="D1503">
        <v>64.010000000000005</v>
      </c>
      <c r="E1503">
        <v>62.88</v>
      </c>
      <c r="F1503" t="s">
        <v>1418</v>
      </c>
      <c r="G1503" s="2">
        <v>-4.4999999999999997E-3</v>
      </c>
      <c r="H1503">
        <f t="shared" si="46"/>
        <v>-4.5326664582681954E-3</v>
      </c>
      <c r="I1503">
        <f t="shared" si="47"/>
        <v>-4.5429701380975372E-3</v>
      </c>
    </row>
    <row r="1504" spans="1:9" x14ac:dyDescent="0.75">
      <c r="A1504" s="1">
        <v>43585</v>
      </c>
      <c r="B1504">
        <v>63.98</v>
      </c>
      <c r="C1504">
        <v>63.5</v>
      </c>
      <c r="D1504">
        <v>64.81</v>
      </c>
      <c r="E1504">
        <v>63.35</v>
      </c>
      <c r="F1504" t="s">
        <v>1419</v>
      </c>
      <c r="G1504" s="2">
        <v>6.4000000000000003E-3</v>
      </c>
      <c r="H1504">
        <f t="shared" si="46"/>
        <v>6.4495831366996473E-3</v>
      </c>
      <c r="I1504">
        <f t="shared" si="47"/>
        <v>6.4288735730545941E-3</v>
      </c>
    </row>
    <row r="1505" spans="1:9" x14ac:dyDescent="0.75">
      <c r="A1505" s="1">
        <v>43584</v>
      </c>
      <c r="B1505">
        <v>63.57</v>
      </c>
      <c r="C1505">
        <v>62.98</v>
      </c>
      <c r="D1505">
        <v>63.76</v>
      </c>
      <c r="E1505">
        <v>62.56</v>
      </c>
      <c r="F1505" t="s">
        <v>1420</v>
      </c>
      <c r="G1505" s="2">
        <v>3.0000000000000001E-3</v>
      </c>
      <c r="H1505">
        <f t="shared" si="46"/>
        <v>2.9977911012937473E-3</v>
      </c>
      <c r="I1505">
        <f t="shared" si="47"/>
        <v>2.9933066855426459E-3</v>
      </c>
    </row>
    <row r="1506" spans="1:9" x14ac:dyDescent="0.75">
      <c r="A1506" s="1">
        <v>43581</v>
      </c>
      <c r="B1506">
        <v>63.38</v>
      </c>
      <c r="C1506">
        <v>65.25</v>
      </c>
      <c r="D1506">
        <v>65.25</v>
      </c>
      <c r="E1506">
        <v>62.36</v>
      </c>
      <c r="F1506" t="s">
        <v>1421</v>
      </c>
      <c r="G1506" s="2">
        <v>-2.9100000000000001E-2</v>
      </c>
      <c r="H1506">
        <f t="shared" si="46"/>
        <v>-2.9105392156862721E-2</v>
      </c>
      <c r="I1506">
        <f t="shared" si="47"/>
        <v>-2.9537356393076832E-2</v>
      </c>
    </row>
    <row r="1507" spans="1:9" x14ac:dyDescent="0.75">
      <c r="A1507" s="1">
        <v>43580</v>
      </c>
      <c r="B1507">
        <v>65.28</v>
      </c>
      <c r="C1507">
        <v>65.849999999999994</v>
      </c>
      <c r="D1507">
        <v>66.3</v>
      </c>
      <c r="E1507">
        <v>64.98</v>
      </c>
      <c r="F1507" t="s">
        <v>1422</v>
      </c>
      <c r="G1507" s="2">
        <v>-9.2999999999999992E-3</v>
      </c>
      <c r="H1507">
        <f t="shared" si="46"/>
        <v>-9.2578539990893823E-3</v>
      </c>
      <c r="I1507">
        <f t="shared" si="47"/>
        <v>-9.300974269876968E-3</v>
      </c>
    </row>
    <row r="1508" spans="1:9" x14ac:dyDescent="0.75">
      <c r="A1508" s="1">
        <v>43579</v>
      </c>
      <c r="B1508">
        <v>65.89</v>
      </c>
      <c r="C1508">
        <v>66.13</v>
      </c>
      <c r="D1508">
        <v>66.37</v>
      </c>
      <c r="E1508">
        <v>65.7</v>
      </c>
      <c r="F1508" t="s">
        <v>1423</v>
      </c>
      <c r="G1508" s="2">
        <v>-5.3E-3</v>
      </c>
      <c r="H1508">
        <f t="shared" si="46"/>
        <v>-5.2838164251206871E-3</v>
      </c>
      <c r="I1508">
        <f t="shared" si="47"/>
        <v>-5.2978251512756118E-3</v>
      </c>
    </row>
    <row r="1509" spans="1:9" x14ac:dyDescent="0.75">
      <c r="A1509" s="1">
        <v>43578</v>
      </c>
      <c r="B1509">
        <v>66.239999999999995</v>
      </c>
      <c r="C1509">
        <v>65.75</v>
      </c>
      <c r="D1509">
        <v>66.44</v>
      </c>
      <c r="E1509">
        <v>65.55</v>
      </c>
      <c r="F1509" t="s">
        <v>1424</v>
      </c>
      <c r="G1509" s="2">
        <v>1.0500000000000001E-2</v>
      </c>
      <c r="H1509">
        <f t="shared" si="46"/>
        <v>1.0526315789473649E-2</v>
      </c>
      <c r="I1509">
        <f t="shared" si="47"/>
        <v>1.0471299867295437E-2</v>
      </c>
    </row>
    <row r="1510" spans="1:9" x14ac:dyDescent="0.75">
      <c r="A1510" s="1">
        <v>43577</v>
      </c>
      <c r="B1510">
        <v>65.55</v>
      </c>
      <c r="C1510">
        <v>64.069999999999993</v>
      </c>
      <c r="D1510">
        <v>65.989999999999995</v>
      </c>
      <c r="E1510">
        <v>64.05</v>
      </c>
      <c r="F1510" t="s">
        <v>1425</v>
      </c>
      <c r="G1510" s="2">
        <v>2.3099999999999999E-2</v>
      </c>
      <c r="H1510">
        <f t="shared" si="46"/>
        <v>2.3099734665209991E-2</v>
      </c>
      <c r="I1510">
        <f t="shared" si="47"/>
        <v>2.2836974558778707E-2</v>
      </c>
    </row>
    <row r="1511" spans="1:9" x14ac:dyDescent="0.75">
      <c r="A1511" s="1">
        <v>43573</v>
      </c>
      <c r="B1511">
        <v>64.069999999999993</v>
      </c>
      <c r="C1511">
        <v>63.85</v>
      </c>
      <c r="D1511">
        <v>64.239999999999995</v>
      </c>
      <c r="E1511">
        <v>63.55</v>
      </c>
      <c r="F1511" t="s">
        <v>1426</v>
      </c>
      <c r="G1511" s="2">
        <v>3.0999999999999999E-3</v>
      </c>
      <c r="H1511">
        <f t="shared" si="46"/>
        <v>3.1313605761702796E-3</v>
      </c>
      <c r="I1511">
        <f t="shared" si="47"/>
        <v>3.126468077432307E-3</v>
      </c>
    </row>
    <row r="1512" spans="1:9" x14ac:dyDescent="0.75">
      <c r="A1512" s="1">
        <v>43572</v>
      </c>
      <c r="B1512">
        <v>63.87</v>
      </c>
      <c r="C1512">
        <v>64.459999999999994</v>
      </c>
      <c r="D1512">
        <v>64.72</v>
      </c>
      <c r="E1512">
        <v>63.76</v>
      </c>
      <c r="F1512" t="s">
        <v>1427</v>
      </c>
      <c r="G1512" s="2">
        <v>-5.0000000000000001E-3</v>
      </c>
      <c r="H1512">
        <f t="shared" si="46"/>
        <v>-4.9852001869450119E-3</v>
      </c>
      <c r="I1512">
        <f t="shared" si="47"/>
        <v>-4.9976677501890237E-3</v>
      </c>
    </row>
    <row r="1513" spans="1:9" x14ac:dyDescent="0.75">
      <c r="A1513" s="1">
        <v>43571</v>
      </c>
      <c r="B1513">
        <v>64.19</v>
      </c>
      <c r="C1513">
        <v>63.72</v>
      </c>
      <c r="D1513">
        <v>64.5</v>
      </c>
      <c r="E1513">
        <v>63.15</v>
      </c>
      <c r="F1513" t="s">
        <v>1428</v>
      </c>
      <c r="G1513" s="2">
        <v>9.9000000000000008E-3</v>
      </c>
      <c r="H1513">
        <f t="shared" si="46"/>
        <v>9.9118942731276811E-3</v>
      </c>
      <c r="I1513">
        <f t="shared" si="47"/>
        <v>9.8630936551715766E-3</v>
      </c>
    </row>
    <row r="1514" spans="1:9" x14ac:dyDescent="0.75">
      <c r="A1514" s="1">
        <v>43570</v>
      </c>
      <c r="B1514">
        <v>63.56</v>
      </c>
      <c r="C1514">
        <v>63.9</v>
      </c>
      <c r="D1514">
        <v>63.96</v>
      </c>
      <c r="E1514">
        <v>63.2</v>
      </c>
      <c r="F1514" t="s">
        <v>1429</v>
      </c>
      <c r="G1514" s="2">
        <v>-7.1999999999999998E-3</v>
      </c>
      <c r="H1514">
        <f t="shared" si="46"/>
        <v>-7.1852546079349232E-3</v>
      </c>
      <c r="I1514">
        <f t="shared" si="47"/>
        <v>-7.2111928732017019E-3</v>
      </c>
    </row>
    <row r="1515" spans="1:9" x14ac:dyDescent="0.75">
      <c r="A1515" s="1">
        <v>43567</v>
      </c>
      <c r="B1515">
        <v>64.02</v>
      </c>
      <c r="C1515">
        <v>63.81</v>
      </c>
      <c r="D1515">
        <v>64.7</v>
      </c>
      <c r="E1515">
        <v>63.74</v>
      </c>
      <c r="F1515" t="s">
        <v>1430</v>
      </c>
      <c r="G1515" s="2">
        <v>5.4999999999999997E-3</v>
      </c>
      <c r="H1515">
        <f t="shared" si="46"/>
        <v>5.4970943929636296E-3</v>
      </c>
      <c r="I1515">
        <f t="shared" si="47"/>
        <v>5.4820405127828497E-3</v>
      </c>
    </row>
    <row r="1516" spans="1:9" x14ac:dyDescent="0.75">
      <c r="A1516" s="1">
        <v>43566</v>
      </c>
      <c r="B1516">
        <v>63.67</v>
      </c>
      <c r="C1516">
        <v>64.510000000000005</v>
      </c>
      <c r="D1516">
        <v>64.55</v>
      </c>
      <c r="E1516">
        <v>63.39</v>
      </c>
      <c r="F1516" t="s">
        <v>1431</v>
      </c>
      <c r="G1516" s="2">
        <v>-1.52E-2</v>
      </c>
      <c r="H1516">
        <f t="shared" si="46"/>
        <v>-1.5158546017014754E-2</v>
      </c>
      <c r="I1516">
        <f t="shared" si="47"/>
        <v>-1.5274611188932547E-2</v>
      </c>
    </row>
    <row r="1517" spans="1:9" x14ac:dyDescent="0.75">
      <c r="A1517" s="1">
        <v>43565</v>
      </c>
      <c r="B1517">
        <v>64.650000000000006</v>
      </c>
      <c r="C1517">
        <v>64.2</v>
      </c>
      <c r="D1517">
        <v>64.709999999999994</v>
      </c>
      <c r="E1517">
        <v>64.010000000000005</v>
      </c>
      <c r="F1517" t="s">
        <v>1432</v>
      </c>
      <c r="G1517" s="2">
        <v>1.0800000000000001E-2</v>
      </c>
      <c r="H1517">
        <f t="shared" si="46"/>
        <v>1.0787992495309644E-2</v>
      </c>
      <c r="I1517">
        <f t="shared" si="47"/>
        <v>1.073021725211303E-2</v>
      </c>
    </row>
    <row r="1518" spans="1:9" x14ac:dyDescent="0.75">
      <c r="A1518" s="1">
        <v>43564</v>
      </c>
      <c r="B1518">
        <v>63.96</v>
      </c>
      <c r="C1518">
        <v>64.400000000000006</v>
      </c>
      <c r="D1518">
        <v>64.69</v>
      </c>
      <c r="E1518">
        <v>63.64</v>
      </c>
      <c r="F1518" t="s">
        <v>1433</v>
      </c>
      <c r="G1518" s="2">
        <v>-5.7999999999999996E-3</v>
      </c>
      <c r="H1518">
        <f t="shared" si="46"/>
        <v>-5.7515933468054942E-3</v>
      </c>
      <c r="I1518">
        <f t="shared" si="47"/>
        <v>-5.7681974571554984E-3</v>
      </c>
    </row>
    <row r="1519" spans="1:9" x14ac:dyDescent="0.75">
      <c r="A1519" s="1">
        <v>43563</v>
      </c>
      <c r="B1519">
        <v>64.33</v>
      </c>
      <c r="C1519">
        <v>63.37</v>
      </c>
      <c r="D1519">
        <v>64.400000000000006</v>
      </c>
      <c r="E1519">
        <v>63.18</v>
      </c>
      <c r="F1519" t="s">
        <v>1434</v>
      </c>
      <c r="G1519" s="2">
        <v>1.8700000000000001E-2</v>
      </c>
      <c r="H1519">
        <f t="shared" si="46"/>
        <v>1.8685669041963573E-2</v>
      </c>
      <c r="I1519">
        <f t="shared" si="47"/>
        <v>1.8513236626408962E-2</v>
      </c>
    </row>
    <row r="1520" spans="1:9" x14ac:dyDescent="0.75">
      <c r="A1520" s="1">
        <v>43560</v>
      </c>
      <c r="B1520">
        <v>63.15</v>
      </c>
      <c r="C1520">
        <v>62.23</v>
      </c>
      <c r="D1520">
        <v>63.38</v>
      </c>
      <c r="E1520">
        <v>61.92</v>
      </c>
      <c r="F1520" t="s">
        <v>1435</v>
      </c>
      <c r="G1520" s="2">
        <v>1.54E-2</v>
      </c>
      <c r="H1520">
        <f t="shared" si="46"/>
        <v>1.5436565364206479E-2</v>
      </c>
      <c r="I1520">
        <f t="shared" si="47"/>
        <v>1.5318633680702305E-2</v>
      </c>
    </row>
    <row r="1521" spans="1:9" x14ac:dyDescent="0.75">
      <c r="A1521" s="1">
        <v>43559</v>
      </c>
      <c r="B1521">
        <v>62.19</v>
      </c>
      <c r="C1521">
        <v>62.56</v>
      </c>
      <c r="D1521">
        <v>62.84</v>
      </c>
      <c r="E1521">
        <v>61.99</v>
      </c>
      <c r="F1521" t="s">
        <v>1436</v>
      </c>
      <c r="G1521" s="2">
        <v>-5.3E-3</v>
      </c>
      <c r="H1521">
        <f t="shared" si="46"/>
        <v>-5.2783109404991261E-3</v>
      </c>
      <c r="I1521">
        <f t="shared" si="47"/>
        <v>-5.2922904374780406E-3</v>
      </c>
    </row>
    <row r="1522" spans="1:9" x14ac:dyDescent="0.75">
      <c r="A1522" s="1">
        <v>43558</v>
      </c>
      <c r="B1522">
        <v>62.52</v>
      </c>
      <c r="C1522">
        <v>62.7</v>
      </c>
      <c r="D1522">
        <v>63.04</v>
      </c>
      <c r="E1522">
        <v>62.11</v>
      </c>
      <c r="F1522" t="s">
        <v>1437</v>
      </c>
      <c r="G1522" s="2">
        <v>-1.4E-3</v>
      </c>
      <c r="H1522">
        <f t="shared" si="46"/>
        <v>-1.4374700527071762E-3</v>
      </c>
      <c r="I1522">
        <f t="shared" si="47"/>
        <v>-1.4385042039432004E-3</v>
      </c>
    </row>
    <row r="1523" spans="1:9" x14ac:dyDescent="0.75">
      <c r="A1523" s="1">
        <v>43557</v>
      </c>
      <c r="B1523">
        <v>62.61</v>
      </c>
      <c r="C1523">
        <v>61.92</v>
      </c>
      <c r="D1523">
        <v>62.8</v>
      </c>
      <c r="E1523">
        <v>61.71</v>
      </c>
      <c r="F1523" t="s">
        <v>1438</v>
      </c>
      <c r="G1523" s="2">
        <v>1.46E-2</v>
      </c>
      <c r="H1523">
        <f t="shared" si="46"/>
        <v>1.4584346135148252E-2</v>
      </c>
      <c r="I1523">
        <f t="shared" si="47"/>
        <v>1.4479017424243559E-2</v>
      </c>
    </row>
    <row r="1524" spans="1:9" x14ac:dyDescent="0.75">
      <c r="A1524" s="1">
        <v>43556</v>
      </c>
      <c r="B1524">
        <v>61.71</v>
      </c>
      <c r="C1524">
        <v>60.36</v>
      </c>
      <c r="D1524">
        <v>61.9</v>
      </c>
      <c r="E1524">
        <v>60.36</v>
      </c>
      <c r="F1524" t="s">
        <v>1439</v>
      </c>
      <c r="G1524" s="2">
        <v>2.3699999999999999E-2</v>
      </c>
      <c r="H1524">
        <f t="shared" si="46"/>
        <v>2.3722627737226273E-2</v>
      </c>
      <c r="I1524">
        <f t="shared" si="47"/>
        <v>2.3445618574680725E-2</v>
      </c>
    </row>
    <row r="1525" spans="1:9" x14ac:dyDescent="0.75">
      <c r="A1525" s="1">
        <v>43553</v>
      </c>
      <c r="B1525">
        <v>60.28</v>
      </c>
      <c r="C1525">
        <v>59.67</v>
      </c>
      <c r="D1525">
        <v>60.87</v>
      </c>
      <c r="E1525">
        <v>59.6</v>
      </c>
      <c r="F1525" t="s">
        <v>1339</v>
      </c>
      <c r="G1525" s="2">
        <v>1.34E-2</v>
      </c>
      <c r="H1525">
        <f t="shared" si="46"/>
        <v>1.3449899125756629E-2</v>
      </c>
      <c r="I1525">
        <f t="shared" si="47"/>
        <v>1.3360252166340389E-2</v>
      </c>
    </row>
    <row r="1526" spans="1:9" x14ac:dyDescent="0.75">
      <c r="A1526" s="1">
        <v>43552</v>
      </c>
      <c r="B1526">
        <v>59.48</v>
      </c>
      <c r="C1526">
        <v>59.61</v>
      </c>
      <c r="D1526">
        <v>59.73</v>
      </c>
      <c r="E1526">
        <v>58.41</v>
      </c>
      <c r="F1526" t="s">
        <v>1092</v>
      </c>
      <c r="G1526" s="2">
        <v>-2.2000000000000001E-3</v>
      </c>
      <c r="H1526">
        <f t="shared" si="46"/>
        <v>-2.1808421405804823E-3</v>
      </c>
      <c r="I1526">
        <f t="shared" si="47"/>
        <v>-2.1832236398808603E-3</v>
      </c>
    </row>
    <row r="1527" spans="1:9" x14ac:dyDescent="0.75">
      <c r="A1527" s="1">
        <v>43551</v>
      </c>
      <c r="B1527">
        <v>59.61</v>
      </c>
      <c r="C1527">
        <v>60.16</v>
      </c>
      <c r="D1527">
        <v>60.35</v>
      </c>
      <c r="E1527">
        <v>59.01</v>
      </c>
      <c r="F1527" t="s">
        <v>1440</v>
      </c>
      <c r="G1527" s="2">
        <v>-8.2000000000000007E-3</v>
      </c>
      <c r="H1527">
        <f t="shared" si="46"/>
        <v>-8.153078202995042E-3</v>
      </c>
      <c r="I1527">
        <f t="shared" si="47"/>
        <v>-8.1864963093267618E-3</v>
      </c>
    </row>
    <row r="1528" spans="1:9" x14ac:dyDescent="0.75">
      <c r="A1528" s="1">
        <v>43550</v>
      </c>
      <c r="B1528">
        <v>60.1</v>
      </c>
      <c r="C1528">
        <v>59.22</v>
      </c>
      <c r="D1528">
        <v>60.5</v>
      </c>
      <c r="E1528">
        <v>59.22</v>
      </c>
      <c r="F1528" t="s">
        <v>1441</v>
      </c>
      <c r="G1528" s="2">
        <v>1.7299999999999999E-2</v>
      </c>
      <c r="H1528">
        <f t="shared" si="46"/>
        <v>1.7264725795531535E-2</v>
      </c>
      <c r="I1528">
        <f t="shared" si="47"/>
        <v>1.7117383877982981E-2</v>
      </c>
    </row>
    <row r="1529" spans="1:9" x14ac:dyDescent="0.75">
      <c r="A1529" s="1">
        <v>43549</v>
      </c>
      <c r="B1529">
        <v>59.08</v>
      </c>
      <c r="C1529">
        <v>59.24</v>
      </c>
      <c r="D1529">
        <v>59.58</v>
      </c>
      <c r="E1529">
        <v>58.45</v>
      </c>
      <c r="F1529" t="s">
        <v>1442</v>
      </c>
      <c r="G1529" s="2">
        <v>-3.5000000000000001E-3</v>
      </c>
      <c r="H1529">
        <f t="shared" si="46"/>
        <v>-3.5419126328217381E-3</v>
      </c>
      <c r="I1529">
        <f t="shared" si="47"/>
        <v>-3.5482000560973304E-3</v>
      </c>
    </row>
    <row r="1530" spans="1:9" x14ac:dyDescent="0.75">
      <c r="A1530" s="1">
        <v>43546</v>
      </c>
      <c r="B1530">
        <v>59.29</v>
      </c>
      <c r="C1530">
        <v>60.09</v>
      </c>
      <c r="D1530">
        <v>60.29</v>
      </c>
      <c r="E1530">
        <v>58.52</v>
      </c>
      <c r="F1530" t="s">
        <v>1443</v>
      </c>
      <c r="G1530" s="2">
        <v>-1.5100000000000001E-2</v>
      </c>
      <c r="H1530">
        <f t="shared" si="46"/>
        <v>-1.5116279069767502E-2</v>
      </c>
      <c r="I1530">
        <f t="shared" si="47"/>
        <v>-1.5231694595499119E-2</v>
      </c>
    </row>
    <row r="1531" spans="1:9" x14ac:dyDescent="0.75">
      <c r="A1531" s="1">
        <v>43545</v>
      </c>
      <c r="B1531">
        <v>60.2</v>
      </c>
      <c r="C1531">
        <v>60.25</v>
      </c>
      <c r="D1531">
        <v>60.61</v>
      </c>
      <c r="E1531">
        <v>59.92</v>
      </c>
      <c r="F1531" t="s">
        <v>459</v>
      </c>
      <c r="G1531" s="2">
        <v>-5.0000000000000001E-4</v>
      </c>
      <c r="H1531">
        <f t="shared" si="46"/>
        <v>-4.9809065249865566E-4</v>
      </c>
      <c r="I1531">
        <f t="shared" si="47"/>
        <v>-4.9821474085421464E-4</v>
      </c>
    </row>
    <row r="1532" spans="1:9" x14ac:dyDescent="0.75">
      <c r="A1532" s="1">
        <v>43544</v>
      </c>
      <c r="B1532">
        <v>60.23</v>
      </c>
      <c r="C1532">
        <v>59.29</v>
      </c>
      <c r="D1532">
        <v>60.28</v>
      </c>
      <c r="E1532">
        <v>58.56</v>
      </c>
      <c r="F1532" t="s">
        <v>1444</v>
      </c>
      <c r="G1532" s="2">
        <v>1.5900000000000001E-2</v>
      </c>
      <c r="H1532">
        <f t="shared" si="46"/>
        <v>1.5854275594535297E-2</v>
      </c>
      <c r="I1532">
        <f t="shared" si="47"/>
        <v>1.5729909336353272E-2</v>
      </c>
    </row>
    <row r="1533" spans="1:9" x14ac:dyDescent="0.75">
      <c r="A1533" s="1">
        <v>43543</v>
      </c>
      <c r="B1533">
        <v>59.29</v>
      </c>
      <c r="C1533">
        <v>59.31</v>
      </c>
      <c r="D1533">
        <v>59.86</v>
      </c>
      <c r="E1533">
        <v>58.89</v>
      </c>
      <c r="F1533" t="s">
        <v>1445</v>
      </c>
      <c r="G1533" s="2">
        <v>-1.5E-3</v>
      </c>
      <c r="H1533">
        <f t="shared" si="46"/>
        <v>-1.5156618390030888E-3</v>
      </c>
      <c r="I1533">
        <f t="shared" si="47"/>
        <v>-1.5168116163374731E-3</v>
      </c>
    </row>
    <row r="1534" spans="1:9" x14ac:dyDescent="0.75">
      <c r="A1534" s="1">
        <v>43542</v>
      </c>
      <c r="B1534">
        <v>59.38</v>
      </c>
      <c r="C1534">
        <v>58.75</v>
      </c>
      <c r="D1534">
        <v>59.54</v>
      </c>
      <c r="E1534">
        <v>58.37</v>
      </c>
      <c r="F1534" t="s">
        <v>1446</v>
      </c>
      <c r="G1534" s="2">
        <v>9.4999999999999998E-3</v>
      </c>
      <c r="H1534">
        <f t="shared" si="46"/>
        <v>9.5205712342740952E-3</v>
      </c>
      <c r="I1534">
        <f t="shared" si="47"/>
        <v>9.4755362097647972E-3</v>
      </c>
    </row>
    <row r="1535" spans="1:9" x14ac:dyDescent="0.75">
      <c r="A1535" s="1">
        <v>43539</v>
      </c>
      <c r="B1535">
        <v>58.82</v>
      </c>
      <c r="C1535">
        <v>58.82</v>
      </c>
      <c r="D1535">
        <v>59.25</v>
      </c>
      <c r="E1535">
        <v>58.03</v>
      </c>
      <c r="F1535" t="s">
        <v>1447</v>
      </c>
      <c r="G1535" s="2">
        <v>-1.5E-3</v>
      </c>
      <c r="H1535">
        <f t="shared" si="46"/>
        <v>-1.527754201323991E-3</v>
      </c>
      <c r="I1535">
        <f t="shared" si="47"/>
        <v>-1.5289224077469539E-3</v>
      </c>
    </row>
    <row r="1536" spans="1:9" x14ac:dyDescent="0.75">
      <c r="A1536" s="1">
        <v>43538</v>
      </c>
      <c r="B1536">
        <v>58.91</v>
      </c>
      <c r="C1536">
        <v>58.65</v>
      </c>
      <c r="D1536">
        <v>59.06</v>
      </c>
      <c r="E1536">
        <v>58.32</v>
      </c>
      <c r="F1536" t="s">
        <v>1448</v>
      </c>
      <c r="G1536" s="2">
        <v>5.4999999999999997E-3</v>
      </c>
      <c r="H1536">
        <f t="shared" si="46"/>
        <v>5.4616828810376029E-3</v>
      </c>
      <c r="I1536">
        <f t="shared" si="47"/>
        <v>5.4468219768986489E-3</v>
      </c>
    </row>
    <row r="1537" spans="1:9" x14ac:dyDescent="0.75">
      <c r="A1537" s="1">
        <v>43537</v>
      </c>
      <c r="B1537">
        <v>58.59</v>
      </c>
      <c r="C1537">
        <v>57.4</v>
      </c>
      <c r="D1537">
        <v>58.8</v>
      </c>
      <c r="E1537">
        <v>57.34</v>
      </c>
      <c r="F1537" t="s">
        <v>1449</v>
      </c>
      <c r="G1537" s="2">
        <v>2.4299999999999999E-2</v>
      </c>
      <c r="H1537">
        <f t="shared" si="46"/>
        <v>2.4300699300699308E-2</v>
      </c>
      <c r="I1537">
        <f t="shared" si="47"/>
        <v>2.4010135170945076E-2</v>
      </c>
    </row>
    <row r="1538" spans="1:9" x14ac:dyDescent="0.75">
      <c r="A1538" s="1">
        <v>43536</v>
      </c>
      <c r="B1538">
        <v>57.2</v>
      </c>
      <c r="C1538">
        <v>57.1</v>
      </c>
      <c r="D1538">
        <v>57.87</v>
      </c>
      <c r="E1538">
        <v>57.08</v>
      </c>
      <c r="F1538" t="s">
        <v>1450</v>
      </c>
      <c r="G1538" s="2">
        <v>1.4E-3</v>
      </c>
      <c r="H1538">
        <f t="shared" si="46"/>
        <v>1.4005602240897304E-3</v>
      </c>
      <c r="I1538">
        <f t="shared" si="47"/>
        <v>1.3995803544232636E-3</v>
      </c>
    </row>
    <row r="1539" spans="1:9" x14ac:dyDescent="0.75">
      <c r="A1539" s="1">
        <v>43535</v>
      </c>
      <c r="B1539">
        <v>57.12</v>
      </c>
      <c r="C1539">
        <v>56.43</v>
      </c>
      <c r="D1539">
        <v>57.35</v>
      </c>
      <c r="E1539">
        <v>56.32</v>
      </c>
      <c r="F1539" t="s">
        <v>1451</v>
      </c>
      <c r="G1539" s="2">
        <v>1.2200000000000001E-2</v>
      </c>
      <c r="H1539">
        <f t="shared" ref="H1539:H1602" si="48">(B1539-B1540)/B1540</f>
        <v>1.2227538543327976E-2</v>
      </c>
      <c r="I1539">
        <f t="shared" ref="I1539:I1602" si="49">LN(B1539/B1540)</f>
        <v>1.2153386050280142E-2</v>
      </c>
    </row>
    <row r="1540" spans="1:9" x14ac:dyDescent="0.75">
      <c r="A1540" s="1">
        <v>43532</v>
      </c>
      <c r="B1540">
        <v>56.43</v>
      </c>
      <c r="C1540">
        <v>56.74</v>
      </c>
      <c r="D1540">
        <v>56.84</v>
      </c>
      <c r="E1540">
        <v>54.87</v>
      </c>
      <c r="F1540" t="s">
        <v>1452</v>
      </c>
      <c r="G1540" s="2">
        <v>-1.0500000000000001E-2</v>
      </c>
      <c r="H1540">
        <f t="shared" si="48"/>
        <v>-1.0520778537611807E-2</v>
      </c>
      <c r="I1540">
        <f t="shared" si="49"/>
        <v>-1.0576513187398788E-2</v>
      </c>
    </row>
    <row r="1541" spans="1:9" x14ac:dyDescent="0.75">
      <c r="A1541" s="1">
        <v>43531</v>
      </c>
      <c r="B1541">
        <v>57.03</v>
      </c>
      <c r="C1541">
        <v>56.57</v>
      </c>
      <c r="D1541">
        <v>57.37</v>
      </c>
      <c r="E1541">
        <v>56.48</v>
      </c>
      <c r="F1541" t="s">
        <v>1453</v>
      </c>
      <c r="G1541" s="2">
        <v>7.1999999999999998E-3</v>
      </c>
      <c r="H1541">
        <f t="shared" si="48"/>
        <v>7.2412575061816271E-3</v>
      </c>
      <c r="I1541">
        <f t="shared" si="49"/>
        <v>7.215165484693923E-3</v>
      </c>
    </row>
    <row r="1542" spans="1:9" x14ac:dyDescent="0.75">
      <c r="A1542" s="1">
        <v>43530</v>
      </c>
      <c r="B1542">
        <v>56.62</v>
      </c>
      <c r="C1542">
        <v>56.65</v>
      </c>
      <c r="D1542">
        <v>56.81</v>
      </c>
      <c r="E1542">
        <v>55.83</v>
      </c>
      <c r="F1542" t="s">
        <v>1454</v>
      </c>
      <c r="G1542" s="2">
        <v>-5.5999999999999999E-3</v>
      </c>
      <c r="H1542">
        <f t="shared" si="48"/>
        <v>-5.6199508254302826E-3</v>
      </c>
      <c r="I1542">
        <f t="shared" si="49"/>
        <v>-5.635802166137998E-3</v>
      </c>
    </row>
    <row r="1543" spans="1:9" x14ac:dyDescent="0.75">
      <c r="A1543" s="1">
        <v>43529</v>
      </c>
      <c r="B1543">
        <v>56.94</v>
      </c>
      <c r="C1543">
        <v>56.93</v>
      </c>
      <c r="D1543">
        <v>57.56</v>
      </c>
      <c r="E1543">
        <v>56.47</v>
      </c>
      <c r="F1543" t="s">
        <v>1455</v>
      </c>
      <c r="G1543" s="2">
        <v>-5.0000000000000001E-4</v>
      </c>
      <c r="H1543">
        <f t="shared" si="48"/>
        <v>-5.2659294365457504E-4</v>
      </c>
      <c r="I1543">
        <f t="shared" si="49"/>
        <v>-5.2673164241268469E-4</v>
      </c>
    </row>
    <row r="1544" spans="1:9" x14ac:dyDescent="0.75">
      <c r="A1544" s="1">
        <v>43528</v>
      </c>
      <c r="B1544">
        <v>56.97</v>
      </c>
      <c r="C1544">
        <v>56.15</v>
      </c>
      <c r="D1544">
        <v>57.39</v>
      </c>
      <c r="E1544">
        <v>56.15</v>
      </c>
      <c r="F1544" t="s">
        <v>1456</v>
      </c>
      <c r="G1544" s="2">
        <v>1.3899999999999999E-2</v>
      </c>
      <c r="H1544">
        <f t="shared" si="48"/>
        <v>1.3881473571809952E-2</v>
      </c>
      <c r="I1544">
        <f t="shared" si="49"/>
        <v>1.3786008368197454E-2</v>
      </c>
    </row>
    <row r="1545" spans="1:9" x14ac:dyDescent="0.75">
      <c r="A1545" s="1">
        <v>43525</v>
      </c>
      <c r="B1545">
        <v>56.19</v>
      </c>
      <c r="C1545">
        <v>57.6</v>
      </c>
      <c r="D1545">
        <v>58.26</v>
      </c>
      <c r="E1545">
        <v>55.97</v>
      </c>
      <c r="F1545" t="s">
        <v>1457</v>
      </c>
      <c r="G1545" s="2">
        <v>-2.46E-2</v>
      </c>
      <c r="H1545">
        <f t="shared" si="48"/>
        <v>-2.4648498524561739E-2</v>
      </c>
      <c r="I1545">
        <f t="shared" si="49"/>
        <v>-2.4957358620184951E-2</v>
      </c>
    </row>
    <row r="1546" spans="1:9" x14ac:dyDescent="0.75">
      <c r="A1546" s="1">
        <v>43524</v>
      </c>
      <c r="B1546">
        <v>57.61</v>
      </c>
      <c r="C1546">
        <v>57.43</v>
      </c>
      <c r="D1546">
        <v>57.83</v>
      </c>
      <c r="E1546">
        <v>56.86</v>
      </c>
      <c r="F1546" t="s">
        <v>1458</v>
      </c>
      <c r="G1546" s="2">
        <v>4.1999999999999997E-3</v>
      </c>
      <c r="H1546">
        <f t="shared" si="48"/>
        <v>4.1833710998780199E-3</v>
      </c>
      <c r="I1546">
        <f t="shared" si="49"/>
        <v>4.1746451305120563E-3</v>
      </c>
    </row>
    <row r="1547" spans="1:9" x14ac:dyDescent="0.75">
      <c r="A1547" s="1">
        <v>43523</v>
      </c>
      <c r="B1547">
        <v>57.37</v>
      </c>
      <c r="C1547">
        <v>56.35</v>
      </c>
      <c r="D1547">
        <v>57.83</v>
      </c>
      <c r="E1547">
        <v>56.18</v>
      </c>
      <c r="F1547" t="s">
        <v>600</v>
      </c>
      <c r="G1547" s="2">
        <v>2.5000000000000001E-2</v>
      </c>
      <c r="H1547">
        <f t="shared" si="48"/>
        <v>2.5013400035733404E-2</v>
      </c>
      <c r="I1547">
        <f t="shared" si="49"/>
        <v>2.4705685710511436E-2</v>
      </c>
    </row>
    <row r="1548" spans="1:9" x14ac:dyDescent="0.75">
      <c r="A1548" s="1">
        <v>43522</v>
      </c>
      <c r="B1548">
        <v>55.97</v>
      </c>
      <c r="C1548">
        <v>55.9</v>
      </c>
      <c r="D1548">
        <v>56.54</v>
      </c>
      <c r="E1548">
        <v>55.47</v>
      </c>
      <c r="F1548" t="s">
        <v>292</v>
      </c>
      <c r="G1548" s="2">
        <v>8.9999999999999998E-4</v>
      </c>
      <c r="H1548">
        <f t="shared" si="48"/>
        <v>8.941344778254141E-4</v>
      </c>
      <c r="I1548">
        <f t="shared" si="49"/>
        <v>8.9373497771342138E-4</v>
      </c>
    </row>
    <row r="1549" spans="1:9" x14ac:dyDescent="0.75">
      <c r="A1549" s="1">
        <v>43521</v>
      </c>
      <c r="B1549">
        <v>55.92</v>
      </c>
      <c r="C1549">
        <v>57.62</v>
      </c>
      <c r="D1549">
        <v>58</v>
      </c>
      <c r="E1549">
        <v>55.55</v>
      </c>
      <c r="F1549" t="s">
        <v>1459</v>
      </c>
      <c r="G1549" s="2">
        <v>-3.1699999999999999E-2</v>
      </c>
      <c r="H1549">
        <f t="shared" si="48"/>
        <v>-3.1688311688311661E-2</v>
      </c>
      <c r="I1549">
        <f t="shared" si="49"/>
        <v>-3.2201251476348072E-2</v>
      </c>
    </row>
    <row r="1550" spans="1:9" x14ac:dyDescent="0.75">
      <c r="A1550" s="1">
        <v>43518</v>
      </c>
      <c r="B1550">
        <v>57.75</v>
      </c>
      <c r="C1550">
        <v>57.35</v>
      </c>
      <c r="D1550">
        <v>58.28</v>
      </c>
      <c r="E1550">
        <v>57.22</v>
      </c>
      <c r="F1550" t="s">
        <v>1460</v>
      </c>
      <c r="G1550" s="2">
        <v>5.0000000000000001E-3</v>
      </c>
      <c r="H1550">
        <f t="shared" si="48"/>
        <v>5.0469892098851223E-3</v>
      </c>
      <c r="I1550">
        <f t="shared" si="49"/>
        <v>5.0342958507595117E-3</v>
      </c>
    </row>
    <row r="1551" spans="1:9" x14ac:dyDescent="0.75">
      <c r="A1551" s="1">
        <v>43517</v>
      </c>
      <c r="B1551">
        <v>57.46</v>
      </c>
      <c r="C1551">
        <v>57.66</v>
      </c>
      <c r="D1551">
        <v>58.04</v>
      </c>
      <c r="E1551">
        <v>57.14</v>
      </c>
      <c r="F1551" t="s">
        <v>1461</v>
      </c>
      <c r="G1551" s="2">
        <v>5.1999999999999998E-3</v>
      </c>
      <c r="H1551">
        <f t="shared" si="48"/>
        <v>5.2484254723583678E-3</v>
      </c>
      <c r="I1551">
        <f t="shared" si="49"/>
        <v>5.2347004894769192E-3</v>
      </c>
    </row>
    <row r="1552" spans="1:9" x14ac:dyDescent="0.75">
      <c r="A1552" s="1">
        <v>43516</v>
      </c>
      <c r="B1552">
        <v>57.16</v>
      </c>
      <c r="C1552">
        <v>56.39</v>
      </c>
      <c r="D1552">
        <v>57.6</v>
      </c>
      <c r="E1552">
        <v>55.77</v>
      </c>
      <c r="F1552" t="s">
        <v>1462</v>
      </c>
      <c r="G1552" s="2">
        <v>1.26E-2</v>
      </c>
      <c r="H1552">
        <f t="shared" si="48"/>
        <v>1.2577502214348869E-2</v>
      </c>
      <c r="I1552">
        <f t="shared" si="49"/>
        <v>1.2499062465995489E-2</v>
      </c>
    </row>
    <row r="1553" spans="1:9" x14ac:dyDescent="0.75">
      <c r="A1553" s="1">
        <v>43515</v>
      </c>
      <c r="B1553">
        <v>56.45</v>
      </c>
      <c r="C1553">
        <v>56.15</v>
      </c>
      <c r="D1553">
        <v>56.73</v>
      </c>
      <c r="E1553">
        <v>55.66</v>
      </c>
      <c r="F1553" t="s">
        <v>1463</v>
      </c>
      <c r="G1553" s="2">
        <v>3.2000000000000002E-3</v>
      </c>
      <c r="H1553">
        <f t="shared" si="48"/>
        <v>3.1988626266216402E-3</v>
      </c>
      <c r="I1553">
        <f t="shared" si="49"/>
        <v>3.1937571504834883E-3</v>
      </c>
    </row>
    <row r="1554" spans="1:9" x14ac:dyDescent="0.75">
      <c r="A1554" s="1">
        <v>43514</v>
      </c>
      <c r="B1554">
        <v>56.27</v>
      </c>
      <c r="C1554">
        <v>56.33</v>
      </c>
      <c r="D1554">
        <v>56.73</v>
      </c>
      <c r="E1554">
        <v>56.12</v>
      </c>
      <c r="G1554" s="2">
        <v>-1.1000000000000001E-3</v>
      </c>
      <c r="H1554">
        <f t="shared" si="48"/>
        <v>-1.0651517841291527E-3</v>
      </c>
      <c r="I1554">
        <f t="shared" si="49"/>
        <v>-1.065719461434885E-3</v>
      </c>
    </row>
    <row r="1555" spans="1:9" x14ac:dyDescent="0.75">
      <c r="A1555" s="1">
        <v>43513</v>
      </c>
      <c r="B1555">
        <v>56.33</v>
      </c>
      <c r="C1555">
        <v>56.17</v>
      </c>
      <c r="D1555">
        <v>56.39</v>
      </c>
      <c r="E1555">
        <v>56.11</v>
      </c>
      <c r="G1555" s="2">
        <v>6.3E-3</v>
      </c>
      <c r="H1555">
        <f t="shared" si="48"/>
        <v>6.2522329403358603E-3</v>
      </c>
      <c r="I1555">
        <f t="shared" si="49"/>
        <v>6.2327688193151405E-3</v>
      </c>
    </row>
    <row r="1556" spans="1:9" x14ac:dyDescent="0.75">
      <c r="A1556" s="1">
        <v>43511</v>
      </c>
      <c r="B1556">
        <v>55.98</v>
      </c>
      <c r="C1556">
        <v>54.86</v>
      </c>
      <c r="D1556">
        <v>56.26</v>
      </c>
      <c r="E1556">
        <v>54.62</v>
      </c>
      <c r="F1556" t="s">
        <v>1464</v>
      </c>
      <c r="G1556" s="2">
        <v>2.1700000000000001E-2</v>
      </c>
      <c r="H1556">
        <f t="shared" si="48"/>
        <v>2.171929184157689E-2</v>
      </c>
      <c r="I1556">
        <f t="shared" si="49"/>
        <v>2.1486788536983117E-2</v>
      </c>
    </row>
    <row r="1557" spans="1:9" x14ac:dyDescent="0.75">
      <c r="A1557" s="1">
        <v>43510</v>
      </c>
      <c r="B1557">
        <v>54.79</v>
      </c>
      <c r="C1557">
        <v>54.31</v>
      </c>
      <c r="D1557">
        <v>55.08</v>
      </c>
      <c r="E1557">
        <v>53.51</v>
      </c>
      <c r="F1557" t="s">
        <v>1465</v>
      </c>
      <c r="G1557" s="2">
        <v>8.8000000000000005E-3</v>
      </c>
      <c r="H1557">
        <f t="shared" si="48"/>
        <v>8.8381513533418686E-3</v>
      </c>
      <c r="I1557">
        <f t="shared" si="49"/>
        <v>8.7993235035702874E-3</v>
      </c>
    </row>
    <row r="1558" spans="1:9" x14ac:dyDescent="0.75">
      <c r="A1558" s="1">
        <v>43509</v>
      </c>
      <c r="B1558">
        <v>54.31</v>
      </c>
      <c r="C1558">
        <v>53.71</v>
      </c>
      <c r="D1558">
        <v>54.98</v>
      </c>
      <c r="E1558">
        <v>53.65</v>
      </c>
      <c r="F1558" t="s">
        <v>1466</v>
      </c>
      <c r="G1558" s="2">
        <v>1.5699999999999999E-2</v>
      </c>
      <c r="H1558">
        <f t="shared" si="48"/>
        <v>1.5709743781559819E-2</v>
      </c>
      <c r="I1558">
        <f t="shared" si="49"/>
        <v>1.5587623086113826E-2</v>
      </c>
    </row>
    <row r="1559" spans="1:9" x14ac:dyDescent="0.75">
      <c r="A1559" s="1">
        <v>43508</v>
      </c>
      <c r="B1559">
        <v>53.47</v>
      </c>
      <c r="C1559">
        <v>52.78</v>
      </c>
      <c r="D1559">
        <v>54.41</v>
      </c>
      <c r="E1559">
        <v>52.67</v>
      </c>
      <c r="F1559" t="s">
        <v>1467</v>
      </c>
      <c r="G1559" s="2">
        <v>1.3100000000000001E-2</v>
      </c>
      <c r="H1559">
        <f t="shared" si="48"/>
        <v>1.3073133762788892E-2</v>
      </c>
      <c r="I1559">
        <f t="shared" si="49"/>
        <v>1.2988417885462209E-2</v>
      </c>
    </row>
    <row r="1560" spans="1:9" x14ac:dyDescent="0.75">
      <c r="A1560" s="1">
        <v>43507</v>
      </c>
      <c r="B1560">
        <v>52.78</v>
      </c>
      <c r="C1560">
        <v>53.04</v>
      </c>
      <c r="D1560">
        <v>53.11</v>
      </c>
      <c r="E1560">
        <v>51.62</v>
      </c>
      <c r="F1560" t="s">
        <v>1468</v>
      </c>
      <c r="G1560" s="2">
        <v>-5.7999999999999996E-3</v>
      </c>
      <c r="H1560">
        <f t="shared" si="48"/>
        <v>-5.8391410811829397E-3</v>
      </c>
      <c r="I1560">
        <f t="shared" si="49"/>
        <v>-5.8562555204020959E-3</v>
      </c>
    </row>
    <row r="1561" spans="1:9" x14ac:dyDescent="0.75">
      <c r="A1561" s="1">
        <v>43504</v>
      </c>
      <c r="B1561">
        <v>53.09</v>
      </c>
      <c r="C1561">
        <v>52.96</v>
      </c>
      <c r="D1561">
        <v>53.35</v>
      </c>
      <c r="E1561">
        <v>52.44</v>
      </c>
      <c r="F1561" t="s">
        <v>1469</v>
      </c>
      <c r="G1561" s="2">
        <v>1.6999999999999999E-3</v>
      </c>
      <c r="H1561">
        <f t="shared" si="48"/>
        <v>1.6981132075472342E-3</v>
      </c>
      <c r="I1561">
        <f t="shared" si="49"/>
        <v>1.696673043458426E-3</v>
      </c>
    </row>
    <row r="1562" spans="1:9" x14ac:dyDescent="0.75">
      <c r="A1562" s="1">
        <v>43503</v>
      </c>
      <c r="B1562">
        <v>53</v>
      </c>
      <c r="C1562">
        <v>54.26</v>
      </c>
      <c r="D1562">
        <v>54.55</v>
      </c>
      <c r="E1562">
        <v>52.15</v>
      </c>
      <c r="F1562" t="s">
        <v>1470</v>
      </c>
      <c r="G1562" s="2">
        <v>-2.47E-2</v>
      </c>
      <c r="H1562">
        <f t="shared" si="48"/>
        <v>-2.4659550975340509E-2</v>
      </c>
      <c r="I1562">
        <f t="shared" si="49"/>
        <v>-2.4968690446079963E-2</v>
      </c>
    </row>
    <row r="1563" spans="1:9" x14ac:dyDescent="0.75">
      <c r="A1563" s="1">
        <v>43502</v>
      </c>
      <c r="B1563">
        <v>54.34</v>
      </c>
      <c r="C1563">
        <v>54.05</v>
      </c>
      <c r="D1563">
        <v>54.64</v>
      </c>
      <c r="E1563">
        <v>53.21</v>
      </c>
      <c r="F1563" t="s">
        <v>1471</v>
      </c>
      <c r="G1563" s="2">
        <v>6.3E-3</v>
      </c>
      <c r="H1563">
        <f t="shared" si="48"/>
        <v>6.2962962962963597E-3</v>
      </c>
      <c r="I1563">
        <f t="shared" si="49"/>
        <v>6.2765574339274672E-3</v>
      </c>
    </row>
    <row r="1564" spans="1:9" x14ac:dyDescent="0.75">
      <c r="A1564" s="1">
        <v>43501</v>
      </c>
      <c r="B1564">
        <v>54</v>
      </c>
      <c r="C1564">
        <v>55.13</v>
      </c>
      <c r="D1564">
        <v>55.53</v>
      </c>
      <c r="E1564">
        <v>53.83</v>
      </c>
      <c r="F1564" t="s">
        <v>1472</v>
      </c>
      <c r="G1564" s="2">
        <v>-1.6199999999999999E-2</v>
      </c>
      <c r="H1564">
        <f t="shared" si="48"/>
        <v>-1.621424667516853E-2</v>
      </c>
      <c r="I1564">
        <f t="shared" si="49"/>
        <v>-1.6347135997523514E-2</v>
      </c>
    </row>
    <row r="1565" spans="1:9" x14ac:dyDescent="0.75">
      <c r="A1565" s="1">
        <v>43500</v>
      </c>
      <c r="B1565">
        <v>54.89</v>
      </c>
      <c r="C1565">
        <v>55.6</v>
      </c>
      <c r="D1565">
        <v>56.05</v>
      </c>
      <c r="E1565">
        <v>53.62</v>
      </c>
      <c r="F1565" t="s">
        <v>1473</v>
      </c>
      <c r="G1565" s="2">
        <v>-1.1900000000000001E-2</v>
      </c>
      <c r="H1565">
        <f t="shared" si="48"/>
        <v>-1.1881188118811821E-2</v>
      </c>
      <c r="I1565">
        <f t="shared" si="49"/>
        <v>-1.1952333523841058E-2</v>
      </c>
    </row>
    <row r="1566" spans="1:9" x14ac:dyDescent="0.75">
      <c r="A1566" s="1">
        <v>43497</v>
      </c>
      <c r="B1566">
        <v>55.55</v>
      </c>
      <c r="C1566">
        <v>54.44</v>
      </c>
      <c r="D1566">
        <v>55.92</v>
      </c>
      <c r="E1566">
        <v>53.64</v>
      </c>
      <c r="F1566" t="s">
        <v>1474</v>
      </c>
      <c r="G1566" s="2">
        <v>2.7900000000000001E-2</v>
      </c>
      <c r="H1566">
        <f t="shared" si="48"/>
        <v>2.7942264988897077E-2</v>
      </c>
      <c r="I1566">
        <f t="shared" si="49"/>
        <v>2.755900299364096E-2</v>
      </c>
    </row>
    <row r="1567" spans="1:9" x14ac:dyDescent="0.75">
      <c r="A1567" s="1">
        <v>43496</v>
      </c>
      <c r="B1567">
        <v>54.04</v>
      </c>
      <c r="C1567">
        <v>54.44</v>
      </c>
      <c r="D1567">
        <v>55.61</v>
      </c>
      <c r="E1567">
        <v>53.87</v>
      </c>
      <c r="F1567" t="s">
        <v>1475</v>
      </c>
      <c r="G1567" s="2">
        <v>-7.9000000000000008E-3</v>
      </c>
      <c r="H1567">
        <f t="shared" si="48"/>
        <v>-7.8942537176427338E-3</v>
      </c>
      <c r="I1567">
        <f t="shared" si="49"/>
        <v>-7.925578303584993E-3</v>
      </c>
    </row>
    <row r="1568" spans="1:9" x14ac:dyDescent="0.75">
      <c r="A1568" s="1">
        <v>43495</v>
      </c>
      <c r="B1568">
        <v>54.47</v>
      </c>
      <c r="C1568">
        <v>53.54</v>
      </c>
      <c r="D1568">
        <v>55.17</v>
      </c>
      <c r="E1568">
        <v>53.39</v>
      </c>
      <c r="F1568" t="s">
        <v>1476</v>
      </c>
      <c r="G1568" s="2">
        <v>1.6199999999999999E-2</v>
      </c>
      <c r="H1568">
        <f t="shared" si="48"/>
        <v>1.6231343283582042E-2</v>
      </c>
      <c r="I1568">
        <f t="shared" si="49"/>
        <v>1.6101023318826818E-2</v>
      </c>
    </row>
    <row r="1569" spans="1:9" x14ac:dyDescent="0.75">
      <c r="A1569" s="1">
        <v>43494</v>
      </c>
      <c r="B1569">
        <v>53.6</v>
      </c>
      <c r="C1569">
        <v>52.37</v>
      </c>
      <c r="D1569">
        <v>54.21</v>
      </c>
      <c r="E1569">
        <v>52.14</v>
      </c>
      <c r="F1569" t="s">
        <v>1477</v>
      </c>
      <c r="G1569" s="2">
        <v>2.5100000000000001E-2</v>
      </c>
      <c r="H1569">
        <f t="shared" si="48"/>
        <v>2.5052591317651602E-2</v>
      </c>
      <c r="I1569">
        <f t="shared" si="49"/>
        <v>2.4743919876717087E-2</v>
      </c>
    </row>
    <row r="1570" spans="1:9" x14ac:dyDescent="0.75">
      <c r="A1570" s="1">
        <v>43493</v>
      </c>
      <c r="B1570">
        <v>52.29</v>
      </c>
      <c r="C1570">
        <v>53.91</v>
      </c>
      <c r="D1570">
        <v>53.91</v>
      </c>
      <c r="E1570">
        <v>51.62</v>
      </c>
      <c r="F1570" t="s">
        <v>1478</v>
      </c>
      <c r="G1570" s="2">
        <v>-3.1300000000000001E-2</v>
      </c>
      <c r="H1570">
        <f t="shared" si="48"/>
        <v>-3.1307891811782104E-2</v>
      </c>
      <c r="I1570">
        <f t="shared" si="49"/>
        <v>-3.1808459389819271E-2</v>
      </c>
    </row>
    <row r="1571" spans="1:9" x14ac:dyDescent="0.75">
      <c r="A1571" s="1">
        <v>43490</v>
      </c>
      <c r="B1571">
        <v>53.98</v>
      </c>
      <c r="C1571">
        <v>53.45</v>
      </c>
      <c r="D1571">
        <v>54.21</v>
      </c>
      <c r="E1571">
        <v>53.19</v>
      </c>
      <c r="F1571" t="s">
        <v>1479</v>
      </c>
      <c r="G1571" s="2">
        <v>1.0500000000000001E-2</v>
      </c>
      <c r="H1571">
        <f t="shared" si="48"/>
        <v>1.0482965181579842E-2</v>
      </c>
      <c r="I1571">
        <f t="shared" si="49"/>
        <v>1.0428399908043727E-2</v>
      </c>
    </row>
    <row r="1572" spans="1:9" x14ac:dyDescent="0.75">
      <c r="A1572" s="1">
        <v>43489</v>
      </c>
      <c r="B1572">
        <v>53.42</v>
      </c>
      <c r="C1572">
        <v>52.76</v>
      </c>
      <c r="D1572">
        <v>53.73</v>
      </c>
      <c r="E1572">
        <v>52.36</v>
      </c>
      <c r="F1572" t="s">
        <v>870</v>
      </c>
      <c r="G1572" s="2">
        <v>9.4000000000000004E-3</v>
      </c>
      <c r="H1572">
        <f t="shared" si="48"/>
        <v>9.4482237339380201E-3</v>
      </c>
      <c r="I1572">
        <f t="shared" si="49"/>
        <v>9.4038684350597999E-3</v>
      </c>
    </row>
    <row r="1573" spans="1:9" x14ac:dyDescent="0.75">
      <c r="A1573" s="1">
        <v>43488</v>
      </c>
      <c r="B1573">
        <v>52.92</v>
      </c>
      <c r="C1573">
        <v>53.28</v>
      </c>
      <c r="D1573">
        <v>53.92</v>
      </c>
      <c r="E1573">
        <v>52.15</v>
      </c>
      <c r="F1573" t="s">
        <v>1480</v>
      </c>
      <c r="G1573" s="2">
        <v>-1.6999999999999999E-3</v>
      </c>
      <c r="H1573">
        <f t="shared" si="48"/>
        <v>-1.6977928692698794E-3</v>
      </c>
      <c r="I1573">
        <f t="shared" si="49"/>
        <v>-1.6992357529596904E-3</v>
      </c>
    </row>
    <row r="1574" spans="1:9" x14ac:dyDescent="0.75">
      <c r="A1574" s="1">
        <v>43487</v>
      </c>
      <c r="B1574">
        <v>53.01</v>
      </c>
      <c r="C1574">
        <v>53.95</v>
      </c>
      <c r="D1574">
        <v>54.51</v>
      </c>
      <c r="E1574">
        <v>52.04</v>
      </c>
      <c r="F1574" t="s">
        <v>1481</v>
      </c>
      <c r="G1574" s="2">
        <v>-2.2700000000000001E-2</v>
      </c>
      <c r="H1574">
        <f t="shared" si="48"/>
        <v>-2.2676991150442551E-2</v>
      </c>
      <c r="I1574">
        <f t="shared" si="49"/>
        <v>-2.2938068632425458E-2</v>
      </c>
    </row>
    <row r="1575" spans="1:9" x14ac:dyDescent="0.75">
      <c r="A1575" s="1">
        <v>43486</v>
      </c>
      <c r="B1575">
        <v>54.24</v>
      </c>
      <c r="C1575">
        <v>53.66</v>
      </c>
      <c r="D1575">
        <v>54.48</v>
      </c>
      <c r="E1575">
        <v>53.58</v>
      </c>
      <c r="G1575" s="2">
        <v>1.0999999999999999E-2</v>
      </c>
      <c r="H1575">
        <f t="shared" si="48"/>
        <v>1.099720410065244E-2</v>
      </c>
      <c r="I1575">
        <f t="shared" si="49"/>
        <v>1.0937174555432798E-2</v>
      </c>
    </row>
    <row r="1576" spans="1:9" x14ac:dyDescent="0.75">
      <c r="A1576" s="1">
        <v>43485</v>
      </c>
      <c r="B1576">
        <v>53.65</v>
      </c>
      <c r="C1576">
        <v>53.97</v>
      </c>
      <c r="D1576">
        <v>54.05</v>
      </c>
      <c r="E1576">
        <v>53.59</v>
      </c>
      <c r="G1576" s="2">
        <v>-7.1999999999999998E-3</v>
      </c>
      <c r="H1576">
        <f t="shared" si="48"/>
        <v>-7.2168763878608542E-3</v>
      </c>
      <c r="I1576">
        <f t="shared" si="49"/>
        <v>-7.2430440152906235E-3</v>
      </c>
    </row>
    <row r="1577" spans="1:9" x14ac:dyDescent="0.75">
      <c r="A1577" s="1">
        <v>43483</v>
      </c>
      <c r="B1577">
        <v>54.04</v>
      </c>
      <c r="C1577">
        <v>52.53</v>
      </c>
      <c r="D1577">
        <v>54.14</v>
      </c>
      <c r="E1577">
        <v>52.37</v>
      </c>
      <c r="F1577" t="s">
        <v>1482</v>
      </c>
      <c r="G1577" s="2">
        <v>3.2099999999999997E-2</v>
      </c>
      <c r="H1577">
        <f t="shared" si="48"/>
        <v>3.20855614973262E-2</v>
      </c>
      <c r="I1577">
        <f t="shared" si="49"/>
        <v>3.1581572050298837E-2</v>
      </c>
    </row>
    <row r="1578" spans="1:9" x14ac:dyDescent="0.75">
      <c r="A1578" s="1">
        <v>43482</v>
      </c>
      <c r="B1578">
        <v>52.36</v>
      </c>
      <c r="C1578">
        <v>52.6</v>
      </c>
      <c r="D1578">
        <v>52.88</v>
      </c>
      <c r="E1578">
        <v>51.29</v>
      </c>
      <c r="F1578" t="s">
        <v>1483</v>
      </c>
      <c r="G1578" s="2">
        <v>-4.7999999999999996E-3</v>
      </c>
      <c r="H1578">
        <f t="shared" si="48"/>
        <v>-4.7519482988025094E-3</v>
      </c>
      <c r="I1578">
        <f t="shared" si="49"/>
        <v>-4.7632747010167139E-3</v>
      </c>
    </row>
    <row r="1579" spans="1:9" x14ac:dyDescent="0.75">
      <c r="A1579" s="1">
        <v>43481</v>
      </c>
      <c r="B1579">
        <v>52.61</v>
      </c>
      <c r="C1579">
        <v>52.29</v>
      </c>
      <c r="D1579">
        <v>52.81</v>
      </c>
      <c r="E1579">
        <v>51.55</v>
      </c>
      <c r="F1579" t="s">
        <v>1484</v>
      </c>
      <c r="G1579" s="2">
        <v>4.1999999999999997E-3</v>
      </c>
      <c r="H1579">
        <f t="shared" si="48"/>
        <v>4.1992746707386688E-3</v>
      </c>
      <c r="I1579">
        <f t="shared" si="49"/>
        <v>4.1904823225874799E-3</v>
      </c>
    </row>
    <row r="1580" spans="1:9" x14ac:dyDescent="0.75">
      <c r="A1580" s="1">
        <v>43480</v>
      </c>
      <c r="B1580">
        <v>52.39</v>
      </c>
      <c r="C1580">
        <v>51.08</v>
      </c>
      <c r="D1580">
        <v>52.58</v>
      </c>
      <c r="E1580">
        <v>50.93</v>
      </c>
      <c r="F1580" t="s">
        <v>1485</v>
      </c>
      <c r="G1580" s="2">
        <v>3.1300000000000001E-2</v>
      </c>
      <c r="H1580">
        <f t="shared" si="48"/>
        <v>3.1299212598425268E-2</v>
      </c>
      <c r="I1580">
        <f t="shared" si="49"/>
        <v>3.0819378835692218E-2</v>
      </c>
    </row>
    <row r="1581" spans="1:9" x14ac:dyDescent="0.75">
      <c r="A1581" s="1">
        <v>43479</v>
      </c>
      <c r="B1581">
        <v>50.8</v>
      </c>
      <c r="C1581">
        <v>52.03</v>
      </c>
      <c r="D1581">
        <v>52.42</v>
      </c>
      <c r="E1581">
        <v>50.66</v>
      </c>
      <c r="F1581" t="s">
        <v>1486</v>
      </c>
      <c r="G1581" s="2">
        <v>-2.1399999999999999E-2</v>
      </c>
      <c r="H1581">
        <f t="shared" si="48"/>
        <v>-2.1383163167019832E-2</v>
      </c>
      <c r="I1581">
        <f t="shared" si="49"/>
        <v>-2.1615095254701431E-2</v>
      </c>
    </row>
    <row r="1582" spans="1:9" x14ac:dyDescent="0.75">
      <c r="A1582" s="1">
        <v>43476</v>
      </c>
      <c r="B1582">
        <v>51.91</v>
      </c>
      <c r="C1582">
        <v>52.61</v>
      </c>
      <c r="D1582">
        <v>53.61</v>
      </c>
      <c r="E1582">
        <v>51.48</v>
      </c>
      <c r="F1582" t="s">
        <v>1487</v>
      </c>
      <c r="G1582" s="2">
        <v>-1.89E-2</v>
      </c>
      <c r="H1582">
        <f t="shared" si="48"/>
        <v>-1.8900018900018901E-2</v>
      </c>
      <c r="I1582">
        <f t="shared" si="49"/>
        <v>-1.9080907076902711E-2</v>
      </c>
    </row>
    <row r="1583" spans="1:9" x14ac:dyDescent="0.75">
      <c r="A1583" s="1">
        <v>43475</v>
      </c>
      <c r="B1583">
        <v>52.91</v>
      </c>
      <c r="C1583">
        <v>52.5</v>
      </c>
      <c r="D1583">
        <v>53.09</v>
      </c>
      <c r="E1583">
        <v>51.72</v>
      </c>
      <c r="F1583" t="s">
        <v>1488</v>
      </c>
      <c r="G1583" s="2">
        <v>4.1999999999999997E-3</v>
      </c>
      <c r="H1583">
        <f t="shared" si="48"/>
        <v>4.1753653444676197E-3</v>
      </c>
      <c r="I1583">
        <f t="shared" si="49"/>
        <v>4.1666726948459123E-3</v>
      </c>
    </row>
    <row r="1584" spans="1:9" x14ac:dyDescent="0.75">
      <c r="A1584" s="1">
        <v>43474</v>
      </c>
      <c r="B1584">
        <v>52.69</v>
      </c>
      <c r="C1584">
        <v>50.16</v>
      </c>
      <c r="D1584">
        <v>52.87</v>
      </c>
      <c r="E1584">
        <v>50.05</v>
      </c>
      <c r="F1584" t="s">
        <v>1489</v>
      </c>
      <c r="G1584" s="2">
        <v>5.1499999999999997E-2</v>
      </c>
      <c r="H1584">
        <f t="shared" si="48"/>
        <v>5.1486729195769271E-2</v>
      </c>
      <c r="I1584">
        <f t="shared" si="49"/>
        <v>5.0205095249561071E-2</v>
      </c>
    </row>
    <row r="1585" spans="1:9" x14ac:dyDescent="0.75">
      <c r="A1585" s="1">
        <v>43473</v>
      </c>
      <c r="B1585">
        <v>50.11</v>
      </c>
      <c r="C1585">
        <v>49.09</v>
      </c>
      <c r="D1585">
        <v>50.25</v>
      </c>
      <c r="E1585">
        <v>48.62</v>
      </c>
      <c r="F1585" t="s">
        <v>1490</v>
      </c>
      <c r="G1585" s="2">
        <v>2.64E-2</v>
      </c>
      <c r="H1585">
        <f t="shared" si="48"/>
        <v>2.6423596886521898E-2</v>
      </c>
      <c r="I1585">
        <f t="shared" si="49"/>
        <v>2.6080524006819202E-2</v>
      </c>
    </row>
    <row r="1586" spans="1:9" x14ac:dyDescent="0.75">
      <c r="A1586" s="1">
        <v>43472</v>
      </c>
      <c r="B1586">
        <v>48.82</v>
      </c>
      <c r="C1586">
        <v>48.61</v>
      </c>
      <c r="D1586">
        <v>50.11</v>
      </c>
      <c r="E1586">
        <v>48.44</v>
      </c>
      <c r="F1586" t="s">
        <v>1491</v>
      </c>
      <c r="G1586" s="2">
        <v>1.12E-2</v>
      </c>
      <c r="H1586">
        <f t="shared" si="48"/>
        <v>1.1184755592377778E-2</v>
      </c>
      <c r="I1586">
        <f t="shared" si="49"/>
        <v>1.1122668735483321E-2</v>
      </c>
    </row>
    <row r="1587" spans="1:9" x14ac:dyDescent="0.75">
      <c r="A1587" s="1">
        <v>43469</v>
      </c>
      <c r="B1587">
        <v>48.28</v>
      </c>
      <c r="C1587">
        <v>47.17</v>
      </c>
      <c r="D1587">
        <v>49.53</v>
      </c>
      <c r="E1587">
        <v>46.97</v>
      </c>
      <c r="F1587" t="s">
        <v>1492</v>
      </c>
      <c r="G1587" s="2">
        <v>1.8599999999999998E-2</v>
      </c>
      <c r="H1587">
        <f t="shared" si="48"/>
        <v>1.8565400843881912E-2</v>
      </c>
      <c r="I1587">
        <f t="shared" si="49"/>
        <v>1.8395167528299894E-2</v>
      </c>
    </row>
    <row r="1588" spans="1:9" x14ac:dyDescent="0.75">
      <c r="A1588" s="1">
        <v>43468</v>
      </c>
      <c r="B1588">
        <v>47.4</v>
      </c>
      <c r="C1588">
        <v>46.56</v>
      </c>
      <c r="D1588">
        <v>47.81</v>
      </c>
      <c r="E1588">
        <v>45.7</v>
      </c>
      <c r="F1588" t="s">
        <v>372</v>
      </c>
      <c r="G1588" s="2">
        <v>1.15E-2</v>
      </c>
      <c r="H1588">
        <f t="shared" si="48"/>
        <v>1.152368758002559E-2</v>
      </c>
      <c r="I1588">
        <f t="shared" si="49"/>
        <v>1.1457795621381137E-2</v>
      </c>
    </row>
    <row r="1589" spans="1:9" x14ac:dyDescent="0.75">
      <c r="A1589" s="1">
        <v>43467</v>
      </c>
      <c r="B1589">
        <v>46.86</v>
      </c>
      <c r="C1589">
        <v>46.12</v>
      </c>
      <c r="D1589">
        <v>48.1</v>
      </c>
      <c r="E1589">
        <v>44.67</v>
      </c>
      <c r="F1589" t="s">
        <v>1493</v>
      </c>
      <c r="G1589" s="2">
        <v>2.1100000000000001E-2</v>
      </c>
      <c r="H1589">
        <f t="shared" si="48"/>
        <v>2.1137502723904966E-2</v>
      </c>
      <c r="I1589">
        <f t="shared" si="49"/>
        <v>2.0917204672907384E-2</v>
      </c>
    </row>
    <row r="1590" spans="1:9" x14ac:dyDescent="0.75">
      <c r="A1590" s="1">
        <v>43466</v>
      </c>
      <c r="B1590">
        <v>45.89</v>
      </c>
      <c r="C1590">
        <v>45.77</v>
      </c>
      <c r="D1590">
        <v>45.95</v>
      </c>
      <c r="E1590">
        <v>45.73</v>
      </c>
      <c r="G1590" s="2">
        <v>3.7000000000000002E-3</v>
      </c>
      <c r="H1590">
        <f t="shared" si="48"/>
        <v>3.718285214348244E-3</v>
      </c>
      <c r="I1590">
        <f t="shared" si="49"/>
        <v>3.7113894801322714E-3</v>
      </c>
    </row>
    <row r="1591" spans="1:9" x14ac:dyDescent="0.75">
      <c r="A1591" s="1">
        <v>43465</v>
      </c>
      <c r="B1591">
        <v>45.72</v>
      </c>
      <c r="C1591">
        <v>45.43</v>
      </c>
      <c r="D1591">
        <v>46.8</v>
      </c>
      <c r="E1591">
        <v>45.03</v>
      </c>
      <c r="F1591" t="s">
        <v>1494</v>
      </c>
      <c r="G1591" s="2">
        <v>2.5999999999999999E-3</v>
      </c>
      <c r="H1591">
        <f t="shared" si="48"/>
        <v>2.631578947368365E-3</v>
      </c>
      <c r="I1591">
        <f t="shared" si="49"/>
        <v>2.6281224062694084E-3</v>
      </c>
    </row>
    <row r="1592" spans="1:9" x14ac:dyDescent="0.75">
      <c r="A1592" s="1">
        <v>43462</v>
      </c>
      <c r="B1592">
        <v>45.6</v>
      </c>
      <c r="C1592">
        <v>45.73</v>
      </c>
      <c r="D1592">
        <v>46.5</v>
      </c>
      <c r="E1592">
        <v>44.7</v>
      </c>
      <c r="F1592" t="s">
        <v>1495</v>
      </c>
      <c r="G1592" s="2">
        <v>1.5599999999999999E-2</v>
      </c>
      <c r="H1592">
        <f t="shared" si="48"/>
        <v>1.5590200445434362E-2</v>
      </c>
      <c r="I1592">
        <f t="shared" si="49"/>
        <v>1.5469921772131951E-2</v>
      </c>
    </row>
    <row r="1593" spans="1:9" x14ac:dyDescent="0.75">
      <c r="A1593" s="1">
        <v>43461</v>
      </c>
      <c r="B1593">
        <v>44.9</v>
      </c>
      <c r="C1593">
        <v>46.87</v>
      </c>
      <c r="D1593">
        <v>47.01</v>
      </c>
      <c r="E1593">
        <v>44.65</v>
      </c>
      <c r="F1593" t="s">
        <v>1496</v>
      </c>
      <c r="G1593" s="2">
        <v>-3.5200000000000002E-2</v>
      </c>
      <c r="H1593">
        <f t="shared" si="48"/>
        <v>-3.523850451224754E-2</v>
      </c>
      <c r="I1593">
        <f t="shared" si="49"/>
        <v>-3.5874363125937059E-2</v>
      </c>
    </row>
    <row r="1594" spans="1:9" x14ac:dyDescent="0.75">
      <c r="A1594" s="1">
        <v>43460</v>
      </c>
      <c r="B1594">
        <v>46.54</v>
      </c>
      <c r="C1594">
        <v>43.07</v>
      </c>
      <c r="D1594">
        <v>47.31</v>
      </c>
      <c r="E1594">
        <v>42.81</v>
      </c>
      <c r="F1594" t="s">
        <v>1497</v>
      </c>
      <c r="G1594" s="2">
        <v>7.8299999999999995E-2</v>
      </c>
      <c r="H1594">
        <f t="shared" si="48"/>
        <v>7.8313253012048265E-2</v>
      </c>
      <c r="I1594">
        <f t="shared" si="49"/>
        <v>7.5398017484211849E-2</v>
      </c>
    </row>
    <row r="1595" spans="1:9" x14ac:dyDescent="0.75">
      <c r="A1595" s="1">
        <v>43459</v>
      </c>
      <c r="B1595">
        <v>43.16</v>
      </c>
      <c r="C1595">
        <v>43</v>
      </c>
      <c r="D1595">
        <v>43.25</v>
      </c>
      <c r="E1595">
        <v>42.88</v>
      </c>
      <c r="G1595" s="2">
        <v>7.9000000000000008E-3</v>
      </c>
      <c r="H1595">
        <f t="shared" si="48"/>
        <v>7.9402148528724039E-3</v>
      </c>
      <c r="I1595">
        <f t="shared" si="49"/>
        <v>7.9088572283971242E-3</v>
      </c>
    </row>
    <row r="1596" spans="1:9" x14ac:dyDescent="0.75">
      <c r="A1596" s="1">
        <v>43458</v>
      </c>
      <c r="B1596">
        <v>42.82</v>
      </c>
      <c r="C1596">
        <v>45.74</v>
      </c>
      <c r="D1596">
        <v>46.51</v>
      </c>
      <c r="E1596">
        <v>42.67</v>
      </c>
      <c r="F1596" t="s">
        <v>1498</v>
      </c>
      <c r="G1596" s="2">
        <v>-6.6900000000000001E-2</v>
      </c>
      <c r="H1596">
        <f t="shared" si="48"/>
        <v>-6.6899106559163216E-2</v>
      </c>
      <c r="I1596">
        <f t="shared" si="49"/>
        <v>-6.9241945245205383E-2</v>
      </c>
    </row>
    <row r="1597" spans="1:9" x14ac:dyDescent="0.75">
      <c r="A1597" s="1">
        <v>43455</v>
      </c>
      <c r="B1597">
        <v>45.89</v>
      </c>
      <c r="C1597">
        <v>46.53</v>
      </c>
      <c r="D1597">
        <v>47.06</v>
      </c>
      <c r="E1597">
        <v>45.4</v>
      </c>
      <c r="F1597" t="s">
        <v>629</v>
      </c>
      <c r="G1597" s="2">
        <v>-6.4999999999999997E-3</v>
      </c>
      <c r="H1597">
        <f t="shared" si="48"/>
        <v>-6.4949123186836362E-3</v>
      </c>
      <c r="I1597">
        <f t="shared" si="49"/>
        <v>-6.5160960357717838E-3</v>
      </c>
    </row>
    <row r="1598" spans="1:9" x14ac:dyDescent="0.75">
      <c r="A1598" s="1">
        <v>43454</v>
      </c>
      <c r="B1598">
        <v>46.19</v>
      </c>
      <c r="C1598">
        <v>47.77</v>
      </c>
      <c r="D1598">
        <v>47.84</v>
      </c>
      <c r="E1598">
        <v>46</v>
      </c>
      <c r="F1598" t="s">
        <v>1499</v>
      </c>
      <c r="G1598" s="2">
        <v>-4.1099999999999998E-2</v>
      </c>
      <c r="H1598">
        <f t="shared" si="48"/>
        <v>-4.1104421839319158E-2</v>
      </c>
      <c r="I1598">
        <f t="shared" si="49"/>
        <v>-4.1973096199615499E-2</v>
      </c>
    </row>
    <row r="1599" spans="1:9" x14ac:dyDescent="0.75">
      <c r="A1599" s="1">
        <v>43453</v>
      </c>
      <c r="B1599">
        <v>48.17</v>
      </c>
      <c r="C1599">
        <v>46.31</v>
      </c>
      <c r="D1599">
        <v>48.36</v>
      </c>
      <c r="E1599">
        <v>46.3</v>
      </c>
      <c r="F1599" t="s">
        <v>1500</v>
      </c>
      <c r="G1599" s="2">
        <v>3.3700000000000001E-2</v>
      </c>
      <c r="H1599">
        <f t="shared" si="48"/>
        <v>3.3690987124463521E-2</v>
      </c>
      <c r="I1599">
        <f t="shared" si="49"/>
        <v>3.3135879510529216E-2</v>
      </c>
    </row>
    <row r="1600" spans="1:9" x14ac:dyDescent="0.75">
      <c r="A1600" s="1">
        <v>43452</v>
      </c>
      <c r="B1600">
        <v>46.6</v>
      </c>
      <c r="C1600">
        <v>49.46</v>
      </c>
      <c r="D1600">
        <v>49.9</v>
      </c>
      <c r="E1600">
        <v>46.11</v>
      </c>
      <c r="F1600" t="s">
        <v>1501</v>
      </c>
      <c r="G1600" s="2">
        <v>-7.17E-2</v>
      </c>
      <c r="H1600">
        <f t="shared" si="48"/>
        <v>-7.1713147410358585E-2</v>
      </c>
      <c r="I1600">
        <f t="shared" si="49"/>
        <v>-7.4414485566083377E-2</v>
      </c>
    </row>
    <row r="1601" spans="1:9" x14ac:dyDescent="0.75">
      <c r="A1601" s="1">
        <v>43451</v>
      </c>
      <c r="B1601">
        <v>50.2</v>
      </c>
      <c r="C1601">
        <v>51.52</v>
      </c>
      <c r="D1601">
        <v>52.15</v>
      </c>
      <c r="E1601">
        <v>49.32</v>
      </c>
      <c r="F1601" t="s">
        <v>1502</v>
      </c>
      <c r="G1601" s="2">
        <v>-2.47E-2</v>
      </c>
      <c r="H1601">
        <f t="shared" si="48"/>
        <v>-2.4674567709345174E-2</v>
      </c>
      <c r="I1601">
        <f t="shared" si="49"/>
        <v>-2.4984086966979568E-2</v>
      </c>
    </row>
    <row r="1602" spans="1:9" x14ac:dyDescent="0.75">
      <c r="A1602" s="1">
        <v>43448</v>
      </c>
      <c r="B1602">
        <v>51.47</v>
      </c>
      <c r="C1602">
        <v>53.04</v>
      </c>
      <c r="D1602">
        <v>53.19</v>
      </c>
      <c r="E1602">
        <v>51.11</v>
      </c>
      <c r="F1602" t="s">
        <v>1503</v>
      </c>
      <c r="G1602" s="2">
        <v>-2.5700000000000001E-2</v>
      </c>
      <c r="H1602">
        <f t="shared" si="48"/>
        <v>-2.5742949081960998E-2</v>
      </c>
      <c r="I1602">
        <f t="shared" si="49"/>
        <v>-2.6080097511561252E-2</v>
      </c>
    </row>
    <row r="1603" spans="1:9" x14ac:dyDescent="0.75">
      <c r="A1603" s="1">
        <v>43447</v>
      </c>
      <c r="B1603">
        <v>52.83</v>
      </c>
      <c r="C1603">
        <v>51.43</v>
      </c>
      <c r="D1603">
        <v>53.5</v>
      </c>
      <c r="E1603">
        <v>50.6</v>
      </c>
      <c r="F1603" t="s">
        <v>1504</v>
      </c>
      <c r="G1603" s="2">
        <v>2.86E-2</v>
      </c>
      <c r="H1603">
        <f t="shared" ref="H1603:H1666" si="50">(B1603-B1604)/B1604</f>
        <v>2.8621495327102783E-2</v>
      </c>
      <c r="I1603">
        <f t="shared" ref="I1603:I1666" si="51">LN(B1603/B1604)</f>
        <v>2.8219551794518603E-2</v>
      </c>
    </row>
    <row r="1604" spans="1:9" x14ac:dyDescent="0.75">
      <c r="A1604" s="1">
        <v>43446</v>
      </c>
      <c r="B1604">
        <v>51.36</v>
      </c>
      <c r="C1604">
        <v>52.14</v>
      </c>
      <c r="D1604">
        <v>53.06</v>
      </c>
      <c r="E1604">
        <v>51.16</v>
      </c>
      <c r="F1604" t="s">
        <v>1505</v>
      </c>
      <c r="G1604" s="2">
        <v>-9.2999999999999992E-3</v>
      </c>
      <c r="H1604">
        <f t="shared" si="50"/>
        <v>-9.2592592592593351E-3</v>
      </c>
      <c r="I1604">
        <f t="shared" si="51"/>
        <v>-9.3023926623135612E-3</v>
      </c>
    </row>
    <row r="1605" spans="1:9" x14ac:dyDescent="0.75">
      <c r="A1605" s="1">
        <v>43445</v>
      </c>
      <c r="B1605">
        <v>51.84</v>
      </c>
      <c r="C1605">
        <v>51.1</v>
      </c>
      <c r="D1605">
        <v>52.61</v>
      </c>
      <c r="E1605">
        <v>50.89</v>
      </c>
      <c r="F1605" t="s">
        <v>1506</v>
      </c>
      <c r="G1605" s="2">
        <v>1.2500000000000001E-2</v>
      </c>
      <c r="H1605">
        <f t="shared" si="50"/>
        <v>1.2500000000000011E-2</v>
      </c>
      <c r="I1605">
        <f t="shared" si="51"/>
        <v>1.242251999855711E-2</v>
      </c>
    </row>
    <row r="1606" spans="1:9" x14ac:dyDescent="0.75">
      <c r="A1606" s="1">
        <v>43444</v>
      </c>
      <c r="B1606">
        <v>51.2</v>
      </c>
      <c r="C1606">
        <v>52.21</v>
      </c>
      <c r="D1606">
        <v>53.01</v>
      </c>
      <c r="E1606">
        <v>50.73</v>
      </c>
      <c r="F1606" t="s">
        <v>1507</v>
      </c>
      <c r="G1606" s="2">
        <v>-3.0499999999999999E-2</v>
      </c>
      <c r="H1606">
        <f t="shared" si="50"/>
        <v>-3.048665025563339E-2</v>
      </c>
      <c r="I1606">
        <f t="shared" si="51"/>
        <v>-3.0961034673379639E-2</v>
      </c>
    </row>
    <row r="1607" spans="1:9" x14ac:dyDescent="0.75">
      <c r="A1607" s="1">
        <v>43441</v>
      </c>
      <c r="B1607">
        <v>52.81</v>
      </c>
      <c r="C1607">
        <v>51.98</v>
      </c>
      <c r="D1607">
        <v>54.44</v>
      </c>
      <c r="E1607">
        <v>50.83</v>
      </c>
      <c r="F1607" t="s">
        <v>1508</v>
      </c>
      <c r="G1607" s="2">
        <v>2.1499999999999998E-2</v>
      </c>
      <c r="H1607">
        <f t="shared" si="50"/>
        <v>2.1470019342359755E-2</v>
      </c>
      <c r="I1607">
        <f t="shared" si="51"/>
        <v>2.1242785204458391E-2</v>
      </c>
    </row>
    <row r="1608" spans="1:9" x14ac:dyDescent="0.75">
      <c r="A1608" s="1">
        <v>43440</v>
      </c>
      <c r="B1608">
        <v>51.7</v>
      </c>
      <c r="C1608">
        <v>53.15</v>
      </c>
      <c r="D1608">
        <v>53.53</v>
      </c>
      <c r="E1608">
        <v>50.31</v>
      </c>
      <c r="F1608" t="s">
        <v>474</v>
      </c>
      <c r="G1608" s="2">
        <v>-2.6700000000000002E-2</v>
      </c>
      <c r="H1608">
        <f t="shared" si="50"/>
        <v>-2.6731927710843272E-2</v>
      </c>
      <c r="I1608">
        <f t="shared" si="51"/>
        <v>-2.7095723653794906E-2</v>
      </c>
    </row>
    <row r="1609" spans="1:9" x14ac:dyDescent="0.75">
      <c r="A1609" s="1">
        <v>43439</v>
      </c>
      <c r="B1609">
        <v>53.12</v>
      </c>
      <c r="C1609">
        <v>52.79</v>
      </c>
      <c r="D1609">
        <v>54.67</v>
      </c>
      <c r="E1609">
        <v>52.37</v>
      </c>
      <c r="F1609" t="s">
        <v>1509</v>
      </c>
      <c r="G1609" s="2">
        <v>-6.4000000000000003E-3</v>
      </c>
      <c r="H1609">
        <f t="shared" si="50"/>
        <v>-6.3598952487842015E-3</v>
      </c>
      <c r="I1609">
        <f t="shared" si="51"/>
        <v>-6.3802055425946132E-3</v>
      </c>
    </row>
    <row r="1610" spans="1:9" x14ac:dyDescent="0.75">
      <c r="A1610" s="1">
        <v>43438</v>
      </c>
      <c r="B1610">
        <v>53.46</v>
      </c>
      <c r="C1610">
        <v>53.31</v>
      </c>
      <c r="D1610">
        <v>54.77</v>
      </c>
      <c r="E1610">
        <v>52.67</v>
      </c>
      <c r="F1610" t="s">
        <v>1510</v>
      </c>
      <c r="G1610" s="2">
        <v>6.0000000000000001E-3</v>
      </c>
      <c r="H1610">
        <f t="shared" si="50"/>
        <v>6.0218291305984247E-3</v>
      </c>
      <c r="I1610">
        <f t="shared" si="51"/>
        <v>6.003770379105532E-3</v>
      </c>
    </row>
    <row r="1611" spans="1:9" x14ac:dyDescent="0.75">
      <c r="A1611" s="1">
        <v>43437</v>
      </c>
      <c r="B1611">
        <v>53.14</v>
      </c>
      <c r="C1611">
        <v>51.93</v>
      </c>
      <c r="D1611">
        <v>54</v>
      </c>
      <c r="E1611">
        <v>51.93</v>
      </c>
      <c r="F1611" t="s">
        <v>1511</v>
      </c>
      <c r="G1611" s="2">
        <v>4.0099999999999997E-2</v>
      </c>
      <c r="H1611">
        <f t="shared" si="50"/>
        <v>4.0125269132902659E-2</v>
      </c>
      <c r="I1611">
        <f t="shared" si="51"/>
        <v>3.9341156988960721E-2</v>
      </c>
    </row>
    <row r="1612" spans="1:9" x14ac:dyDescent="0.75">
      <c r="A1612" s="1">
        <v>43434</v>
      </c>
      <c r="B1612">
        <v>51.09</v>
      </c>
      <c r="C1612">
        <v>51.31</v>
      </c>
      <c r="D1612">
        <v>51.95</v>
      </c>
      <c r="E1612">
        <v>49.83</v>
      </c>
      <c r="F1612" t="s">
        <v>1512</v>
      </c>
      <c r="G1612" s="2">
        <v>-1.03E-2</v>
      </c>
      <c r="H1612">
        <f t="shared" si="50"/>
        <v>-1.0267338240991748E-2</v>
      </c>
      <c r="I1612">
        <f t="shared" si="51"/>
        <v>-1.0320410947761136E-2</v>
      </c>
    </row>
    <row r="1613" spans="1:9" x14ac:dyDescent="0.75">
      <c r="A1613" s="1">
        <v>43433</v>
      </c>
      <c r="B1613">
        <v>51.62</v>
      </c>
      <c r="C1613">
        <v>50.48</v>
      </c>
      <c r="D1613">
        <v>52.34</v>
      </c>
      <c r="E1613">
        <v>49.6</v>
      </c>
      <c r="F1613" t="s">
        <v>1513</v>
      </c>
      <c r="G1613" s="2">
        <v>2.24E-2</v>
      </c>
      <c r="H1613">
        <f t="shared" si="50"/>
        <v>2.2380669439492878E-2</v>
      </c>
      <c r="I1613">
        <f t="shared" si="51"/>
        <v>2.2133897419643306E-2</v>
      </c>
    </row>
    <row r="1614" spans="1:9" x14ac:dyDescent="0.75">
      <c r="A1614" s="1">
        <v>43432</v>
      </c>
      <c r="B1614">
        <v>50.49</v>
      </c>
      <c r="C1614">
        <v>52.3</v>
      </c>
      <c r="D1614">
        <v>52.7</v>
      </c>
      <c r="E1614">
        <v>50.27</v>
      </c>
      <c r="F1614" t="s">
        <v>1514</v>
      </c>
      <c r="G1614" s="2">
        <v>-2.4E-2</v>
      </c>
      <c r="H1614">
        <f t="shared" si="50"/>
        <v>-2.3970616663444713E-2</v>
      </c>
      <c r="I1614">
        <f t="shared" si="51"/>
        <v>-2.4262587144599255E-2</v>
      </c>
    </row>
    <row r="1615" spans="1:9" x14ac:dyDescent="0.75">
      <c r="A1615" s="1">
        <v>43431</v>
      </c>
      <c r="B1615">
        <v>51.73</v>
      </c>
      <c r="C1615">
        <v>51.72</v>
      </c>
      <c r="D1615">
        <v>52.53</v>
      </c>
      <c r="E1615">
        <v>50.49</v>
      </c>
      <c r="F1615" t="s">
        <v>1515</v>
      </c>
      <c r="G1615" s="2">
        <v>-1.4E-3</v>
      </c>
      <c r="H1615">
        <f t="shared" si="50"/>
        <v>-1.3513513513513568E-3</v>
      </c>
      <c r="I1615">
        <f t="shared" si="51"/>
        <v>-1.3522652500136498E-3</v>
      </c>
    </row>
    <row r="1616" spans="1:9" x14ac:dyDescent="0.75">
      <c r="A1616" s="1">
        <v>43430</v>
      </c>
      <c r="B1616">
        <v>51.8</v>
      </c>
      <c r="C1616">
        <v>50.71</v>
      </c>
      <c r="D1616">
        <v>52.41</v>
      </c>
      <c r="E1616">
        <v>50.25</v>
      </c>
      <c r="F1616" t="s">
        <v>1516</v>
      </c>
      <c r="G1616" s="2">
        <v>2.3900000000000001E-2</v>
      </c>
      <c r="H1616">
        <f t="shared" si="50"/>
        <v>2.3917770310337885E-2</v>
      </c>
      <c r="I1616">
        <f t="shared" si="51"/>
        <v>2.3636220961592565E-2</v>
      </c>
    </row>
    <row r="1617" spans="1:9" x14ac:dyDescent="0.75">
      <c r="A1617" s="1">
        <v>43427</v>
      </c>
      <c r="B1617">
        <v>50.59</v>
      </c>
      <c r="C1617">
        <v>54.8</v>
      </c>
      <c r="D1617">
        <v>55</v>
      </c>
      <c r="E1617">
        <v>50.33</v>
      </c>
      <c r="F1617" t="s">
        <v>1517</v>
      </c>
      <c r="G1617" s="2">
        <v>-6.3500000000000001E-2</v>
      </c>
      <c r="H1617">
        <f t="shared" si="50"/>
        <v>-6.349500185116623E-2</v>
      </c>
      <c r="I1617">
        <f t="shared" si="51"/>
        <v>-6.5600420060624734E-2</v>
      </c>
    </row>
    <row r="1618" spans="1:9" x14ac:dyDescent="0.75">
      <c r="A1618" s="1">
        <v>43426</v>
      </c>
      <c r="B1618">
        <v>54.02</v>
      </c>
      <c r="C1618">
        <v>54.64</v>
      </c>
      <c r="D1618">
        <v>54.82</v>
      </c>
      <c r="E1618">
        <v>53.53</v>
      </c>
      <c r="G1618" s="2">
        <v>-1.4200000000000001E-2</v>
      </c>
      <c r="H1618">
        <f t="shared" si="50"/>
        <v>-1.4233576642335658E-2</v>
      </c>
      <c r="I1618">
        <f t="shared" si="51"/>
        <v>-1.4335845589500278E-2</v>
      </c>
    </row>
    <row r="1619" spans="1:9" x14ac:dyDescent="0.75">
      <c r="A1619" s="1">
        <v>43425</v>
      </c>
      <c r="B1619">
        <v>54.8</v>
      </c>
      <c r="C1619">
        <v>53.52</v>
      </c>
      <c r="D1619">
        <v>55.98</v>
      </c>
      <c r="E1619">
        <v>53.52</v>
      </c>
      <c r="F1619" t="s">
        <v>1518</v>
      </c>
      <c r="G1619" s="2">
        <v>2.3E-2</v>
      </c>
      <c r="H1619">
        <f t="shared" si="50"/>
        <v>2.2960612282994154E-2</v>
      </c>
      <c r="I1619">
        <f t="shared" si="51"/>
        <v>2.2700984061100847E-2</v>
      </c>
    </row>
    <row r="1620" spans="1:9" x14ac:dyDescent="0.75">
      <c r="A1620" s="1">
        <v>43424</v>
      </c>
      <c r="B1620">
        <v>53.57</v>
      </c>
      <c r="C1620">
        <v>57.51</v>
      </c>
      <c r="D1620">
        <v>57.56</v>
      </c>
      <c r="E1620">
        <v>52.94</v>
      </c>
      <c r="F1620" t="s">
        <v>1519</v>
      </c>
      <c r="G1620" s="2">
        <v>-6.3500000000000001E-2</v>
      </c>
      <c r="H1620">
        <f t="shared" si="50"/>
        <v>-6.34615384615385E-2</v>
      </c>
      <c r="I1620">
        <f t="shared" si="51"/>
        <v>-6.5564688492883244E-2</v>
      </c>
    </row>
    <row r="1621" spans="1:9" x14ac:dyDescent="0.75">
      <c r="A1621" s="1">
        <v>43423</v>
      </c>
      <c r="B1621">
        <v>57.2</v>
      </c>
      <c r="C1621">
        <v>57.03</v>
      </c>
      <c r="D1621">
        <v>57.58</v>
      </c>
      <c r="E1621">
        <v>55.28</v>
      </c>
      <c r="F1621" t="s">
        <v>1520</v>
      </c>
      <c r="G1621" s="2">
        <v>9.1999999999999998E-3</v>
      </c>
      <c r="H1621">
        <f t="shared" si="50"/>
        <v>9.1743119266055606E-3</v>
      </c>
      <c r="I1621">
        <f t="shared" si="51"/>
        <v>9.1324835632724723E-3</v>
      </c>
    </row>
    <row r="1622" spans="1:9" x14ac:dyDescent="0.75">
      <c r="A1622" s="1">
        <v>43420</v>
      </c>
      <c r="B1622">
        <v>56.68</v>
      </c>
      <c r="C1622">
        <v>56.78</v>
      </c>
      <c r="D1622">
        <v>58.16</v>
      </c>
      <c r="E1622">
        <v>56.12</v>
      </c>
      <c r="F1622" t="s">
        <v>1521</v>
      </c>
      <c r="G1622" s="2">
        <v>0</v>
      </c>
      <c r="H1622">
        <f t="shared" si="50"/>
        <v>0</v>
      </c>
      <c r="I1622">
        <f t="shared" si="51"/>
        <v>0</v>
      </c>
    </row>
    <row r="1623" spans="1:9" x14ac:dyDescent="0.75">
      <c r="A1623" s="1">
        <v>43419</v>
      </c>
      <c r="B1623">
        <v>56.68</v>
      </c>
      <c r="C1623">
        <v>56.24</v>
      </c>
      <c r="D1623">
        <v>57.48</v>
      </c>
      <c r="E1623">
        <v>55.8</v>
      </c>
      <c r="F1623" t="s">
        <v>1522</v>
      </c>
      <c r="G1623" s="2">
        <v>4.3E-3</v>
      </c>
      <c r="H1623">
        <f t="shared" si="50"/>
        <v>4.2523033309709779E-3</v>
      </c>
      <c r="I1623">
        <f t="shared" si="51"/>
        <v>4.2432878378664204E-3</v>
      </c>
    </row>
    <row r="1624" spans="1:9" x14ac:dyDescent="0.75">
      <c r="A1624" s="1">
        <v>43418</v>
      </c>
      <c r="B1624">
        <v>56.44</v>
      </c>
      <c r="C1624">
        <v>55.49</v>
      </c>
      <c r="D1624">
        <v>57.55</v>
      </c>
      <c r="E1624">
        <v>55.3</v>
      </c>
      <c r="F1624" t="s">
        <v>1523</v>
      </c>
      <c r="G1624" s="2">
        <v>1.0699999999999999E-2</v>
      </c>
      <c r="H1624">
        <f t="shared" si="50"/>
        <v>1.0744985673352333E-2</v>
      </c>
      <c r="I1624">
        <f t="shared" si="51"/>
        <v>1.0687668530496146E-2</v>
      </c>
    </row>
    <row r="1625" spans="1:9" x14ac:dyDescent="0.75">
      <c r="A1625" s="1">
        <v>43417</v>
      </c>
      <c r="B1625">
        <v>55.84</v>
      </c>
      <c r="C1625">
        <v>59.03</v>
      </c>
      <c r="D1625">
        <v>59.51</v>
      </c>
      <c r="E1625">
        <v>54.9</v>
      </c>
      <c r="F1625" t="s">
        <v>1524</v>
      </c>
      <c r="G1625" s="2">
        <v>-7.0599999999999996E-2</v>
      </c>
      <c r="H1625">
        <f t="shared" si="50"/>
        <v>-7.0572569906790866E-2</v>
      </c>
      <c r="I1625">
        <f t="shared" si="51"/>
        <v>-7.3186549001762163E-2</v>
      </c>
    </row>
    <row r="1626" spans="1:9" x14ac:dyDescent="0.75">
      <c r="A1626" s="1">
        <v>43416</v>
      </c>
      <c r="B1626">
        <v>60.08</v>
      </c>
      <c r="C1626">
        <v>60.85</v>
      </c>
      <c r="D1626">
        <v>61.44</v>
      </c>
      <c r="E1626">
        <v>58.83</v>
      </c>
      <c r="F1626" t="s">
        <v>1525</v>
      </c>
      <c r="G1626" s="2">
        <v>-4.5999999999999999E-3</v>
      </c>
      <c r="H1626">
        <f t="shared" si="50"/>
        <v>-4.6388336646786136E-3</v>
      </c>
      <c r="I1626">
        <f t="shared" si="51"/>
        <v>-4.649626443768904E-3</v>
      </c>
    </row>
    <row r="1627" spans="1:9" x14ac:dyDescent="0.75">
      <c r="A1627" s="1">
        <v>43413</v>
      </c>
      <c r="B1627">
        <v>60.36</v>
      </c>
      <c r="C1627">
        <v>60.92</v>
      </c>
      <c r="D1627">
        <v>60.98</v>
      </c>
      <c r="E1627">
        <v>59.45</v>
      </c>
      <c r="F1627" t="s">
        <v>1526</v>
      </c>
      <c r="G1627" s="2">
        <v>-8.2000000000000007E-3</v>
      </c>
      <c r="H1627">
        <f t="shared" si="50"/>
        <v>-8.2155767334866903E-3</v>
      </c>
      <c r="I1627">
        <f t="shared" si="51"/>
        <v>-8.2495105691768964E-3</v>
      </c>
    </row>
    <row r="1628" spans="1:9" x14ac:dyDescent="0.75">
      <c r="A1628" s="1">
        <v>43412</v>
      </c>
      <c r="B1628">
        <v>60.86</v>
      </c>
      <c r="C1628">
        <v>61.82</v>
      </c>
      <c r="D1628">
        <v>62.56</v>
      </c>
      <c r="E1628">
        <v>60.6</v>
      </c>
      <c r="F1628" t="s">
        <v>1527</v>
      </c>
      <c r="G1628" s="2">
        <v>-1.55E-2</v>
      </c>
      <c r="H1628">
        <f t="shared" si="50"/>
        <v>-1.5528955030734403E-2</v>
      </c>
      <c r="I1628">
        <f t="shared" si="51"/>
        <v>-1.5650792235145213E-2</v>
      </c>
    </row>
    <row r="1629" spans="1:9" x14ac:dyDescent="0.75">
      <c r="A1629" s="1">
        <v>43411</v>
      </c>
      <c r="B1629">
        <v>61.82</v>
      </c>
      <c r="C1629">
        <v>61.87</v>
      </c>
      <c r="D1629">
        <v>63.34</v>
      </c>
      <c r="E1629">
        <v>61.36</v>
      </c>
      <c r="F1629" t="s">
        <v>1528</v>
      </c>
      <c r="G1629" s="2">
        <v>-8.3000000000000001E-3</v>
      </c>
      <c r="H1629">
        <f t="shared" si="50"/>
        <v>-8.3413538658967459E-3</v>
      </c>
      <c r="I1629">
        <f t="shared" si="51"/>
        <v>-8.376337635220818E-3</v>
      </c>
    </row>
    <row r="1630" spans="1:9" x14ac:dyDescent="0.75">
      <c r="A1630" s="1">
        <v>43410</v>
      </c>
      <c r="B1630">
        <v>62.34</v>
      </c>
      <c r="C1630">
        <v>62.84</v>
      </c>
      <c r="D1630">
        <v>63.42</v>
      </c>
      <c r="E1630">
        <v>61.45</v>
      </c>
      <c r="F1630" t="s">
        <v>1357</v>
      </c>
      <c r="G1630" s="2">
        <v>-1.38E-2</v>
      </c>
      <c r="H1630">
        <f t="shared" si="50"/>
        <v>-1.3763644992880833E-2</v>
      </c>
      <c r="I1630">
        <f t="shared" si="51"/>
        <v>-1.3859242145016311E-2</v>
      </c>
    </row>
    <row r="1631" spans="1:9" x14ac:dyDescent="0.75">
      <c r="A1631" s="1">
        <v>43409</v>
      </c>
      <c r="B1631">
        <v>63.21</v>
      </c>
      <c r="C1631">
        <v>63.02</v>
      </c>
      <c r="D1631">
        <v>64.239999999999995</v>
      </c>
      <c r="E1631">
        <v>62.67</v>
      </c>
      <c r="F1631" t="s">
        <v>1529</v>
      </c>
      <c r="G1631" s="2">
        <v>-1.1000000000000001E-3</v>
      </c>
      <c r="H1631">
        <f t="shared" si="50"/>
        <v>-1.1061946902654913E-3</v>
      </c>
      <c r="I1631">
        <f t="shared" si="51"/>
        <v>-1.1068069751911064E-3</v>
      </c>
    </row>
    <row r="1632" spans="1:9" x14ac:dyDescent="0.75">
      <c r="A1632" s="1">
        <v>43406</v>
      </c>
      <c r="B1632">
        <v>63.28</v>
      </c>
      <c r="C1632">
        <v>63.66</v>
      </c>
      <c r="D1632">
        <v>64.09</v>
      </c>
      <c r="E1632">
        <v>62.77</v>
      </c>
      <c r="F1632" t="s">
        <v>1530</v>
      </c>
      <c r="G1632" s="2">
        <v>-8.3000000000000001E-3</v>
      </c>
      <c r="H1632">
        <f t="shared" si="50"/>
        <v>-8.3059081648644596E-3</v>
      </c>
      <c r="I1632">
        <f t="shared" si="51"/>
        <v>-8.3405944208570677E-3</v>
      </c>
    </row>
    <row r="1633" spans="1:9" x14ac:dyDescent="0.75">
      <c r="A1633" s="1">
        <v>43405</v>
      </c>
      <c r="B1633">
        <v>63.81</v>
      </c>
      <c r="C1633">
        <v>65.03</v>
      </c>
      <c r="D1633">
        <v>65.53</v>
      </c>
      <c r="E1633">
        <v>63.23</v>
      </c>
      <c r="F1633" t="s">
        <v>1531</v>
      </c>
      <c r="G1633" s="2">
        <v>-2.4899999999999999E-2</v>
      </c>
      <c r="H1633">
        <f t="shared" si="50"/>
        <v>-2.4908312958435139E-2</v>
      </c>
      <c r="I1633">
        <f t="shared" si="51"/>
        <v>-2.5223774414235987E-2</v>
      </c>
    </row>
    <row r="1634" spans="1:9" x14ac:dyDescent="0.75">
      <c r="A1634" s="1">
        <v>43404</v>
      </c>
      <c r="B1634">
        <v>65.44</v>
      </c>
      <c r="C1634">
        <v>66.41</v>
      </c>
      <c r="D1634">
        <v>67.14</v>
      </c>
      <c r="E1634">
        <v>64.95</v>
      </c>
      <c r="F1634" t="s">
        <v>1532</v>
      </c>
      <c r="G1634" s="2">
        <v>-1.3100000000000001E-2</v>
      </c>
      <c r="H1634">
        <f t="shared" si="50"/>
        <v>-1.3120193032725148E-2</v>
      </c>
      <c r="I1634">
        <f t="shared" si="51"/>
        <v>-1.3207023086284719E-2</v>
      </c>
    </row>
    <row r="1635" spans="1:9" x14ac:dyDescent="0.75">
      <c r="A1635" s="1">
        <v>43403</v>
      </c>
      <c r="B1635">
        <v>66.31</v>
      </c>
      <c r="C1635">
        <v>66.81</v>
      </c>
      <c r="D1635">
        <v>67.41</v>
      </c>
      <c r="E1635">
        <v>65.510000000000005</v>
      </c>
      <c r="F1635" t="s">
        <v>1533</v>
      </c>
      <c r="G1635" s="2">
        <v>-1.34E-2</v>
      </c>
      <c r="H1635">
        <f t="shared" si="50"/>
        <v>-1.3390864454694116E-2</v>
      </c>
      <c r="I1635">
        <f t="shared" si="51"/>
        <v>-1.3481330601098062E-2</v>
      </c>
    </row>
    <row r="1636" spans="1:9" x14ac:dyDescent="0.75">
      <c r="A1636" s="1">
        <v>43402</v>
      </c>
      <c r="B1636">
        <v>67.209999999999994</v>
      </c>
      <c r="C1636">
        <v>67.66</v>
      </c>
      <c r="D1636">
        <v>68.09</v>
      </c>
      <c r="E1636">
        <v>66.48</v>
      </c>
      <c r="F1636" t="s">
        <v>1534</v>
      </c>
      <c r="G1636" s="2">
        <v>-8.0000000000000002E-3</v>
      </c>
      <c r="H1636">
        <f t="shared" si="50"/>
        <v>-7.9704797047971399E-3</v>
      </c>
      <c r="I1636">
        <f t="shared" si="51"/>
        <v>-8.0024137779358753E-3</v>
      </c>
    </row>
    <row r="1637" spans="1:9" x14ac:dyDescent="0.75">
      <c r="A1637" s="1">
        <v>43399</v>
      </c>
      <c r="B1637">
        <v>67.75</v>
      </c>
      <c r="C1637">
        <v>67.099999999999994</v>
      </c>
      <c r="D1637">
        <v>67.989999999999995</v>
      </c>
      <c r="E1637">
        <v>66.34</v>
      </c>
      <c r="F1637" t="s">
        <v>1535</v>
      </c>
      <c r="G1637" s="2">
        <v>4.5999999999999999E-3</v>
      </c>
      <c r="H1637">
        <f t="shared" si="50"/>
        <v>4.5966785290629045E-3</v>
      </c>
      <c r="I1637">
        <f t="shared" si="51"/>
        <v>4.5861460662103741E-3</v>
      </c>
    </row>
    <row r="1638" spans="1:9" x14ac:dyDescent="0.75">
      <c r="A1638" s="1">
        <v>43398</v>
      </c>
      <c r="B1638">
        <v>67.44</v>
      </c>
      <c r="C1638">
        <v>66.47</v>
      </c>
      <c r="D1638">
        <v>67.760000000000005</v>
      </c>
      <c r="E1638">
        <v>66.150000000000006</v>
      </c>
      <c r="F1638" t="s">
        <v>1536</v>
      </c>
      <c r="G1638" s="2">
        <v>7.1999999999999998E-3</v>
      </c>
      <c r="H1638">
        <f t="shared" si="50"/>
        <v>7.168458781362067E-3</v>
      </c>
      <c r="I1638">
        <f t="shared" si="51"/>
        <v>7.1428875123802039E-3</v>
      </c>
    </row>
    <row r="1639" spans="1:9" x14ac:dyDescent="0.75">
      <c r="A1639" s="1">
        <v>43397</v>
      </c>
      <c r="B1639">
        <v>66.959999999999994</v>
      </c>
      <c r="C1639">
        <v>66.319999999999993</v>
      </c>
      <c r="D1639">
        <v>67.84</v>
      </c>
      <c r="E1639">
        <v>66.22</v>
      </c>
      <c r="F1639" t="s">
        <v>1537</v>
      </c>
      <c r="G1639" s="2">
        <v>5.1000000000000004E-3</v>
      </c>
      <c r="H1639">
        <f t="shared" si="50"/>
        <v>5.1035725007503628E-3</v>
      </c>
      <c r="I1639">
        <f t="shared" si="51"/>
        <v>5.0905934156862034E-3</v>
      </c>
    </row>
    <row r="1640" spans="1:9" x14ac:dyDescent="0.75">
      <c r="A1640" s="1">
        <v>43396</v>
      </c>
      <c r="B1640">
        <v>66.62</v>
      </c>
      <c r="C1640">
        <v>69.61</v>
      </c>
      <c r="D1640">
        <v>69.760000000000005</v>
      </c>
      <c r="E1640">
        <v>65.94</v>
      </c>
      <c r="F1640" t="s">
        <v>1538</v>
      </c>
      <c r="G1640" s="2">
        <v>-3.95E-2</v>
      </c>
      <c r="H1640">
        <f t="shared" si="50"/>
        <v>-3.9504036908881129E-2</v>
      </c>
      <c r="I1640">
        <f t="shared" si="51"/>
        <v>-4.0305499706752776E-2</v>
      </c>
    </row>
    <row r="1641" spans="1:9" x14ac:dyDescent="0.75">
      <c r="A1641" s="1">
        <v>43395</v>
      </c>
      <c r="B1641">
        <v>69.36</v>
      </c>
      <c r="C1641">
        <v>69.599999999999994</v>
      </c>
      <c r="D1641">
        <v>69.84</v>
      </c>
      <c r="E1641">
        <v>68.459999999999994</v>
      </c>
      <c r="F1641" t="s">
        <v>1539</v>
      </c>
      <c r="G1641" s="2">
        <v>1.1999999999999999E-3</v>
      </c>
      <c r="H1641">
        <f t="shared" si="50"/>
        <v>1.1547344110854256E-3</v>
      </c>
      <c r="I1641">
        <f t="shared" si="51"/>
        <v>1.154068218106624E-3</v>
      </c>
    </row>
    <row r="1642" spans="1:9" x14ac:dyDescent="0.75">
      <c r="A1642" s="1">
        <v>43392</v>
      </c>
      <c r="B1642">
        <v>69.28</v>
      </c>
      <c r="C1642">
        <v>68.760000000000005</v>
      </c>
      <c r="D1642">
        <v>69.900000000000006</v>
      </c>
      <c r="E1642">
        <v>68.62</v>
      </c>
      <c r="F1642" t="s">
        <v>1540</v>
      </c>
      <c r="G1642" s="2">
        <v>8.3000000000000001E-3</v>
      </c>
      <c r="H1642">
        <f t="shared" si="50"/>
        <v>8.2957357007714654E-3</v>
      </c>
      <c r="I1642">
        <f t="shared" si="51"/>
        <v>8.2615152111951192E-3</v>
      </c>
    </row>
    <row r="1643" spans="1:9" x14ac:dyDescent="0.75">
      <c r="A1643" s="1">
        <v>43391</v>
      </c>
      <c r="B1643">
        <v>68.709999999999994</v>
      </c>
      <c r="C1643">
        <v>69.94</v>
      </c>
      <c r="D1643">
        <v>69.989999999999995</v>
      </c>
      <c r="E1643">
        <v>68.53</v>
      </c>
      <c r="F1643" t="s">
        <v>1541</v>
      </c>
      <c r="G1643" s="2">
        <v>-1.4200000000000001E-2</v>
      </c>
      <c r="H1643">
        <f t="shared" si="50"/>
        <v>-1.4203730272596974E-2</v>
      </c>
      <c r="I1643">
        <f t="shared" si="51"/>
        <v>-1.430556872349379E-2</v>
      </c>
    </row>
    <row r="1644" spans="1:9" x14ac:dyDescent="0.75">
      <c r="A1644" s="1">
        <v>43390</v>
      </c>
      <c r="B1644">
        <v>69.7</v>
      </c>
      <c r="C1644">
        <v>72.069999999999993</v>
      </c>
      <c r="D1644">
        <v>72.290000000000006</v>
      </c>
      <c r="E1644">
        <v>69.38</v>
      </c>
      <c r="F1644" t="s">
        <v>1542</v>
      </c>
      <c r="G1644" s="2">
        <v>-2.87E-2</v>
      </c>
      <c r="H1644">
        <f t="shared" si="50"/>
        <v>-2.8706800445930911E-2</v>
      </c>
      <c r="I1644">
        <f t="shared" si="51"/>
        <v>-2.9126899984062479E-2</v>
      </c>
    </row>
    <row r="1645" spans="1:9" x14ac:dyDescent="0.75">
      <c r="A1645" s="1">
        <v>43389</v>
      </c>
      <c r="B1645">
        <v>71.760000000000005</v>
      </c>
      <c r="C1645">
        <v>71.540000000000006</v>
      </c>
      <c r="D1645">
        <v>72.14</v>
      </c>
      <c r="E1645">
        <v>70.87</v>
      </c>
      <c r="F1645" t="s">
        <v>1543</v>
      </c>
      <c r="G1645" s="2">
        <v>2.0999999999999999E-3</v>
      </c>
      <c r="H1645">
        <f t="shared" si="50"/>
        <v>2.0946795140344321E-3</v>
      </c>
      <c r="I1645">
        <f t="shared" si="51"/>
        <v>2.0924887316923213E-3</v>
      </c>
    </row>
    <row r="1646" spans="1:9" x14ac:dyDescent="0.75">
      <c r="A1646" s="1">
        <v>43388</v>
      </c>
      <c r="B1646">
        <v>71.61</v>
      </c>
      <c r="C1646">
        <v>71.66</v>
      </c>
      <c r="D1646">
        <v>72.53</v>
      </c>
      <c r="E1646">
        <v>70.7</v>
      </c>
      <c r="F1646" t="s">
        <v>1544</v>
      </c>
      <c r="G1646" s="2">
        <v>6.0000000000000001E-3</v>
      </c>
      <c r="H1646">
        <f t="shared" si="50"/>
        <v>6.0410227592019184E-3</v>
      </c>
      <c r="I1646">
        <f t="shared" si="51"/>
        <v>6.0228489368015989E-3</v>
      </c>
    </row>
    <row r="1647" spans="1:9" x14ac:dyDescent="0.75">
      <c r="A1647" s="1">
        <v>43385</v>
      </c>
      <c r="B1647">
        <v>71.180000000000007</v>
      </c>
      <c r="C1647">
        <v>70.89</v>
      </c>
      <c r="D1647">
        <v>71.89</v>
      </c>
      <c r="E1647">
        <v>70.47</v>
      </c>
      <c r="F1647" t="s">
        <v>1545</v>
      </c>
      <c r="G1647" s="2">
        <v>5.1999999999999998E-3</v>
      </c>
      <c r="H1647">
        <f t="shared" si="50"/>
        <v>5.2252506708092717E-3</v>
      </c>
      <c r="I1647">
        <f t="shared" si="51"/>
        <v>5.2116464183640816E-3</v>
      </c>
    </row>
    <row r="1648" spans="1:9" x14ac:dyDescent="0.75">
      <c r="A1648" s="1">
        <v>43384</v>
      </c>
      <c r="B1648">
        <v>70.81</v>
      </c>
      <c r="C1648">
        <v>72.540000000000006</v>
      </c>
      <c r="D1648">
        <v>72.63</v>
      </c>
      <c r="E1648">
        <v>70.37</v>
      </c>
      <c r="F1648" t="s">
        <v>1546</v>
      </c>
      <c r="G1648" s="2">
        <v>-3.04E-2</v>
      </c>
      <c r="H1648">
        <f t="shared" si="50"/>
        <v>-3.0398466383677925E-2</v>
      </c>
      <c r="I1648">
        <f t="shared" si="51"/>
        <v>-3.0870081968335805E-2</v>
      </c>
    </row>
    <row r="1649" spans="1:9" x14ac:dyDescent="0.75">
      <c r="A1649" s="1">
        <v>43383</v>
      </c>
      <c r="B1649">
        <v>73.03</v>
      </c>
      <c r="C1649">
        <v>74.650000000000006</v>
      </c>
      <c r="D1649">
        <v>74.94</v>
      </c>
      <c r="E1649">
        <v>72.27</v>
      </c>
      <c r="F1649" t="s">
        <v>1547</v>
      </c>
      <c r="G1649" s="2">
        <v>-2.3800000000000002E-2</v>
      </c>
      <c r="H1649">
        <f t="shared" si="50"/>
        <v>-2.3793610479882384E-2</v>
      </c>
      <c r="I1649">
        <f t="shared" si="51"/>
        <v>-2.4081250252295162E-2</v>
      </c>
    </row>
    <row r="1650" spans="1:9" x14ac:dyDescent="0.75">
      <c r="A1650" s="1">
        <v>43382</v>
      </c>
      <c r="B1650">
        <v>74.81</v>
      </c>
      <c r="C1650">
        <v>74.14</v>
      </c>
      <c r="D1650">
        <v>75.16</v>
      </c>
      <c r="E1650">
        <v>73.91</v>
      </c>
      <c r="F1650" t="s">
        <v>1548</v>
      </c>
      <c r="G1650" s="2">
        <v>8.6E-3</v>
      </c>
      <c r="H1650">
        <f t="shared" si="50"/>
        <v>8.6288256707563772E-3</v>
      </c>
      <c r="I1650">
        <f t="shared" si="51"/>
        <v>8.5918101358467645E-3</v>
      </c>
    </row>
    <row r="1651" spans="1:9" x14ac:dyDescent="0.75">
      <c r="A1651" s="1">
        <v>43381</v>
      </c>
      <c r="B1651">
        <v>74.17</v>
      </c>
      <c r="C1651">
        <v>74.400000000000006</v>
      </c>
      <c r="D1651">
        <v>74.489999999999995</v>
      </c>
      <c r="E1651">
        <v>72.98</v>
      </c>
      <c r="F1651" t="s">
        <v>1549</v>
      </c>
      <c r="G1651" s="2">
        <v>-1.1999999999999999E-3</v>
      </c>
      <c r="H1651">
        <f t="shared" si="50"/>
        <v>-1.21195798545655E-3</v>
      </c>
      <c r="I1651">
        <f t="shared" si="51"/>
        <v>-1.2126930004674058E-3</v>
      </c>
    </row>
    <row r="1652" spans="1:9" x14ac:dyDescent="0.75">
      <c r="A1652" s="1">
        <v>43378</v>
      </c>
      <c r="B1652">
        <v>74.260000000000005</v>
      </c>
      <c r="C1652">
        <v>74.5</v>
      </c>
      <c r="D1652">
        <v>75.14</v>
      </c>
      <c r="E1652">
        <v>73.760000000000005</v>
      </c>
      <c r="F1652" t="s">
        <v>1550</v>
      </c>
      <c r="G1652" s="2">
        <v>1E-4</v>
      </c>
      <c r="H1652">
        <f t="shared" si="50"/>
        <v>1.3468013468020357E-4</v>
      </c>
      <c r="I1652">
        <f t="shared" si="51"/>
        <v>1.3467106612509783E-4</v>
      </c>
    </row>
    <row r="1653" spans="1:9" x14ac:dyDescent="0.75">
      <c r="A1653" s="1">
        <v>43377</v>
      </c>
      <c r="B1653">
        <v>74.25</v>
      </c>
      <c r="C1653">
        <v>76.05</v>
      </c>
      <c r="D1653">
        <v>76.31</v>
      </c>
      <c r="E1653">
        <v>73.8</v>
      </c>
      <c r="F1653" t="s">
        <v>1551</v>
      </c>
      <c r="G1653" s="2">
        <v>-2.6100000000000002E-2</v>
      </c>
      <c r="H1653">
        <f t="shared" si="50"/>
        <v>-2.6101783840503608E-2</v>
      </c>
      <c r="I1653">
        <f t="shared" si="51"/>
        <v>-2.6448481663137655E-2</v>
      </c>
    </row>
    <row r="1654" spans="1:9" x14ac:dyDescent="0.75">
      <c r="A1654" s="1">
        <v>43376</v>
      </c>
      <c r="B1654">
        <v>76.239999999999995</v>
      </c>
      <c r="C1654">
        <v>74.95</v>
      </c>
      <c r="D1654">
        <v>76.72</v>
      </c>
      <c r="E1654">
        <v>74.05</v>
      </c>
      <c r="F1654" t="s">
        <v>1552</v>
      </c>
      <c r="G1654" s="2">
        <v>1.6E-2</v>
      </c>
      <c r="H1654">
        <f t="shared" si="50"/>
        <v>1.599147121535166E-2</v>
      </c>
      <c r="I1654">
        <f t="shared" si="51"/>
        <v>1.5864954647977342E-2</v>
      </c>
    </row>
    <row r="1655" spans="1:9" x14ac:dyDescent="0.75">
      <c r="A1655" s="1">
        <v>43375</v>
      </c>
      <c r="B1655">
        <v>75.040000000000006</v>
      </c>
      <c r="C1655">
        <v>75.12</v>
      </c>
      <c r="D1655">
        <v>75.72</v>
      </c>
      <c r="E1655">
        <v>74.78</v>
      </c>
      <c r="F1655" t="s">
        <v>1553</v>
      </c>
      <c r="G1655" s="2">
        <v>-1.2999999999999999E-3</v>
      </c>
      <c r="H1655">
        <f t="shared" si="50"/>
        <v>-1.3308490817140579E-3</v>
      </c>
      <c r="I1655">
        <f t="shared" si="51"/>
        <v>-1.3317354478535727E-3</v>
      </c>
    </row>
    <row r="1656" spans="1:9" x14ac:dyDescent="0.75">
      <c r="A1656" s="1">
        <v>43374</v>
      </c>
      <c r="B1656">
        <v>75.14</v>
      </c>
      <c r="C1656">
        <v>73.069999999999993</v>
      </c>
      <c r="D1656">
        <v>75.58</v>
      </c>
      <c r="E1656">
        <v>72.77</v>
      </c>
      <c r="F1656" t="s">
        <v>1554</v>
      </c>
      <c r="G1656" s="2">
        <v>2.8500000000000001E-2</v>
      </c>
      <c r="H1656">
        <f t="shared" si="50"/>
        <v>2.846975088967969E-2</v>
      </c>
      <c r="I1656">
        <f t="shared" si="51"/>
        <v>2.8072018778686307E-2</v>
      </c>
    </row>
    <row r="1657" spans="1:9" x14ac:dyDescent="0.75">
      <c r="A1657" s="1">
        <v>43371</v>
      </c>
      <c r="B1657">
        <v>73.06</v>
      </c>
      <c r="C1657">
        <v>72.02</v>
      </c>
      <c r="D1657">
        <v>73.56</v>
      </c>
      <c r="E1657">
        <v>71.75</v>
      </c>
      <c r="F1657" t="s">
        <v>1156</v>
      </c>
      <c r="G1657" s="2">
        <v>1.5299999999999999E-2</v>
      </c>
      <c r="H1657">
        <f t="shared" si="50"/>
        <v>1.5286270150083499E-2</v>
      </c>
      <c r="I1657">
        <f t="shared" si="51"/>
        <v>1.5170612284804253E-2</v>
      </c>
    </row>
    <row r="1658" spans="1:9" x14ac:dyDescent="0.75">
      <c r="A1658" s="1">
        <v>43370</v>
      </c>
      <c r="B1658">
        <v>71.959999999999994</v>
      </c>
      <c r="C1658">
        <v>71.86</v>
      </c>
      <c r="D1658">
        <v>72.42</v>
      </c>
      <c r="E1658">
        <v>71.569999999999993</v>
      </c>
      <c r="F1658" t="s">
        <v>1555</v>
      </c>
      <c r="G1658" s="2">
        <v>7.7000000000000002E-3</v>
      </c>
      <c r="H1658">
        <f t="shared" si="50"/>
        <v>7.7020025206553308E-3</v>
      </c>
      <c r="I1658">
        <f t="shared" si="51"/>
        <v>7.6724935213136935E-3</v>
      </c>
    </row>
    <row r="1659" spans="1:9" x14ac:dyDescent="0.75">
      <c r="A1659" s="1">
        <v>43369</v>
      </c>
      <c r="B1659">
        <v>71.41</v>
      </c>
      <c r="C1659">
        <v>71.91</v>
      </c>
      <c r="D1659">
        <v>72.209999999999994</v>
      </c>
      <c r="E1659">
        <v>71.31</v>
      </c>
      <c r="F1659" t="s">
        <v>1556</v>
      </c>
      <c r="G1659" s="2">
        <v>-9.5999999999999992E-3</v>
      </c>
      <c r="H1659">
        <f t="shared" si="50"/>
        <v>-9.5700416088765304E-3</v>
      </c>
      <c r="I1659">
        <f t="shared" si="51"/>
        <v>-9.6161287298847375E-3</v>
      </c>
    </row>
    <row r="1660" spans="1:9" x14ac:dyDescent="0.75">
      <c r="A1660" s="1">
        <v>43368</v>
      </c>
      <c r="B1660">
        <v>72.099999999999994</v>
      </c>
      <c r="C1660">
        <v>71.94</v>
      </c>
      <c r="D1660">
        <v>72.459999999999994</v>
      </c>
      <c r="E1660">
        <v>71.7</v>
      </c>
      <c r="F1660" t="s">
        <v>1557</v>
      </c>
      <c r="G1660" s="2">
        <v>4.7000000000000002E-3</v>
      </c>
      <c r="H1660">
        <f t="shared" si="50"/>
        <v>4.7380156075806741E-3</v>
      </c>
      <c r="I1660">
        <f t="shared" si="51"/>
        <v>4.726826540362581E-3</v>
      </c>
    </row>
    <row r="1661" spans="1:9" x14ac:dyDescent="0.75">
      <c r="A1661" s="1">
        <v>43367</v>
      </c>
      <c r="B1661">
        <v>71.760000000000005</v>
      </c>
      <c r="C1661">
        <v>70.75</v>
      </c>
      <c r="D1661">
        <v>72.239999999999995</v>
      </c>
      <c r="E1661">
        <v>70.680000000000007</v>
      </c>
      <c r="F1661" t="s">
        <v>1558</v>
      </c>
      <c r="G1661" s="2">
        <v>1.9800000000000002E-2</v>
      </c>
      <c r="H1661">
        <f t="shared" si="50"/>
        <v>1.9752735540713377E-2</v>
      </c>
      <c r="I1661">
        <f t="shared" si="51"/>
        <v>1.9560181772083192E-2</v>
      </c>
    </row>
    <row r="1662" spans="1:9" x14ac:dyDescent="0.75">
      <c r="A1662" s="1">
        <v>43364</v>
      </c>
      <c r="B1662">
        <v>70.37</v>
      </c>
      <c r="C1662">
        <v>69.989999999999995</v>
      </c>
      <c r="D1662">
        <v>71.38</v>
      </c>
      <c r="E1662">
        <v>69.62</v>
      </c>
      <c r="F1662" t="s">
        <v>1559</v>
      </c>
      <c r="G1662" s="2">
        <v>6.9999999999999999E-4</v>
      </c>
      <c r="H1662">
        <f t="shared" si="50"/>
        <v>7.1103526734942228E-4</v>
      </c>
      <c r="I1662">
        <f t="shared" si="51"/>
        <v>7.1078260153612611E-4</v>
      </c>
    </row>
    <row r="1663" spans="1:9" x14ac:dyDescent="0.75">
      <c r="A1663" s="1">
        <v>43363</v>
      </c>
      <c r="B1663">
        <v>70.319999999999993</v>
      </c>
      <c r="C1663">
        <v>70.98</v>
      </c>
      <c r="D1663">
        <v>71.349999999999994</v>
      </c>
      <c r="E1663">
        <v>70.03</v>
      </c>
      <c r="F1663" t="s">
        <v>1560</v>
      </c>
      <c r="G1663" s="2">
        <v>-6.4000000000000003E-3</v>
      </c>
      <c r="H1663">
        <f t="shared" si="50"/>
        <v>-6.3586265366681206E-3</v>
      </c>
      <c r="I1663">
        <f t="shared" si="51"/>
        <v>-6.3789287107717928E-3</v>
      </c>
    </row>
    <row r="1664" spans="1:9" x14ac:dyDescent="0.75">
      <c r="A1664" s="1">
        <v>43362</v>
      </c>
      <c r="B1664">
        <v>70.77</v>
      </c>
      <c r="C1664">
        <v>69.459999999999994</v>
      </c>
      <c r="D1664">
        <v>71.069999999999993</v>
      </c>
      <c r="E1664">
        <v>69.36</v>
      </c>
      <c r="F1664" t="s">
        <v>1561</v>
      </c>
      <c r="G1664" s="2">
        <v>1.7000000000000001E-2</v>
      </c>
      <c r="H1664">
        <f t="shared" si="50"/>
        <v>1.6956459261388022E-2</v>
      </c>
      <c r="I1664">
        <f t="shared" si="51"/>
        <v>1.6814303230934542E-2</v>
      </c>
    </row>
    <row r="1665" spans="1:9" x14ac:dyDescent="0.75">
      <c r="A1665" s="1">
        <v>43361</v>
      </c>
      <c r="B1665">
        <v>69.59</v>
      </c>
      <c r="C1665">
        <v>68.58</v>
      </c>
      <c r="D1665">
        <v>70.17</v>
      </c>
      <c r="E1665">
        <v>68.290000000000006</v>
      </c>
      <c r="F1665" t="s">
        <v>1562</v>
      </c>
      <c r="G1665" s="2">
        <v>1.32E-2</v>
      </c>
      <c r="H1665">
        <f t="shared" si="50"/>
        <v>1.3249854397204375E-2</v>
      </c>
      <c r="I1665">
        <f t="shared" si="51"/>
        <v>1.3162842827483862E-2</v>
      </c>
    </row>
    <row r="1666" spans="1:9" x14ac:dyDescent="0.75">
      <c r="A1666" s="1">
        <v>43360</v>
      </c>
      <c r="B1666">
        <v>68.680000000000007</v>
      </c>
      <c r="C1666">
        <v>68.7</v>
      </c>
      <c r="D1666">
        <v>69.5</v>
      </c>
      <c r="E1666">
        <v>68.31</v>
      </c>
      <c r="F1666" t="s">
        <v>1563</v>
      </c>
      <c r="G1666" s="2">
        <v>-1.2999999999999999E-3</v>
      </c>
      <c r="H1666">
        <f t="shared" si="50"/>
        <v>-1.3087101933981272E-3</v>
      </c>
      <c r="I1666">
        <f t="shared" si="51"/>
        <v>-1.3095673024698606E-3</v>
      </c>
    </row>
    <row r="1667" spans="1:9" x14ac:dyDescent="0.75">
      <c r="A1667" s="1">
        <v>43357</v>
      </c>
      <c r="B1667">
        <v>68.77</v>
      </c>
      <c r="C1667">
        <v>68.63</v>
      </c>
      <c r="D1667">
        <v>69.7</v>
      </c>
      <c r="E1667">
        <v>67.790000000000006</v>
      </c>
      <c r="F1667" t="s">
        <v>1564</v>
      </c>
      <c r="G1667" s="2">
        <v>5.3E-3</v>
      </c>
      <c r="H1667">
        <f t="shared" ref="H1667:H1730" si="52">(B1667-B1668)/B1668</f>
        <v>5.2623885396871723E-3</v>
      </c>
      <c r="I1667">
        <f t="shared" ref="I1667:I1730" si="53">LN(B1667/B1668)</f>
        <v>5.2485905588381234E-3</v>
      </c>
    </row>
    <row r="1668" spans="1:9" x14ac:dyDescent="0.75">
      <c r="A1668" s="1">
        <v>43356</v>
      </c>
      <c r="B1668">
        <v>68.41</v>
      </c>
      <c r="C1668">
        <v>70.02</v>
      </c>
      <c r="D1668">
        <v>70.040000000000006</v>
      </c>
      <c r="E1668">
        <v>68.16</v>
      </c>
      <c r="F1668" t="s">
        <v>1565</v>
      </c>
      <c r="G1668" s="2">
        <v>-2.4899999999999999E-2</v>
      </c>
      <c r="H1668">
        <f t="shared" si="52"/>
        <v>-2.4942987457240592E-2</v>
      </c>
      <c r="I1668">
        <f t="shared" si="53"/>
        <v>-2.525933529102092E-2</v>
      </c>
    </row>
    <row r="1669" spans="1:9" x14ac:dyDescent="0.75">
      <c r="A1669" s="1">
        <v>43355</v>
      </c>
      <c r="B1669">
        <v>70.16</v>
      </c>
      <c r="C1669">
        <v>69.61</v>
      </c>
      <c r="D1669">
        <v>70.89</v>
      </c>
      <c r="E1669">
        <v>69.239999999999995</v>
      </c>
      <c r="F1669" t="s">
        <v>1566</v>
      </c>
      <c r="G1669" s="2">
        <v>1.6199999999999999E-2</v>
      </c>
      <c r="H1669">
        <f t="shared" si="52"/>
        <v>1.6222479721900208E-2</v>
      </c>
      <c r="I1669">
        <f t="shared" si="53"/>
        <v>1.6092301288754912E-2</v>
      </c>
    </row>
    <row r="1670" spans="1:9" x14ac:dyDescent="0.75">
      <c r="A1670" s="1">
        <v>43354</v>
      </c>
      <c r="B1670">
        <v>69.040000000000006</v>
      </c>
      <c r="C1670">
        <v>67.41</v>
      </c>
      <c r="D1670">
        <v>69.739999999999995</v>
      </c>
      <c r="E1670">
        <v>67.37</v>
      </c>
      <c r="F1670" t="s">
        <v>1567</v>
      </c>
      <c r="G1670" s="2">
        <v>2.4199999999999999E-2</v>
      </c>
      <c r="H1670">
        <f t="shared" si="52"/>
        <v>2.4180388666370119E-2</v>
      </c>
      <c r="I1670">
        <f t="shared" si="53"/>
        <v>2.3892671909825101E-2</v>
      </c>
    </row>
    <row r="1671" spans="1:9" x14ac:dyDescent="0.75">
      <c r="A1671" s="1">
        <v>43353</v>
      </c>
      <c r="B1671">
        <v>67.41</v>
      </c>
      <c r="C1671">
        <v>67.64</v>
      </c>
      <c r="D1671">
        <v>68.33</v>
      </c>
      <c r="E1671">
        <v>67.19</v>
      </c>
      <c r="F1671" t="s">
        <v>1568</v>
      </c>
      <c r="G1671" s="2">
        <v>-2.0999999999999999E-3</v>
      </c>
      <c r="H1671">
        <f t="shared" si="52"/>
        <v>-2.0725388601036355E-3</v>
      </c>
      <c r="I1671">
        <f t="shared" si="53"/>
        <v>-2.0746895408603554E-3</v>
      </c>
    </row>
    <row r="1672" spans="1:9" x14ac:dyDescent="0.75">
      <c r="A1672" s="1">
        <v>43350</v>
      </c>
      <c r="B1672">
        <v>67.55</v>
      </c>
      <c r="C1672">
        <v>67.66</v>
      </c>
      <c r="D1672">
        <v>67.849999999999994</v>
      </c>
      <c r="E1672">
        <v>66.67</v>
      </c>
      <c r="F1672" t="s">
        <v>1569</v>
      </c>
      <c r="G1672" s="2">
        <v>4.0000000000000002E-4</v>
      </c>
      <c r="H1672">
        <f t="shared" si="52"/>
        <v>4.4431279620854764E-4</v>
      </c>
      <c r="I1672">
        <f t="shared" si="53"/>
        <v>4.4421411850625923E-4</v>
      </c>
    </row>
    <row r="1673" spans="1:9" x14ac:dyDescent="0.75">
      <c r="A1673" s="1">
        <v>43349</v>
      </c>
      <c r="B1673">
        <v>67.52</v>
      </c>
      <c r="C1673">
        <v>68.34</v>
      </c>
      <c r="D1673">
        <v>68.72</v>
      </c>
      <c r="E1673">
        <v>66.72</v>
      </c>
      <c r="F1673" t="s">
        <v>1570</v>
      </c>
      <c r="G1673" s="2">
        <v>-1.32E-2</v>
      </c>
      <c r="H1673">
        <f t="shared" si="52"/>
        <v>-1.3154048523823526E-2</v>
      </c>
      <c r="I1673">
        <f t="shared" si="53"/>
        <v>-1.3241329261757017E-2</v>
      </c>
    </row>
    <row r="1674" spans="1:9" x14ac:dyDescent="0.75">
      <c r="A1674" s="1">
        <v>43348</v>
      </c>
      <c r="B1674">
        <v>68.42</v>
      </c>
      <c r="C1674">
        <v>69.09</v>
      </c>
      <c r="D1674">
        <v>69.27</v>
      </c>
      <c r="E1674">
        <v>68.27</v>
      </c>
      <c r="F1674" t="s">
        <v>1571</v>
      </c>
      <c r="G1674" s="2">
        <v>-1.6400000000000001E-2</v>
      </c>
      <c r="H1674">
        <f t="shared" si="52"/>
        <v>-1.6388729154686608E-2</v>
      </c>
      <c r="I1674">
        <f t="shared" si="53"/>
        <v>-1.652450993662365E-2</v>
      </c>
    </row>
    <row r="1675" spans="1:9" x14ac:dyDescent="0.75">
      <c r="A1675" s="1">
        <v>43347</v>
      </c>
      <c r="B1675">
        <v>69.56</v>
      </c>
      <c r="C1675">
        <v>69.489999999999995</v>
      </c>
      <c r="D1675">
        <v>70.98</v>
      </c>
      <c r="E1675">
        <v>68.78</v>
      </c>
      <c r="F1675" t="s">
        <v>1572</v>
      </c>
      <c r="G1675" s="2">
        <v>-8.0000000000000002E-3</v>
      </c>
      <c r="H1675">
        <f t="shared" si="52"/>
        <v>-7.9863091842555939E-3</v>
      </c>
      <c r="I1675">
        <f t="shared" si="53"/>
        <v>-8.0183705669514861E-3</v>
      </c>
    </row>
    <row r="1676" spans="1:9" x14ac:dyDescent="0.75">
      <c r="A1676" s="1">
        <v>43346</v>
      </c>
      <c r="B1676">
        <v>70.12</v>
      </c>
      <c r="C1676">
        <v>69.91</v>
      </c>
      <c r="D1676">
        <v>70.2</v>
      </c>
      <c r="E1676">
        <v>69.540000000000006</v>
      </c>
      <c r="G1676" s="2">
        <v>2.8999999999999998E-3</v>
      </c>
      <c r="H1676">
        <f t="shared" si="52"/>
        <v>2.8604118993135418E-3</v>
      </c>
      <c r="I1676">
        <f t="shared" si="53"/>
        <v>2.8563287057538581E-3</v>
      </c>
    </row>
    <row r="1677" spans="1:9" x14ac:dyDescent="0.75">
      <c r="A1677" s="1">
        <v>43345</v>
      </c>
      <c r="B1677">
        <v>69.92</v>
      </c>
      <c r="C1677">
        <v>69.91</v>
      </c>
      <c r="D1677">
        <v>69.989999999999995</v>
      </c>
      <c r="E1677">
        <v>69.88</v>
      </c>
      <c r="G1677" s="2">
        <v>7.9000000000000008E-3</v>
      </c>
      <c r="H1677">
        <f t="shared" si="52"/>
        <v>7.9284993513045569E-3</v>
      </c>
      <c r="I1677">
        <f t="shared" si="53"/>
        <v>7.8972339500699585E-3</v>
      </c>
    </row>
    <row r="1678" spans="1:9" x14ac:dyDescent="0.75">
      <c r="A1678" s="1">
        <v>43343</v>
      </c>
      <c r="B1678">
        <v>69.37</v>
      </c>
      <c r="C1678">
        <v>69.64</v>
      </c>
      <c r="D1678">
        <v>69.91</v>
      </c>
      <c r="E1678">
        <v>69.22</v>
      </c>
      <c r="F1678" t="s">
        <v>1573</v>
      </c>
      <c r="G1678" s="2">
        <v>-6.3E-3</v>
      </c>
      <c r="H1678">
        <f t="shared" si="52"/>
        <v>-6.3028219452800132E-3</v>
      </c>
      <c r="I1678">
        <f t="shared" si="53"/>
        <v>-6.3227685851000616E-3</v>
      </c>
    </row>
    <row r="1679" spans="1:9" x14ac:dyDescent="0.75">
      <c r="A1679" s="1">
        <v>43342</v>
      </c>
      <c r="B1679">
        <v>69.81</v>
      </c>
      <c r="C1679">
        <v>69.37</v>
      </c>
      <c r="D1679">
        <v>70.069999999999993</v>
      </c>
      <c r="E1679">
        <v>69.209999999999994</v>
      </c>
      <c r="F1679" t="s">
        <v>1574</v>
      </c>
      <c r="G1679" s="2">
        <v>9.2999999999999992E-3</v>
      </c>
      <c r="H1679">
        <f t="shared" si="52"/>
        <v>9.2525661413907848E-3</v>
      </c>
      <c r="I1679">
        <f t="shared" si="53"/>
        <v>9.210023369816623E-3</v>
      </c>
    </row>
    <row r="1680" spans="1:9" x14ac:dyDescent="0.75">
      <c r="A1680" s="1">
        <v>43341</v>
      </c>
      <c r="B1680">
        <v>69.17</v>
      </c>
      <c r="C1680">
        <v>68.23</v>
      </c>
      <c r="D1680">
        <v>69.39</v>
      </c>
      <c r="E1680">
        <v>68.040000000000006</v>
      </c>
      <c r="F1680" t="s">
        <v>1575</v>
      </c>
      <c r="G1680" s="2">
        <v>1.3899999999999999E-2</v>
      </c>
      <c r="H1680">
        <f t="shared" si="52"/>
        <v>1.3925535033714496E-2</v>
      </c>
      <c r="I1680">
        <f t="shared" si="53"/>
        <v>1.3829465621993635E-2</v>
      </c>
    </row>
    <row r="1681" spans="1:9" x14ac:dyDescent="0.75">
      <c r="A1681" s="1">
        <v>43340</v>
      </c>
      <c r="B1681">
        <v>68.22</v>
      </c>
      <c r="C1681">
        <v>68.599999999999994</v>
      </c>
      <c r="D1681">
        <v>68.849999999999994</v>
      </c>
      <c r="E1681">
        <v>67.91</v>
      </c>
      <c r="F1681" t="s">
        <v>1576</v>
      </c>
      <c r="G1681" s="2">
        <v>-4.7000000000000002E-3</v>
      </c>
      <c r="H1681">
        <f t="shared" si="52"/>
        <v>-4.6688065363292581E-3</v>
      </c>
      <c r="I1681">
        <f t="shared" si="53"/>
        <v>-4.6797394559632347E-3</v>
      </c>
    </row>
    <row r="1682" spans="1:9" x14ac:dyDescent="0.75">
      <c r="A1682" s="1">
        <v>43339</v>
      </c>
      <c r="B1682">
        <v>68.540000000000006</v>
      </c>
      <c r="C1682">
        <v>68.2</v>
      </c>
      <c r="D1682">
        <v>68.62</v>
      </c>
      <c r="E1682">
        <v>68.02</v>
      </c>
      <c r="F1682" t="s">
        <v>1577</v>
      </c>
      <c r="G1682" s="2">
        <v>2.5999999999999999E-3</v>
      </c>
      <c r="H1682">
        <f t="shared" si="52"/>
        <v>2.6331187829140845E-3</v>
      </c>
      <c r="I1682">
        <f t="shared" si="53"/>
        <v>2.6296581990727045E-3</v>
      </c>
    </row>
    <row r="1683" spans="1:9" x14ac:dyDescent="0.75">
      <c r="A1683" s="1">
        <v>43336</v>
      </c>
      <c r="B1683">
        <v>68.36</v>
      </c>
      <c r="C1683">
        <v>67.58</v>
      </c>
      <c r="D1683">
        <v>68.959999999999994</v>
      </c>
      <c r="E1683">
        <v>67.47</v>
      </c>
      <c r="F1683" t="s">
        <v>1578</v>
      </c>
      <c r="G1683" s="2">
        <v>1.23E-2</v>
      </c>
      <c r="H1683">
        <f t="shared" si="52"/>
        <v>1.2290833703539143E-2</v>
      </c>
      <c r="I1683">
        <f t="shared" si="53"/>
        <v>1.2215914660639635E-2</v>
      </c>
    </row>
    <row r="1684" spans="1:9" x14ac:dyDescent="0.75">
      <c r="A1684" s="1">
        <v>43335</v>
      </c>
      <c r="B1684">
        <v>67.53</v>
      </c>
      <c r="C1684">
        <v>67.72</v>
      </c>
      <c r="D1684">
        <v>67.75</v>
      </c>
      <c r="E1684">
        <v>67.010000000000005</v>
      </c>
      <c r="F1684" t="s">
        <v>1579</v>
      </c>
      <c r="G1684" s="2">
        <v>2.9999999999999997E-4</v>
      </c>
      <c r="H1684">
        <f t="shared" si="52"/>
        <v>2.962524070507483E-4</v>
      </c>
      <c r="I1684">
        <f t="shared" si="53"/>
        <v>2.962085329713133E-4</v>
      </c>
    </row>
    <row r="1685" spans="1:9" x14ac:dyDescent="0.75">
      <c r="A1685" s="1">
        <v>43334</v>
      </c>
      <c r="B1685">
        <v>67.510000000000005</v>
      </c>
      <c r="C1685">
        <v>65.72</v>
      </c>
      <c r="D1685">
        <v>67.78</v>
      </c>
      <c r="E1685">
        <v>65.63</v>
      </c>
      <c r="F1685" t="s">
        <v>1580</v>
      </c>
      <c r="G1685" s="2">
        <v>2.5399999999999999E-2</v>
      </c>
      <c r="H1685">
        <f t="shared" si="52"/>
        <v>2.5364520048602696E-2</v>
      </c>
      <c r="I1685">
        <f t="shared" si="53"/>
        <v>2.5048178684964853E-2</v>
      </c>
    </row>
    <row r="1686" spans="1:9" x14ac:dyDescent="0.75">
      <c r="A1686" s="1">
        <v>43333</v>
      </c>
      <c r="B1686">
        <v>65.84</v>
      </c>
      <c r="C1686">
        <v>65.44</v>
      </c>
      <c r="D1686">
        <v>66.489999999999995</v>
      </c>
      <c r="E1686">
        <v>65.31</v>
      </c>
      <c r="F1686" t="s">
        <v>1581</v>
      </c>
      <c r="G1686" s="2">
        <v>6.4000000000000003E-3</v>
      </c>
      <c r="H1686">
        <f t="shared" si="52"/>
        <v>6.4200550290431316E-3</v>
      </c>
      <c r="I1686">
        <f t="shared" si="53"/>
        <v>6.3995342585766064E-3</v>
      </c>
    </row>
    <row r="1687" spans="1:9" x14ac:dyDescent="0.75">
      <c r="A1687" s="1">
        <v>43332</v>
      </c>
      <c r="B1687">
        <v>65.42</v>
      </c>
      <c r="C1687">
        <v>65.209999999999994</v>
      </c>
      <c r="D1687">
        <v>65.62</v>
      </c>
      <c r="E1687">
        <v>64.849999999999994</v>
      </c>
      <c r="F1687" t="s">
        <v>1582</v>
      </c>
      <c r="G1687" s="2">
        <v>3.2000000000000002E-3</v>
      </c>
      <c r="H1687">
        <f t="shared" si="52"/>
        <v>3.2203649746972546E-3</v>
      </c>
      <c r="I1687">
        <f t="shared" si="53"/>
        <v>3.2151907051271604E-3</v>
      </c>
    </row>
    <row r="1688" spans="1:9" x14ac:dyDescent="0.75">
      <c r="A1688" s="1">
        <v>43329</v>
      </c>
      <c r="B1688">
        <v>65.209999999999994</v>
      </c>
      <c r="C1688">
        <v>64.849999999999994</v>
      </c>
      <c r="D1688">
        <v>65.760000000000005</v>
      </c>
      <c r="E1688">
        <v>64.69</v>
      </c>
      <c r="F1688" t="s">
        <v>1583</v>
      </c>
      <c r="G1688" s="2">
        <v>5.1000000000000004E-3</v>
      </c>
      <c r="H1688">
        <f t="shared" si="52"/>
        <v>5.0863131935881371E-3</v>
      </c>
      <c r="I1688">
        <f t="shared" si="53"/>
        <v>5.0734215979533672E-3</v>
      </c>
    </row>
    <row r="1689" spans="1:9" x14ac:dyDescent="0.75">
      <c r="A1689" s="1">
        <v>43328</v>
      </c>
      <c r="B1689">
        <v>64.88</v>
      </c>
      <c r="C1689">
        <v>64.349999999999994</v>
      </c>
      <c r="D1689">
        <v>64.95</v>
      </c>
      <c r="E1689">
        <v>63.89</v>
      </c>
      <c r="F1689" t="s">
        <v>1584</v>
      </c>
      <c r="G1689" s="2">
        <v>6.4999999999999997E-3</v>
      </c>
      <c r="H1689">
        <f t="shared" si="52"/>
        <v>6.5156686317096148E-3</v>
      </c>
      <c r="I1689">
        <f t="shared" si="53"/>
        <v>6.4945334198657058E-3</v>
      </c>
    </row>
    <row r="1690" spans="1:9" x14ac:dyDescent="0.75">
      <c r="A1690" s="1">
        <v>43327</v>
      </c>
      <c r="B1690">
        <v>64.459999999999994</v>
      </c>
      <c r="C1690">
        <v>65.92</v>
      </c>
      <c r="D1690">
        <v>66.22</v>
      </c>
      <c r="E1690">
        <v>63.93</v>
      </c>
      <c r="F1690" t="s">
        <v>1585</v>
      </c>
      <c r="G1690" s="2">
        <v>-2.8199999999999999E-2</v>
      </c>
      <c r="H1690">
        <f t="shared" si="52"/>
        <v>-2.8192371475953635E-2</v>
      </c>
      <c r="I1690">
        <f t="shared" si="53"/>
        <v>-2.8597407150172924E-2</v>
      </c>
    </row>
    <row r="1691" spans="1:9" x14ac:dyDescent="0.75">
      <c r="A1691" s="1">
        <v>43326</v>
      </c>
      <c r="B1691">
        <v>66.33</v>
      </c>
      <c r="C1691">
        <v>66.75</v>
      </c>
      <c r="D1691">
        <v>67.72</v>
      </c>
      <c r="E1691">
        <v>65.900000000000006</v>
      </c>
      <c r="F1691" t="s">
        <v>1586</v>
      </c>
      <c r="G1691" s="2">
        <v>-3.5999999999999999E-3</v>
      </c>
      <c r="H1691">
        <f t="shared" si="52"/>
        <v>-3.6052275799909102E-3</v>
      </c>
      <c r="I1691">
        <f t="shared" si="53"/>
        <v>-3.6117420751475698E-3</v>
      </c>
    </row>
    <row r="1692" spans="1:9" x14ac:dyDescent="0.75">
      <c r="A1692" s="1">
        <v>43325</v>
      </c>
      <c r="B1692">
        <v>66.569999999999993</v>
      </c>
      <c r="C1692">
        <v>67.069999999999993</v>
      </c>
      <c r="D1692">
        <v>67.19</v>
      </c>
      <c r="E1692">
        <v>65.09</v>
      </c>
      <c r="F1692" t="s">
        <v>1587</v>
      </c>
      <c r="G1692" s="2">
        <v>-5.4999999999999997E-3</v>
      </c>
      <c r="H1692">
        <f t="shared" si="52"/>
        <v>-5.5273379145504113E-3</v>
      </c>
      <c r="I1692">
        <f t="shared" si="53"/>
        <v>-5.5426701705683663E-3</v>
      </c>
    </row>
    <row r="1693" spans="1:9" x14ac:dyDescent="0.75">
      <c r="A1693" s="1">
        <v>43322</v>
      </c>
      <c r="B1693">
        <v>66.94</v>
      </c>
      <c r="C1693">
        <v>66.06</v>
      </c>
      <c r="D1693">
        <v>67.17</v>
      </c>
      <c r="E1693">
        <v>65.489999999999995</v>
      </c>
      <c r="F1693" t="s">
        <v>1588</v>
      </c>
      <c r="G1693" s="2">
        <v>1.21E-2</v>
      </c>
      <c r="H1693">
        <f t="shared" si="52"/>
        <v>1.2095554883580242E-2</v>
      </c>
      <c r="I1693">
        <f t="shared" si="53"/>
        <v>1.2022988229533706E-2</v>
      </c>
    </row>
    <row r="1694" spans="1:9" x14ac:dyDescent="0.75">
      <c r="A1694" s="1">
        <v>43321</v>
      </c>
      <c r="B1694">
        <v>66.14</v>
      </c>
      <c r="C1694">
        <v>65.95</v>
      </c>
      <c r="D1694">
        <v>66.75</v>
      </c>
      <c r="E1694">
        <v>65.87</v>
      </c>
      <c r="F1694" t="s">
        <v>1589</v>
      </c>
      <c r="G1694" s="2">
        <v>-1.6999999999999999E-3</v>
      </c>
      <c r="H1694">
        <f t="shared" si="52"/>
        <v>-1.6603773584905575E-3</v>
      </c>
      <c r="I1694">
        <f t="shared" si="53"/>
        <v>-1.6617573126848609E-3</v>
      </c>
    </row>
    <row r="1695" spans="1:9" x14ac:dyDescent="0.75">
      <c r="A1695" s="1">
        <v>43320</v>
      </c>
      <c r="B1695">
        <v>66.25</v>
      </c>
      <c r="C1695">
        <v>68.260000000000005</v>
      </c>
      <c r="D1695">
        <v>68.55</v>
      </c>
      <c r="E1695">
        <v>65.64</v>
      </c>
      <c r="F1695" t="s">
        <v>1590</v>
      </c>
      <c r="G1695" s="2">
        <v>-3.04E-2</v>
      </c>
      <c r="H1695">
        <f t="shared" si="52"/>
        <v>-3.0440509293136225E-2</v>
      </c>
      <c r="I1695">
        <f t="shared" si="53"/>
        <v>-3.0913443926355321E-2</v>
      </c>
    </row>
    <row r="1696" spans="1:9" x14ac:dyDescent="0.75">
      <c r="A1696" s="1">
        <v>43319</v>
      </c>
      <c r="B1696">
        <v>68.33</v>
      </c>
      <c r="C1696">
        <v>67.89</v>
      </c>
      <c r="D1696">
        <v>68.86</v>
      </c>
      <c r="E1696">
        <v>67.77</v>
      </c>
      <c r="F1696" t="s">
        <v>1591</v>
      </c>
      <c r="G1696" s="2">
        <v>5.7000000000000002E-3</v>
      </c>
      <c r="H1696">
        <f t="shared" si="52"/>
        <v>5.7403591404180249E-3</v>
      </c>
      <c r="I1696">
        <f t="shared" si="53"/>
        <v>5.7239460602489739E-3</v>
      </c>
    </row>
    <row r="1697" spans="1:9" x14ac:dyDescent="0.75">
      <c r="A1697" s="1">
        <v>43318</v>
      </c>
      <c r="B1697">
        <v>67.94</v>
      </c>
      <c r="C1697">
        <v>67.55</v>
      </c>
      <c r="D1697">
        <v>68.73</v>
      </c>
      <c r="E1697">
        <v>67.38</v>
      </c>
      <c r="F1697" t="s">
        <v>1592</v>
      </c>
      <c r="G1697" s="2">
        <v>8.8000000000000005E-3</v>
      </c>
      <c r="H1697">
        <f t="shared" si="52"/>
        <v>8.7602078693393235E-3</v>
      </c>
      <c r="I1697">
        <f t="shared" si="53"/>
        <v>8.7220598760649921E-3</v>
      </c>
    </row>
    <row r="1698" spans="1:9" x14ac:dyDescent="0.75">
      <c r="A1698" s="1">
        <v>43315</v>
      </c>
      <c r="B1698">
        <v>67.349999999999994</v>
      </c>
      <c r="C1698">
        <v>67.69</v>
      </c>
      <c r="D1698">
        <v>67.94</v>
      </c>
      <c r="E1698">
        <v>66.680000000000007</v>
      </c>
      <c r="F1698" t="s">
        <v>1593</v>
      </c>
      <c r="G1698" s="2">
        <v>-4.5999999999999999E-3</v>
      </c>
      <c r="H1698">
        <f t="shared" si="52"/>
        <v>-4.5817321903636162E-3</v>
      </c>
      <c r="I1698">
        <f t="shared" si="53"/>
        <v>-4.5922604961894618E-3</v>
      </c>
    </row>
    <row r="1699" spans="1:9" x14ac:dyDescent="0.75">
      <c r="A1699" s="1">
        <v>43314</v>
      </c>
      <c r="B1699">
        <v>67.66</v>
      </c>
      <c r="C1699">
        <v>66.63</v>
      </c>
      <c r="D1699">
        <v>68.05</v>
      </c>
      <c r="E1699">
        <v>65.819999999999993</v>
      </c>
      <c r="F1699" t="s">
        <v>1594</v>
      </c>
      <c r="G1699" s="2">
        <v>1.7399999999999999E-2</v>
      </c>
      <c r="H1699">
        <f t="shared" si="52"/>
        <v>1.7443609022556341E-2</v>
      </c>
      <c r="I1699">
        <f t="shared" si="53"/>
        <v>1.7293215690753833E-2</v>
      </c>
    </row>
    <row r="1700" spans="1:9" x14ac:dyDescent="0.75">
      <c r="A1700" s="1">
        <v>43313</v>
      </c>
      <c r="B1700">
        <v>66.5</v>
      </c>
      <c r="C1700">
        <v>67.34</v>
      </c>
      <c r="D1700">
        <v>67.47</v>
      </c>
      <c r="E1700">
        <v>66.19</v>
      </c>
      <c r="F1700" t="s">
        <v>1595</v>
      </c>
      <c r="G1700" s="2">
        <v>-1.67E-2</v>
      </c>
      <c r="H1700">
        <f t="shared" si="52"/>
        <v>-1.6708561289368557E-2</v>
      </c>
      <c r="I1700">
        <f t="shared" si="53"/>
        <v>-1.6849723925040097E-2</v>
      </c>
    </row>
    <row r="1701" spans="1:9" x14ac:dyDescent="0.75">
      <c r="A1701" s="1">
        <v>43312</v>
      </c>
      <c r="B1701">
        <v>67.63</v>
      </c>
      <c r="C1701">
        <v>68.83</v>
      </c>
      <c r="D1701">
        <v>68.95</v>
      </c>
      <c r="E1701">
        <v>66.97</v>
      </c>
      <c r="F1701" t="s">
        <v>1596</v>
      </c>
      <c r="G1701" s="2">
        <v>-1.9099999999999999E-2</v>
      </c>
      <c r="H1701">
        <f t="shared" si="52"/>
        <v>-1.9144307469180673E-2</v>
      </c>
      <c r="I1701">
        <f t="shared" si="53"/>
        <v>-1.9329932652462394E-2</v>
      </c>
    </row>
    <row r="1702" spans="1:9" x14ac:dyDescent="0.75">
      <c r="A1702" s="1">
        <v>43311</v>
      </c>
      <c r="B1702">
        <v>68.95</v>
      </c>
      <c r="C1702">
        <v>67.86</v>
      </c>
      <c r="D1702">
        <v>69.19</v>
      </c>
      <c r="E1702">
        <v>67.81</v>
      </c>
      <c r="F1702" t="s">
        <v>1597</v>
      </c>
      <c r="G1702" s="2">
        <v>1.7999999999999999E-2</v>
      </c>
      <c r="H1702">
        <f t="shared" si="52"/>
        <v>1.8012697475269436E-2</v>
      </c>
      <c r="I1702">
        <f t="shared" si="53"/>
        <v>1.7852391012498536E-2</v>
      </c>
    </row>
    <row r="1703" spans="1:9" x14ac:dyDescent="0.75">
      <c r="A1703" s="1">
        <v>43308</v>
      </c>
      <c r="B1703">
        <v>67.73</v>
      </c>
      <c r="C1703">
        <v>68.430000000000007</v>
      </c>
      <c r="D1703">
        <v>68.63</v>
      </c>
      <c r="E1703">
        <v>67.38</v>
      </c>
      <c r="F1703" t="s">
        <v>1598</v>
      </c>
      <c r="G1703" s="2">
        <v>-1.0200000000000001E-2</v>
      </c>
      <c r="H1703">
        <f t="shared" si="52"/>
        <v>-1.0229431535876118E-2</v>
      </c>
      <c r="I1703">
        <f t="shared" si="53"/>
        <v>-1.0282111737594067E-2</v>
      </c>
    </row>
    <row r="1704" spans="1:9" x14ac:dyDescent="0.75">
      <c r="A1704" s="1">
        <v>43307</v>
      </c>
      <c r="B1704">
        <v>68.430000000000007</v>
      </c>
      <c r="C1704">
        <v>68.05</v>
      </c>
      <c r="D1704">
        <v>68.64</v>
      </c>
      <c r="E1704">
        <v>67.73</v>
      </c>
      <c r="F1704" t="s">
        <v>1599</v>
      </c>
      <c r="G1704" s="2">
        <v>6.1999999999999998E-3</v>
      </c>
      <c r="H1704">
        <f t="shared" si="52"/>
        <v>6.1755624172915996E-3</v>
      </c>
      <c r="I1704">
        <f t="shared" si="53"/>
        <v>6.1565717768591304E-3</v>
      </c>
    </row>
    <row r="1705" spans="1:9" x14ac:dyDescent="0.75">
      <c r="A1705" s="1">
        <v>43306</v>
      </c>
      <c r="B1705">
        <v>68.010000000000005</v>
      </c>
      <c r="C1705">
        <v>67.430000000000007</v>
      </c>
      <c r="D1705">
        <v>68.23</v>
      </c>
      <c r="E1705">
        <v>66.97</v>
      </c>
      <c r="F1705" t="s">
        <v>1098</v>
      </c>
      <c r="G1705" s="2">
        <v>1.2200000000000001E-2</v>
      </c>
      <c r="H1705">
        <f t="shared" si="52"/>
        <v>1.2204197053133017E-2</v>
      </c>
      <c r="I1705">
        <f t="shared" si="53"/>
        <v>1.2130326255488837E-2</v>
      </c>
    </row>
    <row r="1706" spans="1:9" x14ac:dyDescent="0.75">
      <c r="A1706" s="1">
        <v>43305</v>
      </c>
      <c r="B1706">
        <v>67.19</v>
      </c>
      <c r="C1706">
        <v>66.680000000000007</v>
      </c>
      <c r="D1706">
        <v>67.64</v>
      </c>
      <c r="E1706">
        <v>66.44</v>
      </c>
      <c r="F1706" t="s">
        <v>1600</v>
      </c>
      <c r="G1706" s="2">
        <v>6.6E-3</v>
      </c>
      <c r="H1706">
        <f t="shared" si="52"/>
        <v>6.5917602996254342E-3</v>
      </c>
      <c r="I1706">
        <f t="shared" si="53"/>
        <v>6.5701296516997125E-3</v>
      </c>
    </row>
    <row r="1707" spans="1:9" x14ac:dyDescent="0.75">
      <c r="A1707" s="1">
        <v>43304</v>
      </c>
      <c r="B1707">
        <v>66.75</v>
      </c>
      <c r="C1707">
        <v>66.59</v>
      </c>
      <c r="D1707">
        <v>67.64</v>
      </c>
      <c r="E1707">
        <v>66.260000000000005</v>
      </c>
      <c r="F1707" t="s">
        <v>1601</v>
      </c>
      <c r="G1707" s="2">
        <v>-2.2100000000000002E-2</v>
      </c>
      <c r="H1707">
        <f t="shared" si="52"/>
        <v>-2.21213009082919E-2</v>
      </c>
      <c r="I1707">
        <f t="shared" si="53"/>
        <v>-2.2369646198202146E-2</v>
      </c>
    </row>
    <row r="1708" spans="1:9" x14ac:dyDescent="0.75">
      <c r="A1708" s="1">
        <v>43301</v>
      </c>
      <c r="B1708">
        <v>68.260000000000005</v>
      </c>
      <c r="C1708">
        <v>68.03</v>
      </c>
      <c r="D1708">
        <v>68.91</v>
      </c>
      <c r="E1708">
        <v>67.69</v>
      </c>
      <c r="F1708" t="s">
        <v>1602</v>
      </c>
      <c r="G1708" s="2">
        <v>2.9999999999999997E-4</v>
      </c>
      <c r="H1708">
        <f t="shared" si="52"/>
        <v>2.9308323563907143E-4</v>
      </c>
      <c r="I1708">
        <f t="shared" si="53"/>
        <v>2.9304029513752949E-4</v>
      </c>
    </row>
    <row r="1709" spans="1:9" x14ac:dyDescent="0.75">
      <c r="A1709" s="1">
        <v>43300</v>
      </c>
      <c r="B1709">
        <v>68.239999999999995</v>
      </c>
      <c r="C1709">
        <v>67.959999999999994</v>
      </c>
      <c r="D1709">
        <v>68.790000000000006</v>
      </c>
      <c r="E1709">
        <v>66.62</v>
      </c>
      <c r="F1709" t="s">
        <v>1603</v>
      </c>
      <c r="G1709" s="2">
        <v>7.1999999999999998E-3</v>
      </c>
      <c r="H1709">
        <f t="shared" si="52"/>
        <v>7.2324723247231713E-3</v>
      </c>
      <c r="I1709">
        <f t="shared" si="53"/>
        <v>7.2064434236133882E-3</v>
      </c>
    </row>
    <row r="1710" spans="1:9" x14ac:dyDescent="0.75">
      <c r="A1710" s="1">
        <v>43299</v>
      </c>
      <c r="B1710">
        <v>67.75</v>
      </c>
      <c r="C1710">
        <v>66.72</v>
      </c>
      <c r="D1710">
        <v>68.010000000000005</v>
      </c>
      <c r="E1710">
        <v>66.290000000000006</v>
      </c>
      <c r="F1710" t="s">
        <v>1604</v>
      </c>
      <c r="G1710" s="2">
        <v>8.8000000000000005E-3</v>
      </c>
      <c r="H1710">
        <f t="shared" si="52"/>
        <v>8.784991066110831E-3</v>
      </c>
      <c r="I1710">
        <f t="shared" si="53"/>
        <v>8.746627550470289E-3</v>
      </c>
    </row>
    <row r="1711" spans="1:9" x14ac:dyDescent="0.75">
      <c r="A1711" s="1">
        <v>43298</v>
      </c>
      <c r="B1711">
        <v>67.16</v>
      </c>
      <c r="C1711">
        <v>67.11</v>
      </c>
      <c r="D1711">
        <v>67.61</v>
      </c>
      <c r="E1711">
        <v>66.349999999999994</v>
      </c>
      <c r="F1711" t="s">
        <v>1605</v>
      </c>
      <c r="G1711" s="2">
        <v>1.2999999999999999E-3</v>
      </c>
      <c r="H1711">
        <f t="shared" si="52"/>
        <v>1.3418816162219088E-3</v>
      </c>
      <c r="I1711">
        <f t="shared" si="53"/>
        <v>1.3409820976941942E-3</v>
      </c>
    </row>
    <row r="1712" spans="1:9" x14ac:dyDescent="0.75">
      <c r="A1712" s="1">
        <v>43297</v>
      </c>
      <c r="B1712">
        <v>67.069999999999993</v>
      </c>
      <c r="C1712">
        <v>69.52</v>
      </c>
      <c r="D1712">
        <v>69.78</v>
      </c>
      <c r="E1712">
        <v>66.7</v>
      </c>
      <c r="F1712" t="s">
        <v>1606</v>
      </c>
      <c r="G1712" s="2">
        <v>-4.1200000000000001E-2</v>
      </c>
      <c r="H1712">
        <f t="shared" si="52"/>
        <v>-4.1172265904217437E-2</v>
      </c>
      <c r="I1712">
        <f t="shared" si="53"/>
        <v>-4.2043850999844437E-2</v>
      </c>
    </row>
    <row r="1713" spans="1:9" x14ac:dyDescent="0.75">
      <c r="A1713" s="1">
        <v>43294</v>
      </c>
      <c r="B1713">
        <v>69.95</v>
      </c>
      <c r="C1713">
        <v>69.38</v>
      </c>
      <c r="D1713">
        <v>70.599999999999994</v>
      </c>
      <c r="E1713">
        <v>68.760000000000005</v>
      </c>
      <c r="F1713" t="s">
        <v>1607</v>
      </c>
      <c r="G1713" s="2">
        <v>8.6999999999999994E-3</v>
      </c>
      <c r="H1713">
        <f t="shared" si="52"/>
        <v>8.6517664023072621E-3</v>
      </c>
      <c r="I1713">
        <f t="shared" si="53"/>
        <v>8.614554350649806E-3</v>
      </c>
    </row>
    <row r="1714" spans="1:9" x14ac:dyDescent="0.75">
      <c r="A1714" s="1">
        <v>43293</v>
      </c>
      <c r="B1714">
        <v>69.349999999999994</v>
      </c>
      <c r="C1714">
        <v>69.209999999999994</v>
      </c>
      <c r="D1714">
        <v>69.81</v>
      </c>
      <c r="E1714">
        <v>68.09</v>
      </c>
      <c r="F1714" t="s">
        <v>1608</v>
      </c>
      <c r="G1714" s="2">
        <v>7.1000000000000004E-3</v>
      </c>
      <c r="H1714">
        <f t="shared" si="52"/>
        <v>7.115887307580524E-3</v>
      </c>
      <c r="I1714">
        <f t="shared" si="53"/>
        <v>7.0906888504627995E-3</v>
      </c>
    </row>
    <row r="1715" spans="1:9" x14ac:dyDescent="0.75">
      <c r="A1715" s="1">
        <v>43292</v>
      </c>
      <c r="B1715">
        <v>68.86</v>
      </c>
      <c r="C1715">
        <v>72.67</v>
      </c>
      <c r="D1715">
        <v>72.760000000000005</v>
      </c>
      <c r="E1715">
        <v>68.400000000000006</v>
      </c>
      <c r="F1715" t="s">
        <v>1609</v>
      </c>
      <c r="G1715" s="2">
        <v>-5.0999999999999997E-2</v>
      </c>
      <c r="H1715">
        <f t="shared" si="52"/>
        <v>-5.0992282249173133E-2</v>
      </c>
      <c r="I1715">
        <f t="shared" si="53"/>
        <v>-5.2338347896503552E-2</v>
      </c>
    </row>
    <row r="1716" spans="1:9" x14ac:dyDescent="0.75">
      <c r="A1716" s="1">
        <v>43291</v>
      </c>
      <c r="B1716">
        <v>72.56</v>
      </c>
      <c r="C1716">
        <v>72.19</v>
      </c>
      <c r="D1716">
        <v>72.98</v>
      </c>
      <c r="E1716">
        <v>72.08</v>
      </c>
      <c r="F1716" t="s">
        <v>1610</v>
      </c>
      <c r="G1716" s="2">
        <v>8.0999999999999996E-3</v>
      </c>
      <c r="H1716">
        <f t="shared" si="52"/>
        <v>8.0577938316198708E-3</v>
      </c>
      <c r="I1716">
        <f t="shared" si="53"/>
        <v>8.0255031559966026E-3</v>
      </c>
    </row>
    <row r="1717" spans="1:9" x14ac:dyDescent="0.75">
      <c r="A1717" s="1">
        <v>43290</v>
      </c>
      <c r="B1717">
        <v>71.98</v>
      </c>
      <c r="C1717">
        <v>71.59</v>
      </c>
      <c r="D1717">
        <v>72.180000000000007</v>
      </c>
      <c r="E1717">
        <v>71.13</v>
      </c>
      <c r="F1717" t="s">
        <v>1611</v>
      </c>
      <c r="G1717" s="2">
        <v>5.7000000000000002E-3</v>
      </c>
      <c r="H1717">
        <f t="shared" si="52"/>
        <v>5.7286572586280685E-3</v>
      </c>
      <c r="I1717">
        <f t="shared" si="53"/>
        <v>5.7123109003787377E-3</v>
      </c>
    </row>
    <row r="1718" spans="1:9" x14ac:dyDescent="0.75">
      <c r="A1718" s="1">
        <v>43287</v>
      </c>
      <c r="B1718">
        <v>71.569999999999993</v>
      </c>
      <c r="C1718">
        <v>70.86</v>
      </c>
      <c r="D1718">
        <v>71.680000000000007</v>
      </c>
      <c r="E1718">
        <v>69.930000000000007</v>
      </c>
      <c r="F1718" t="s">
        <v>1612</v>
      </c>
      <c r="G1718" s="2">
        <v>1.3299999999999999E-2</v>
      </c>
      <c r="H1718">
        <f t="shared" si="52"/>
        <v>1.3308792297890384E-2</v>
      </c>
      <c r="I1718">
        <f t="shared" si="53"/>
        <v>1.3221008329675104E-2</v>
      </c>
    </row>
    <row r="1719" spans="1:9" x14ac:dyDescent="0.75">
      <c r="A1719" s="1">
        <v>43286</v>
      </c>
      <c r="B1719">
        <v>70.63</v>
      </c>
      <c r="C1719">
        <v>71.680000000000007</v>
      </c>
      <c r="D1719">
        <v>72.34</v>
      </c>
      <c r="E1719">
        <v>70.349999999999994</v>
      </c>
      <c r="F1719" t="s">
        <v>1613</v>
      </c>
      <c r="G1719" s="2">
        <v>-4.7199999999999999E-2</v>
      </c>
      <c r="H1719">
        <f t="shared" si="52"/>
        <v>-4.7214353163361665E-2</v>
      </c>
      <c r="I1719">
        <f t="shared" si="53"/>
        <v>-4.8365325247797485E-2</v>
      </c>
    </row>
    <row r="1720" spans="1:9" x14ac:dyDescent="0.75">
      <c r="A1720" s="1">
        <v>43285</v>
      </c>
      <c r="B1720">
        <v>74.13</v>
      </c>
      <c r="C1720">
        <v>74.62</v>
      </c>
      <c r="D1720">
        <v>74.760000000000005</v>
      </c>
      <c r="E1720">
        <v>73.52</v>
      </c>
      <c r="G1720" s="2">
        <v>3.5499999999999997E-2</v>
      </c>
      <c r="H1720">
        <f t="shared" si="52"/>
        <v>3.5479815616706128E-2</v>
      </c>
      <c r="I1720">
        <f t="shared" si="53"/>
        <v>3.4864909260534718E-2</v>
      </c>
    </row>
    <row r="1721" spans="1:9" x14ac:dyDescent="0.75">
      <c r="A1721" s="1">
        <v>43284</v>
      </c>
      <c r="B1721">
        <v>71.59</v>
      </c>
      <c r="C1721">
        <v>71.75</v>
      </c>
      <c r="D1721">
        <v>72.849999999999994</v>
      </c>
      <c r="E1721">
        <v>70.430000000000007</v>
      </c>
      <c r="F1721" t="s">
        <v>1614</v>
      </c>
      <c r="G1721" s="2">
        <v>-4.0000000000000002E-4</v>
      </c>
      <c r="H1721">
        <f t="shared" si="52"/>
        <v>-4.1887740854511496E-4</v>
      </c>
      <c r="I1721">
        <f t="shared" si="53"/>
        <v>-4.1896516219296819E-4</v>
      </c>
    </row>
    <row r="1722" spans="1:9" x14ac:dyDescent="0.75">
      <c r="A1722" s="1">
        <v>43283</v>
      </c>
      <c r="B1722">
        <v>71.62</v>
      </c>
      <c r="C1722">
        <v>72</v>
      </c>
      <c r="D1722">
        <v>72.400000000000006</v>
      </c>
      <c r="E1722">
        <v>70.739999999999995</v>
      </c>
      <c r="F1722" t="s">
        <v>1615</v>
      </c>
      <c r="G1722" s="2">
        <v>-1.1599999999999999E-2</v>
      </c>
      <c r="H1722">
        <f t="shared" si="52"/>
        <v>-1.1592602815346249E-2</v>
      </c>
      <c r="I1722">
        <f t="shared" si="53"/>
        <v>-1.1660320896644373E-2</v>
      </c>
    </row>
    <row r="1723" spans="1:9" x14ac:dyDescent="0.75">
      <c r="A1723" s="1">
        <v>43280</v>
      </c>
      <c r="B1723">
        <v>72.459999999999994</v>
      </c>
      <c r="C1723">
        <v>71.66</v>
      </c>
      <c r="D1723">
        <v>72.8</v>
      </c>
      <c r="E1723">
        <v>71.33</v>
      </c>
      <c r="F1723" t="s">
        <v>1616</v>
      </c>
      <c r="G1723" s="2">
        <v>9.1000000000000004E-3</v>
      </c>
      <c r="H1723">
        <f t="shared" si="52"/>
        <v>9.0516641136330796E-3</v>
      </c>
      <c r="I1723">
        <f t="shared" si="53"/>
        <v>9.01094334470493E-3</v>
      </c>
    </row>
    <row r="1724" spans="1:9" x14ac:dyDescent="0.75">
      <c r="A1724" s="1">
        <v>43279</v>
      </c>
      <c r="B1724">
        <v>71.81</v>
      </c>
      <c r="C1724">
        <v>70.7</v>
      </c>
      <c r="D1724">
        <v>72.31</v>
      </c>
      <c r="E1724">
        <v>70.69</v>
      </c>
      <c r="F1724" t="s">
        <v>1617</v>
      </c>
      <c r="G1724" s="2">
        <v>7.7000000000000002E-3</v>
      </c>
      <c r="H1724">
        <f t="shared" si="52"/>
        <v>7.7182149873701528E-3</v>
      </c>
      <c r="I1724">
        <f t="shared" si="53"/>
        <v>7.6885819445362217E-3</v>
      </c>
    </row>
    <row r="1725" spans="1:9" x14ac:dyDescent="0.75">
      <c r="A1725" s="1">
        <v>43278</v>
      </c>
      <c r="B1725">
        <v>71.260000000000005</v>
      </c>
      <c r="C1725">
        <v>69.459999999999994</v>
      </c>
      <c r="D1725">
        <v>71.48</v>
      </c>
      <c r="E1725">
        <v>69.28</v>
      </c>
      <c r="F1725" t="s">
        <v>1618</v>
      </c>
      <c r="G1725" s="2">
        <v>2.86E-2</v>
      </c>
      <c r="H1725">
        <f t="shared" si="52"/>
        <v>2.8579676674364955E-2</v>
      </c>
      <c r="I1725">
        <f t="shared" si="53"/>
        <v>2.8178895923510274E-2</v>
      </c>
    </row>
    <row r="1726" spans="1:9" x14ac:dyDescent="0.75">
      <c r="A1726" s="1">
        <v>43277</v>
      </c>
      <c r="B1726">
        <v>69.28</v>
      </c>
      <c r="C1726">
        <v>67.23</v>
      </c>
      <c r="D1726">
        <v>69.58</v>
      </c>
      <c r="E1726">
        <v>66.77</v>
      </c>
      <c r="F1726" t="s">
        <v>1619</v>
      </c>
      <c r="G1726" s="2">
        <v>3.3399999999999999E-2</v>
      </c>
      <c r="H1726">
        <f t="shared" si="52"/>
        <v>3.3412887828162215E-2</v>
      </c>
      <c r="I1726">
        <f t="shared" si="53"/>
        <v>3.2866808080352139E-2</v>
      </c>
    </row>
    <row r="1727" spans="1:9" x14ac:dyDescent="0.75">
      <c r="A1727" s="1">
        <v>43276</v>
      </c>
      <c r="B1727">
        <v>67.040000000000006</v>
      </c>
      <c r="C1727">
        <v>67.55</v>
      </c>
      <c r="D1727">
        <v>67.760000000000005</v>
      </c>
      <c r="E1727">
        <v>66.81</v>
      </c>
      <c r="F1727" t="s">
        <v>1620</v>
      </c>
      <c r="G1727" s="2">
        <v>-8.6999999999999994E-3</v>
      </c>
      <c r="H1727">
        <f t="shared" si="52"/>
        <v>-8.7239390802896534E-3</v>
      </c>
      <c r="I1727">
        <f t="shared" si="53"/>
        <v>-8.7622154130208452E-3</v>
      </c>
    </row>
    <row r="1728" spans="1:9" x14ac:dyDescent="0.75">
      <c r="A1728" s="1">
        <v>43273</v>
      </c>
      <c r="B1728">
        <v>67.63</v>
      </c>
      <c r="C1728">
        <v>65.14</v>
      </c>
      <c r="D1728">
        <v>68.25</v>
      </c>
      <c r="E1728">
        <v>64.989999999999995</v>
      </c>
      <c r="F1728" t="s">
        <v>1621</v>
      </c>
      <c r="G1728" s="2">
        <v>4.2700000000000002E-2</v>
      </c>
      <c r="H1728">
        <f t="shared" si="52"/>
        <v>4.2707369719395559E-2</v>
      </c>
      <c r="I1728">
        <f t="shared" si="53"/>
        <v>4.1820570707676648E-2</v>
      </c>
    </row>
    <row r="1729" spans="1:9" x14ac:dyDescent="0.75">
      <c r="A1729" s="1">
        <v>43272</v>
      </c>
      <c r="B1729">
        <v>64.86</v>
      </c>
      <c r="C1729">
        <v>64.900000000000006</v>
      </c>
      <c r="D1729">
        <v>65.56</v>
      </c>
      <c r="E1729">
        <v>63.9</v>
      </c>
      <c r="F1729" t="s">
        <v>1505</v>
      </c>
      <c r="G1729" s="2">
        <v>-1.29E-2</v>
      </c>
      <c r="H1729">
        <f t="shared" si="52"/>
        <v>-1.2935626236493599E-2</v>
      </c>
      <c r="I1729">
        <f t="shared" si="53"/>
        <v>-1.3020020030604483E-2</v>
      </c>
    </row>
    <row r="1730" spans="1:9" x14ac:dyDescent="0.75">
      <c r="A1730" s="1">
        <v>43271</v>
      </c>
      <c r="B1730">
        <v>65.709999999999994</v>
      </c>
      <c r="C1730">
        <v>64.930000000000007</v>
      </c>
      <c r="D1730">
        <v>66.349999999999994</v>
      </c>
      <c r="E1730">
        <v>64.790000000000006</v>
      </c>
      <c r="F1730" t="s">
        <v>1622</v>
      </c>
      <c r="G1730" s="2">
        <v>1.2500000000000001E-2</v>
      </c>
      <c r="H1730">
        <f t="shared" si="52"/>
        <v>1.2480739599383481E-2</v>
      </c>
      <c r="I1730">
        <f t="shared" si="53"/>
        <v>1.2403497199732084E-2</v>
      </c>
    </row>
    <row r="1731" spans="1:9" x14ac:dyDescent="0.75">
      <c r="A1731" s="1">
        <v>43270</v>
      </c>
      <c r="B1731">
        <v>64.900000000000006</v>
      </c>
      <c r="C1731">
        <v>65.7</v>
      </c>
      <c r="D1731">
        <v>65.739999999999995</v>
      </c>
      <c r="E1731">
        <v>64.23</v>
      </c>
      <c r="F1731" t="s">
        <v>1623</v>
      </c>
      <c r="G1731" s="2">
        <v>-1.2E-2</v>
      </c>
      <c r="H1731">
        <f t="shared" ref="H1731:H1794" si="54">(B1731-B1732)/B1732</f>
        <v>-1.2026183589587335E-2</v>
      </c>
      <c r="I1731">
        <f t="shared" ref="I1731:I1794" si="55">LN(B1731/B1732)</f>
        <v>-1.2099083194337099E-2</v>
      </c>
    </row>
    <row r="1732" spans="1:9" x14ac:dyDescent="0.75">
      <c r="A1732" s="1">
        <v>43269</v>
      </c>
      <c r="B1732">
        <v>65.69</v>
      </c>
      <c r="C1732">
        <v>64.22</v>
      </c>
      <c r="D1732">
        <v>65.819999999999993</v>
      </c>
      <c r="E1732">
        <v>63.4</v>
      </c>
      <c r="F1732" t="s">
        <v>1624</v>
      </c>
      <c r="G1732" s="2">
        <v>1.2999999999999999E-2</v>
      </c>
      <c r="H1732">
        <f t="shared" si="54"/>
        <v>1.2952968388589106E-2</v>
      </c>
      <c r="I1732">
        <f t="shared" si="55"/>
        <v>1.2869796141928805E-2</v>
      </c>
    </row>
    <row r="1733" spans="1:9" x14ac:dyDescent="0.75">
      <c r="A1733" s="1">
        <v>43266</v>
      </c>
      <c r="B1733">
        <v>64.849999999999994</v>
      </c>
      <c r="C1733">
        <v>66.819999999999993</v>
      </c>
      <c r="D1733">
        <v>66.89</v>
      </c>
      <c r="E1733">
        <v>64.09</v>
      </c>
      <c r="F1733" t="s">
        <v>1625</v>
      </c>
      <c r="G1733" s="2">
        <v>-2.76E-2</v>
      </c>
      <c r="H1733">
        <f t="shared" si="54"/>
        <v>-2.7590343379817115E-2</v>
      </c>
      <c r="I1733">
        <f t="shared" si="55"/>
        <v>-2.797810588176209E-2</v>
      </c>
    </row>
    <row r="1734" spans="1:9" x14ac:dyDescent="0.75">
      <c r="A1734" s="1">
        <v>43265</v>
      </c>
      <c r="B1734">
        <v>66.69</v>
      </c>
      <c r="C1734">
        <v>66.489999999999995</v>
      </c>
      <c r="D1734">
        <v>67.03</v>
      </c>
      <c r="E1734">
        <v>66.180000000000007</v>
      </c>
      <c r="F1734" t="s">
        <v>1626</v>
      </c>
      <c r="G1734" s="2">
        <v>2.5999999999999999E-3</v>
      </c>
      <c r="H1734">
        <f t="shared" si="54"/>
        <v>2.5556223692122927E-3</v>
      </c>
      <c r="I1734">
        <f t="shared" si="55"/>
        <v>2.5523623194879603E-3</v>
      </c>
    </row>
    <row r="1735" spans="1:9" x14ac:dyDescent="0.75">
      <c r="A1735" s="1">
        <v>43264</v>
      </c>
      <c r="B1735">
        <v>66.52</v>
      </c>
      <c r="C1735">
        <v>65.94</v>
      </c>
      <c r="D1735">
        <v>66.78</v>
      </c>
      <c r="E1735">
        <v>65.44</v>
      </c>
      <c r="F1735" t="s">
        <v>1627</v>
      </c>
      <c r="G1735" s="2">
        <v>3.5999999999999999E-3</v>
      </c>
      <c r="H1735">
        <f t="shared" si="54"/>
        <v>3.6210018105008279E-3</v>
      </c>
      <c r="I1735">
        <f t="shared" si="55"/>
        <v>3.614461766364594E-3</v>
      </c>
    </row>
    <row r="1736" spans="1:9" x14ac:dyDescent="0.75">
      <c r="A1736" s="1">
        <v>43263</v>
      </c>
      <c r="B1736">
        <v>66.28</v>
      </c>
      <c r="C1736">
        <v>66.03</v>
      </c>
      <c r="D1736">
        <v>66.62</v>
      </c>
      <c r="E1736">
        <v>65.8</v>
      </c>
      <c r="F1736" t="s">
        <v>1628</v>
      </c>
      <c r="G1736" s="2">
        <v>3.8E-3</v>
      </c>
      <c r="H1736">
        <f t="shared" si="54"/>
        <v>3.786157807057398E-3</v>
      </c>
      <c r="I1736">
        <f t="shared" si="55"/>
        <v>3.7790083518822624E-3</v>
      </c>
    </row>
    <row r="1737" spans="1:9" x14ac:dyDescent="0.75">
      <c r="A1737" s="1">
        <v>43262</v>
      </c>
      <c r="B1737">
        <v>66.03</v>
      </c>
      <c r="C1737">
        <v>65.5</v>
      </c>
      <c r="D1737">
        <v>66.28</v>
      </c>
      <c r="E1737">
        <v>64.790000000000006</v>
      </c>
      <c r="F1737" t="s">
        <v>1629</v>
      </c>
      <c r="G1737" s="2">
        <v>5.4999999999999997E-3</v>
      </c>
      <c r="H1737">
        <f t="shared" si="54"/>
        <v>5.4819552306989401E-3</v>
      </c>
      <c r="I1737">
        <f t="shared" si="55"/>
        <v>5.4669840035986112E-3</v>
      </c>
    </row>
    <row r="1738" spans="1:9" x14ac:dyDescent="0.75">
      <c r="A1738" s="1">
        <v>43259</v>
      </c>
      <c r="B1738">
        <v>65.67</v>
      </c>
      <c r="C1738">
        <v>65.95</v>
      </c>
      <c r="D1738">
        <v>66.16</v>
      </c>
      <c r="E1738">
        <v>65.099999999999994</v>
      </c>
      <c r="F1738" t="s">
        <v>15</v>
      </c>
      <c r="G1738" s="2">
        <v>-3.3E-3</v>
      </c>
      <c r="H1738">
        <f t="shared" si="54"/>
        <v>-3.3388981636059928E-3</v>
      </c>
      <c r="I1738">
        <f t="shared" si="55"/>
        <v>-3.3444847228472486E-3</v>
      </c>
    </row>
    <row r="1739" spans="1:9" x14ac:dyDescent="0.75">
      <c r="A1739" s="1">
        <v>43258</v>
      </c>
      <c r="B1739">
        <v>65.89</v>
      </c>
      <c r="C1739">
        <v>65.03</v>
      </c>
      <c r="D1739">
        <v>66.03</v>
      </c>
      <c r="E1739">
        <v>64.78</v>
      </c>
      <c r="F1739" t="s">
        <v>1630</v>
      </c>
      <c r="G1739" s="2">
        <v>1.84E-2</v>
      </c>
      <c r="H1739">
        <f t="shared" si="54"/>
        <v>1.8392581143740303E-2</v>
      </c>
      <c r="I1739">
        <f t="shared" si="55"/>
        <v>1.8225483418873513E-2</v>
      </c>
    </row>
    <row r="1740" spans="1:9" x14ac:dyDescent="0.75">
      <c r="A1740" s="1">
        <v>43257</v>
      </c>
      <c r="B1740">
        <v>64.7</v>
      </c>
      <c r="C1740">
        <v>65.430000000000007</v>
      </c>
      <c r="D1740">
        <v>65.91</v>
      </c>
      <c r="E1740">
        <v>64.22</v>
      </c>
      <c r="F1740" t="s">
        <v>1631</v>
      </c>
      <c r="G1740" s="2">
        <v>-1.1599999999999999E-2</v>
      </c>
      <c r="H1740">
        <f t="shared" si="54"/>
        <v>-1.1610143599144378E-2</v>
      </c>
      <c r="I1740">
        <f t="shared" si="55"/>
        <v>-1.1678067566179416E-2</v>
      </c>
    </row>
    <row r="1741" spans="1:9" x14ac:dyDescent="0.75">
      <c r="A1741" s="1">
        <v>43256</v>
      </c>
      <c r="B1741">
        <v>65.459999999999994</v>
      </c>
      <c r="C1741">
        <v>64.930000000000007</v>
      </c>
      <c r="D1741">
        <v>65.489999999999995</v>
      </c>
      <c r="E1741">
        <v>64.150000000000006</v>
      </c>
      <c r="F1741" t="s">
        <v>1632</v>
      </c>
      <c r="G1741" s="2">
        <v>1.21E-2</v>
      </c>
      <c r="H1741">
        <f t="shared" si="54"/>
        <v>1.2059369202226142E-2</v>
      </c>
      <c r="I1741">
        <f t="shared" si="55"/>
        <v>1.1987234364128178E-2</v>
      </c>
    </row>
    <row r="1742" spans="1:9" x14ac:dyDescent="0.75">
      <c r="A1742" s="1">
        <v>43255</v>
      </c>
      <c r="B1742">
        <v>64.680000000000007</v>
      </c>
      <c r="C1742">
        <v>65.650000000000006</v>
      </c>
      <c r="D1742">
        <v>65.989999999999995</v>
      </c>
      <c r="E1742">
        <v>64.540000000000006</v>
      </c>
      <c r="F1742" t="s">
        <v>1633</v>
      </c>
      <c r="G1742" s="2">
        <v>-1.66E-2</v>
      </c>
      <c r="H1742">
        <f t="shared" si="54"/>
        <v>-1.6572905580051533E-2</v>
      </c>
      <c r="I1742">
        <f t="shared" si="55"/>
        <v>-1.671177260435339E-2</v>
      </c>
    </row>
    <row r="1743" spans="1:9" x14ac:dyDescent="0.75">
      <c r="A1743" s="1">
        <v>43252</v>
      </c>
      <c r="B1743">
        <v>65.77</v>
      </c>
      <c r="C1743">
        <v>66.959999999999994</v>
      </c>
      <c r="D1743">
        <v>67.19</v>
      </c>
      <c r="E1743">
        <v>65.48</v>
      </c>
      <c r="F1743" t="s">
        <v>1634</v>
      </c>
      <c r="G1743" s="2">
        <v>-1.7000000000000001E-2</v>
      </c>
      <c r="H1743">
        <f t="shared" si="54"/>
        <v>-1.7037811986250196E-2</v>
      </c>
      <c r="I1743">
        <f t="shared" si="55"/>
        <v>-1.7184625481465945E-2</v>
      </c>
    </row>
    <row r="1744" spans="1:9" x14ac:dyDescent="0.75">
      <c r="A1744" s="1">
        <v>43251</v>
      </c>
      <c r="B1744">
        <v>66.91</v>
      </c>
      <c r="C1744">
        <v>68.099999999999994</v>
      </c>
      <c r="D1744">
        <v>68.150000000000006</v>
      </c>
      <c r="E1744">
        <v>66.44</v>
      </c>
      <c r="F1744" t="s">
        <v>1635</v>
      </c>
      <c r="G1744" s="2">
        <v>-1.72E-2</v>
      </c>
      <c r="H1744">
        <f t="shared" si="54"/>
        <v>-1.7185663924794384E-2</v>
      </c>
      <c r="I1744">
        <f t="shared" si="55"/>
        <v>-1.7335051470393131E-2</v>
      </c>
    </row>
    <row r="1745" spans="1:9" x14ac:dyDescent="0.75">
      <c r="A1745" s="1">
        <v>43250</v>
      </c>
      <c r="B1745">
        <v>68.08</v>
      </c>
      <c r="C1745">
        <v>66.7</v>
      </c>
      <c r="D1745">
        <v>68.52</v>
      </c>
      <c r="E1745">
        <v>66.25</v>
      </c>
      <c r="F1745" t="s">
        <v>1636</v>
      </c>
      <c r="G1745" s="2">
        <v>2.1899999999999999E-2</v>
      </c>
      <c r="H1745">
        <f t="shared" si="54"/>
        <v>2.1915340738516868E-2</v>
      </c>
      <c r="I1745">
        <f t="shared" si="55"/>
        <v>2.1678651499585005E-2</v>
      </c>
    </row>
    <row r="1746" spans="1:9" x14ac:dyDescent="0.75">
      <c r="A1746" s="1">
        <v>43249</v>
      </c>
      <c r="B1746">
        <v>66.62</v>
      </c>
      <c r="C1746">
        <v>67.290000000000006</v>
      </c>
      <c r="D1746">
        <v>67.42</v>
      </c>
      <c r="E1746">
        <v>65.72</v>
      </c>
      <c r="F1746" t="s">
        <v>1637</v>
      </c>
      <c r="G1746" s="2">
        <v>-6.4000000000000003E-3</v>
      </c>
      <c r="H1746">
        <f t="shared" si="54"/>
        <v>-6.4131245339297928E-3</v>
      </c>
      <c r="I1746">
        <f t="shared" si="55"/>
        <v>-6.43377696215387E-3</v>
      </c>
    </row>
    <row r="1747" spans="1:9" x14ac:dyDescent="0.75">
      <c r="A1747" s="1">
        <v>43248</v>
      </c>
      <c r="B1747">
        <v>67.05</v>
      </c>
      <c r="C1747">
        <v>67.39</v>
      </c>
      <c r="D1747">
        <v>67.41</v>
      </c>
      <c r="E1747">
        <v>65.81</v>
      </c>
      <c r="G1747" s="2">
        <v>-4.5999999999999999E-3</v>
      </c>
      <c r="H1747">
        <f t="shared" si="54"/>
        <v>-4.6021377672209362E-3</v>
      </c>
      <c r="I1747">
        <f t="shared" si="55"/>
        <v>-4.6127602063838142E-3</v>
      </c>
    </row>
    <row r="1748" spans="1:9" x14ac:dyDescent="0.75">
      <c r="A1748" s="1">
        <v>43247</v>
      </c>
      <c r="B1748">
        <v>67.36</v>
      </c>
      <c r="C1748">
        <v>67.44</v>
      </c>
      <c r="D1748">
        <v>67.48</v>
      </c>
      <c r="E1748">
        <v>67.02</v>
      </c>
      <c r="G1748" s="2">
        <v>-6.1999999999999998E-3</v>
      </c>
      <c r="H1748">
        <f t="shared" si="54"/>
        <v>-6.1965181469460272E-3</v>
      </c>
      <c r="I1748">
        <f t="shared" si="55"/>
        <v>-6.2157962448339838E-3</v>
      </c>
    </row>
    <row r="1749" spans="1:9" x14ac:dyDescent="0.75">
      <c r="A1749" s="1">
        <v>43245</v>
      </c>
      <c r="B1749">
        <v>67.78</v>
      </c>
      <c r="C1749">
        <v>70.53</v>
      </c>
      <c r="D1749">
        <v>70.67</v>
      </c>
      <c r="E1749">
        <v>67.33</v>
      </c>
      <c r="F1749" t="s">
        <v>1638</v>
      </c>
      <c r="G1749" s="2">
        <v>-3.9699999999999999E-2</v>
      </c>
      <c r="H1749">
        <f t="shared" si="54"/>
        <v>-3.9671294984414809E-2</v>
      </c>
      <c r="I1749">
        <f t="shared" si="55"/>
        <v>-4.0479652068218679E-2</v>
      </c>
    </row>
    <row r="1750" spans="1:9" x14ac:dyDescent="0.75">
      <c r="A1750" s="1">
        <v>43244</v>
      </c>
      <c r="B1750">
        <v>70.58</v>
      </c>
      <c r="C1750">
        <v>71.760000000000005</v>
      </c>
      <c r="D1750">
        <v>71.849999999999994</v>
      </c>
      <c r="E1750">
        <v>70.400000000000006</v>
      </c>
      <c r="F1750" t="s">
        <v>1639</v>
      </c>
      <c r="G1750" s="2">
        <v>-1.5800000000000002E-2</v>
      </c>
      <c r="H1750">
        <f t="shared" si="54"/>
        <v>-1.5757913819550908E-2</v>
      </c>
      <c r="I1750">
        <f t="shared" si="55"/>
        <v>-1.5883389647359466E-2</v>
      </c>
    </row>
    <row r="1751" spans="1:9" x14ac:dyDescent="0.75">
      <c r="A1751" s="1">
        <v>43243</v>
      </c>
      <c r="B1751">
        <v>71.709999999999994</v>
      </c>
      <c r="C1751">
        <v>71.930000000000007</v>
      </c>
      <c r="D1751">
        <v>72.05</v>
      </c>
      <c r="E1751">
        <v>70.989999999999995</v>
      </c>
      <c r="F1751" t="s">
        <v>1640</v>
      </c>
      <c r="G1751" s="2">
        <v>-6.7999999999999996E-3</v>
      </c>
      <c r="H1751">
        <f t="shared" si="54"/>
        <v>-6.7867036011081587E-3</v>
      </c>
      <c r="I1751">
        <f t="shared" si="55"/>
        <v>-6.8098380042971212E-3</v>
      </c>
    </row>
    <row r="1752" spans="1:9" x14ac:dyDescent="0.75">
      <c r="A1752" s="1">
        <v>43242</v>
      </c>
      <c r="B1752">
        <v>72.2</v>
      </c>
      <c r="C1752">
        <v>72.62</v>
      </c>
      <c r="D1752">
        <v>72.900000000000006</v>
      </c>
      <c r="E1752">
        <v>71.819999999999993</v>
      </c>
      <c r="F1752" t="s">
        <v>1641</v>
      </c>
      <c r="G1752" s="2">
        <v>-2.0999999999999999E-3</v>
      </c>
      <c r="H1752">
        <f t="shared" si="54"/>
        <v>-2.0732550103661576E-3</v>
      </c>
      <c r="I1752">
        <f t="shared" si="55"/>
        <v>-2.0754071787121957E-3</v>
      </c>
    </row>
    <row r="1753" spans="1:9" x14ac:dyDescent="0.75">
      <c r="A1753" s="1">
        <v>43241</v>
      </c>
      <c r="B1753">
        <v>72.349999999999994</v>
      </c>
      <c r="C1753">
        <v>71.5</v>
      </c>
      <c r="D1753">
        <v>72.680000000000007</v>
      </c>
      <c r="E1753">
        <v>71.319999999999993</v>
      </c>
      <c r="F1753" t="s">
        <v>1642</v>
      </c>
      <c r="G1753" s="2">
        <v>1.37E-2</v>
      </c>
      <c r="H1753">
        <f t="shared" si="54"/>
        <v>1.3731259632898833E-2</v>
      </c>
      <c r="I1753">
        <f t="shared" si="55"/>
        <v>1.3637840094516789E-2</v>
      </c>
    </row>
    <row r="1754" spans="1:9" x14ac:dyDescent="0.75">
      <c r="A1754" s="1">
        <v>43238</v>
      </c>
      <c r="B1754">
        <v>71.37</v>
      </c>
      <c r="C1754">
        <v>71.64</v>
      </c>
      <c r="D1754">
        <v>71.86</v>
      </c>
      <c r="E1754">
        <v>71.09</v>
      </c>
      <c r="F1754" t="s">
        <v>1643</v>
      </c>
      <c r="G1754" s="2">
        <v>-2.8E-3</v>
      </c>
      <c r="H1754">
        <f t="shared" si="54"/>
        <v>-2.7944669554280936E-3</v>
      </c>
      <c r="I1754">
        <f t="shared" si="55"/>
        <v>-2.7983787675299431E-3</v>
      </c>
    </row>
    <row r="1755" spans="1:9" x14ac:dyDescent="0.75">
      <c r="A1755" s="1">
        <v>43237</v>
      </c>
      <c r="B1755">
        <v>71.569999999999993</v>
      </c>
      <c r="C1755">
        <v>71.62</v>
      </c>
      <c r="D1755">
        <v>72.37</v>
      </c>
      <c r="E1755">
        <v>71.22</v>
      </c>
      <c r="F1755" t="s">
        <v>1644</v>
      </c>
      <c r="G1755" s="2">
        <v>1E-4</v>
      </c>
      <c r="H1755">
        <f t="shared" si="54"/>
        <v>1.3974287311334412E-4</v>
      </c>
      <c r="I1755">
        <f t="shared" si="55"/>
        <v>1.3973310998760557E-4</v>
      </c>
    </row>
    <row r="1756" spans="1:9" x14ac:dyDescent="0.75">
      <c r="A1756" s="1">
        <v>43236</v>
      </c>
      <c r="B1756">
        <v>71.56</v>
      </c>
      <c r="C1756">
        <v>71.14</v>
      </c>
      <c r="D1756">
        <v>71.67</v>
      </c>
      <c r="E1756">
        <v>70.75</v>
      </c>
      <c r="F1756" t="s">
        <v>1645</v>
      </c>
      <c r="G1756" s="2">
        <v>2.7000000000000001E-3</v>
      </c>
      <c r="H1756">
        <f t="shared" si="54"/>
        <v>2.6621829900518104E-3</v>
      </c>
      <c r="I1756">
        <f t="shared" si="55"/>
        <v>2.6586456575422891E-3</v>
      </c>
    </row>
    <row r="1757" spans="1:9" x14ac:dyDescent="0.75">
      <c r="A1757" s="1">
        <v>43235</v>
      </c>
      <c r="B1757">
        <v>71.37</v>
      </c>
      <c r="C1757">
        <v>71.22</v>
      </c>
      <c r="D1757">
        <v>71.95</v>
      </c>
      <c r="E1757">
        <v>70.48</v>
      </c>
      <c r="F1757" t="s">
        <v>1646</v>
      </c>
      <c r="G1757" s="2">
        <v>5.4000000000000003E-3</v>
      </c>
      <c r="H1757">
        <f t="shared" si="54"/>
        <v>5.3528666009298453E-3</v>
      </c>
      <c r="I1757">
        <f t="shared" si="55"/>
        <v>5.3385909316816926E-3</v>
      </c>
    </row>
    <row r="1758" spans="1:9" x14ac:dyDescent="0.75">
      <c r="A1758" s="1">
        <v>43234</v>
      </c>
      <c r="B1758">
        <v>70.989999999999995</v>
      </c>
      <c r="C1758">
        <v>70.5</v>
      </c>
      <c r="D1758">
        <v>71.239999999999995</v>
      </c>
      <c r="E1758">
        <v>70.239999999999995</v>
      </c>
      <c r="F1758" t="s">
        <v>1647</v>
      </c>
      <c r="G1758" s="2">
        <v>4.4000000000000003E-3</v>
      </c>
      <c r="H1758">
        <f t="shared" si="54"/>
        <v>4.3859649122805324E-3</v>
      </c>
      <c r="I1758">
        <f t="shared" si="55"/>
        <v>4.3763745997987815E-3</v>
      </c>
    </row>
    <row r="1759" spans="1:9" x14ac:dyDescent="0.75">
      <c r="A1759" s="1">
        <v>43231</v>
      </c>
      <c r="B1759">
        <v>70.680000000000007</v>
      </c>
      <c r="C1759">
        <v>71.39</v>
      </c>
      <c r="D1759">
        <v>71.56</v>
      </c>
      <c r="E1759">
        <v>70.44</v>
      </c>
      <c r="F1759" t="s">
        <v>1648</v>
      </c>
      <c r="G1759" s="2">
        <v>-8.8000000000000005E-3</v>
      </c>
      <c r="H1759">
        <f t="shared" si="54"/>
        <v>-8.8346655448043113E-3</v>
      </c>
      <c r="I1759">
        <f t="shared" si="55"/>
        <v>-8.8739225887164985E-3</v>
      </c>
    </row>
    <row r="1760" spans="1:9" x14ac:dyDescent="0.75">
      <c r="A1760" s="1">
        <v>43230</v>
      </c>
      <c r="B1760">
        <v>71.31</v>
      </c>
      <c r="C1760">
        <v>71.150000000000006</v>
      </c>
      <c r="D1760">
        <v>71.8</v>
      </c>
      <c r="E1760">
        <v>70.5</v>
      </c>
      <c r="F1760" t="s">
        <v>1649</v>
      </c>
      <c r="G1760" s="2">
        <v>3.7000000000000002E-3</v>
      </c>
      <c r="H1760">
        <f t="shared" si="54"/>
        <v>3.6593947923997906E-3</v>
      </c>
      <c r="I1760">
        <f t="shared" si="55"/>
        <v>3.6527154971026238E-3</v>
      </c>
    </row>
    <row r="1761" spans="1:9" x14ac:dyDescent="0.75">
      <c r="A1761" s="1">
        <v>43229</v>
      </c>
      <c r="B1761">
        <v>71.05</v>
      </c>
      <c r="C1761">
        <v>69.97</v>
      </c>
      <c r="D1761">
        <v>71.28</v>
      </c>
      <c r="E1761">
        <v>69.790000000000006</v>
      </c>
      <c r="F1761" t="s">
        <v>1650</v>
      </c>
      <c r="G1761" s="2">
        <v>3.0200000000000001E-2</v>
      </c>
      <c r="H1761">
        <f t="shared" si="54"/>
        <v>3.0158039727417693E-2</v>
      </c>
      <c r="I1761">
        <f t="shared" si="55"/>
        <v>2.9712227099909762E-2</v>
      </c>
    </row>
    <row r="1762" spans="1:9" x14ac:dyDescent="0.75">
      <c r="A1762" s="1">
        <v>43228</v>
      </c>
      <c r="B1762">
        <v>68.97</v>
      </c>
      <c r="C1762">
        <v>69.930000000000007</v>
      </c>
      <c r="D1762">
        <v>70.3</v>
      </c>
      <c r="E1762">
        <v>67.569999999999993</v>
      </c>
      <c r="F1762" t="s">
        <v>1651</v>
      </c>
      <c r="G1762" s="2">
        <v>-2.3400000000000001E-2</v>
      </c>
      <c r="H1762">
        <f t="shared" si="54"/>
        <v>-2.336448598130849E-2</v>
      </c>
      <c r="I1762">
        <f t="shared" si="55"/>
        <v>-2.3641763057040539E-2</v>
      </c>
    </row>
    <row r="1763" spans="1:9" x14ac:dyDescent="0.75">
      <c r="A1763" s="1">
        <v>43227</v>
      </c>
      <c r="B1763">
        <v>70.62</v>
      </c>
      <c r="C1763">
        <v>69.69</v>
      </c>
      <c r="D1763">
        <v>70.73</v>
      </c>
      <c r="E1763">
        <v>69.42</v>
      </c>
      <c r="F1763" t="s">
        <v>1652</v>
      </c>
      <c r="G1763" s="2">
        <v>1.49E-2</v>
      </c>
      <c r="H1763">
        <f t="shared" si="54"/>
        <v>1.4946823799942603E-2</v>
      </c>
      <c r="I1763">
        <f t="shared" si="55"/>
        <v>1.4836220776444474E-2</v>
      </c>
    </row>
    <row r="1764" spans="1:9" x14ac:dyDescent="0.75">
      <c r="A1764" s="1">
        <v>43224</v>
      </c>
      <c r="B1764">
        <v>69.58</v>
      </c>
      <c r="C1764">
        <v>68.31</v>
      </c>
      <c r="D1764">
        <v>69.819999999999993</v>
      </c>
      <c r="E1764">
        <v>67.97</v>
      </c>
      <c r="F1764" t="s">
        <v>1653</v>
      </c>
      <c r="G1764" s="2">
        <v>1.9300000000000001E-2</v>
      </c>
      <c r="H1764">
        <f t="shared" si="54"/>
        <v>1.9337825959566263E-2</v>
      </c>
      <c r="I1764">
        <f t="shared" si="55"/>
        <v>1.9153226245234863E-2</v>
      </c>
    </row>
    <row r="1765" spans="1:9" x14ac:dyDescent="0.75">
      <c r="A1765" s="1">
        <v>43223</v>
      </c>
      <c r="B1765">
        <v>68.260000000000005</v>
      </c>
      <c r="C1765">
        <v>67.569999999999993</v>
      </c>
      <c r="D1765">
        <v>68.430000000000007</v>
      </c>
      <c r="E1765">
        <v>67.099999999999994</v>
      </c>
      <c r="F1765" t="s">
        <v>1654</v>
      </c>
      <c r="G1765" s="2">
        <v>7.1999999999999998E-3</v>
      </c>
      <c r="H1765">
        <f t="shared" si="54"/>
        <v>7.230337907628879E-3</v>
      </c>
      <c r="I1765">
        <f t="shared" si="55"/>
        <v>7.2043243305394819E-3</v>
      </c>
    </row>
    <row r="1766" spans="1:9" x14ac:dyDescent="0.75">
      <c r="A1766" s="1">
        <v>43222</v>
      </c>
      <c r="B1766">
        <v>67.77</v>
      </c>
      <c r="C1766">
        <v>67.34</v>
      </c>
      <c r="D1766">
        <v>67.959999999999994</v>
      </c>
      <c r="E1766">
        <v>66.8</v>
      </c>
      <c r="F1766" t="s">
        <v>1655</v>
      </c>
      <c r="G1766" s="2">
        <v>9.4999999999999998E-3</v>
      </c>
      <c r="H1766">
        <f t="shared" si="54"/>
        <v>9.5337405035006793E-3</v>
      </c>
      <c r="I1766">
        <f t="shared" si="55"/>
        <v>9.4885811973615172E-3</v>
      </c>
    </row>
    <row r="1767" spans="1:9" x14ac:dyDescent="0.75">
      <c r="A1767" s="1">
        <v>43221</v>
      </c>
      <c r="B1767">
        <v>67.13</v>
      </c>
      <c r="C1767">
        <v>68.510000000000005</v>
      </c>
      <c r="D1767">
        <v>68.78</v>
      </c>
      <c r="E1767">
        <v>66.77</v>
      </c>
      <c r="F1767" t="s">
        <v>722</v>
      </c>
      <c r="G1767" s="2">
        <v>-1.9699999999999999E-2</v>
      </c>
      <c r="H1767">
        <f t="shared" si="54"/>
        <v>-1.9713785046729094E-2</v>
      </c>
      <c r="I1767">
        <f t="shared" si="55"/>
        <v>-1.9910693882826583E-2</v>
      </c>
    </row>
    <row r="1768" spans="1:9" x14ac:dyDescent="0.75">
      <c r="A1768" s="1">
        <v>43220</v>
      </c>
      <c r="B1768">
        <v>68.48</v>
      </c>
      <c r="C1768">
        <v>68.040000000000006</v>
      </c>
      <c r="D1768">
        <v>69.25</v>
      </c>
      <c r="E1768">
        <v>67.09</v>
      </c>
      <c r="F1768" t="s">
        <v>1656</v>
      </c>
      <c r="G1768" s="2">
        <v>7.4000000000000003E-3</v>
      </c>
      <c r="H1768">
        <f t="shared" si="54"/>
        <v>7.3551044424830826E-3</v>
      </c>
      <c r="I1768">
        <f t="shared" si="55"/>
        <v>7.3281875655167375E-3</v>
      </c>
    </row>
    <row r="1769" spans="1:9" x14ac:dyDescent="0.75">
      <c r="A1769" s="1">
        <v>43217</v>
      </c>
      <c r="B1769">
        <v>67.98</v>
      </c>
      <c r="C1769">
        <v>68.08</v>
      </c>
      <c r="D1769">
        <v>68.239999999999995</v>
      </c>
      <c r="E1769">
        <v>67.53</v>
      </c>
      <c r="F1769" t="s">
        <v>1657</v>
      </c>
      <c r="G1769" s="2">
        <v>-1.5E-3</v>
      </c>
      <c r="H1769">
        <f t="shared" si="54"/>
        <v>-1.4688601645122549E-3</v>
      </c>
      <c r="I1769">
        <f t="shared" si="55"/>
        <v>-1.4699399971487182E-3</v>
      </c>
    </row>
    <row r="1770" spans="1:9" x14ac:dyDescent="0.75">
      <c r="A1770" s="1">
        <v>43216</v>
      </c>
      <c r="B1770">
        <v>68.08</v>
      </c>
      <c r="C1770">
        <v>67.89</v>
      </c>
      <c r="D1770">
        <v>68.66</v>
      </c>
      <c r="E1770">
        <v>67.64</v>
      </c>
      <c r="F1770" t="s">
        <v>1658</v>
      </c>
      <c r="G1770" s="2">
        <v>2.3999999999999998E-3</v>
      </c>
      <c r="H1770">
        <f t="shared" si="54"/>
        <v>2.3557126030623759E-3</v>
      </c>
      <c r="I1770">
        <f t="shared" si="55"/>
        <v>2.3529422620268358E-3</v>
      </c>
    </row>
    <row r="1771" spans="1:9" x14ac:dyDescent="0.75">
      <c r="A1771" s="1">
        <v>43215</v>
      </c>
      <c r="B1771">
        <v>67.92</v>
      </c>
      <c r="C1771">
        <v>67.64</v>
      </c>
      <c r="D1771">
        <v>68.03</v>
      </c>
      <c r="E1771">
        <v>66.97</v>
      </c>
      <c r="F1771" t="s">
        <v>1659</v>
      </c>
      <c r="G1771" s="2">
        <v>5.1999999999999998E-3</v>
      </c>
      <c r="H1771">
        <f t="shared" si="54"/>
        <v>5.1798135267131654E-3</v>
      </c>
      <c r="I1771">
        <f t="shared" si="55"/>
        <v>5.1664444390087634E-3</v>
      </c>
    </row>
    <row r="1772" spans="1:9" x14ac:dyDescent="0.75">
      <c r="A1772" s="1">
        <v>43214</v>
      </c>
      <c r="B1772">
        <v>67.569999999999993</v>
      </c>
      <c r="C1772">
        <v>68.78</v>
      </c>
      <c r="D1772">
        <v>69.19</v>
      </c>
      <c r="E1772">
        <v>67.38</v>
      </c>
      <c r="F1772" t="s">
        <v>486</v>
      </c>
      <c r="G1772" s="2">
        <v>-1.3100000000000001E-2</v>
      </c>
      <c r="H1772">
        <f t="shared" si="54"/>
        <v>-1.3144442821673808E-2</v>
      </c>
      <c r="I1772">
        <f t="shared" si="55"/>
        <v>-1.3231595568888413E-2</v>
      </c>
    </row>
    <row r="1773" spans="1:9" x14ac:dyDescent="0.75">
      <c r="A1773" s="1">
        <v>43213</v>
      </c>
      <c r="B1773">
        <v>68.47</v>
      </c>
      <c r="C1773">
        <v>68.05</v>
      </c>
      <c r="D1773">
        <v>68.849999999999994</v>
      </c>
      <c r="E1773">
        <v>67.02</v>
      </c>
      <c r="F1773" t="s">
        <v>1660</v>
      </c>
      <c r="G1773" s="2">
        <v>1E-3</v>
      </c>
      <c r="H1773">
        <f t="shared" si="54"/>
        <v>1.0233918128653972E-3</v>
      </c>
      <c r="I1773">
        <f t="shared" si="55"/>
        <v>1.0228685044667502E-3</v>
      </c>
    </row>
    <row r="1774" spans="1:9" x14ac:dyDescent="0.75">
      <c r="A1774" s="1">
        <v>43210</v>
      </c>
      <c r="B1774">
        <v>68.400000000000006</v>
      </c>
      <c r="C1774">
        <v>68.22</v>
      </c>
      <c r="D1774">
        <v>68.66</v>
      </c>
      <c r="E1774">
        <v>67.489999999999995</v>
      </c>
      <c r="F1774" t="s">
        <v>1661</v>
      </c>
      <c r="G1774" s="2">
        <v>1E-3</v>
      </c>
      <c r="H1774">
        <f t="shared" si="54"/>
        <v>1.0244402165960397E-3</v>
      </c>
      <c r="I1774">
        <f t="shared" si="55"/>
        <v>1.0239158358179041E-3</v>
      </c>
    </row>
    <row r="1775" spans="1:9" x14ac:dyDescent="0.75">
      <c r="A1775" s="1">
        <v>43209</v>
      </c>
      <c r="B1775">
        <v>68.33</v>
      </c>
      <c r="C1775">
        <v>68.73</v>
      </c>
      <c r="D1775">
        <v>69.55</v>
      </c>
      <c r="E1775">
        <v>68</v>
      </c>
      <c r="F1775" t="s">
        <v>1662</v>
      </c>
      <c r="G1775" s="2">
        <v>-2E-3</v>
      </c>
      <c r="H1775">
        <f t="shared" si="54"/>
        <v>-2.0446911055936991E-3</v>
      </c>
      <c r="I1775">
        <f t="shared" si="55"/>
        <v>-2.0467843402846193E-3</v>
      </c>
    </row>
    <row r="1776" spans="1:9" x14ac:dyDescent="0.75">
      <c r="A1776" s="1">
        <v>43208</v>
      </c>
      <c r="B1776">
        <v>68.47</v>
      </c>
      <c r="C1776">
        <v>66.69</v>
      </c>
      <c r="D1776">
        <v>68.900000000000006</v>
      </c>
      <c r="E1776">
        <v>66.540000000000006</v>
      </c>
      <c r="F1776" t="s">
        <v>1663</v>
      </c>
      <c r="G1776" s="2">
        <v>2.9499999999999998E-2</v>
      </c>
      <c r="H1776">
        <f t="shared" si="54"/>
        <v>2.9469252743948182E-2</v>
      </c>
      <c r="I1776">
        <f t="shared" si="55"/>
        <v>2.9043380836641659E-2</v>
      </c>
    </row>
    <row r="1777" spans="1:9" x14ac:dyDescent="0.75">
      <c r="A1777" s="1">
        <v>43207</v>
      </c>
      <c r="B1777">
        <v>66.510000000000005</v>
      </c>
      <c r="C1777">
        <v>66.400000000000006</v>
      </c>
      <c r="D1777">
        <v>66.72</v>
      </c>
      <c r="E1777">
        <v>65.59</v>
      </c>
      <c r="F1777" t="s">
        <v>1664</v>
      </c>
      <c r="G1777" s="2">
        <v>4.7000000000000002E-3</v>
      </c>
      <c r="H1777">
        <f t="shared" si="54"/>
        <v>4.6827794561933875E-3</v>
      </c>
      <c r="I1777">
        <f t="shared" si="55"/>
        <v>4.6718493533673506E-3</v>
      </c>
    </row>
    <row r="1778" spans="1:9" x14ac:dyDescent="0.75">
      <c r="A1778" s="1">
        <v>43206</v>
      </c>
      <c r="B1778">
        <v>66.2</v>
      </c>
      <c r="C1778">
        <v>67.290000000000006</v>
      </c>
      <c r="D1778">
        <v>67.680000000000007</v>
      </c>
      <c r="E1778">
        <v>66.09</v>
      </c>
      <c r="F1778" t="s">
        <v>1665</v>
      </c>
      <c r="G1778" s="2">
        <v>-1.6799999999999999E-2</v>
      </c>
      <c r="H1778">
        <f t="shared" si="54"/>
        <v>-1.678300905985438E-2</v>
      </c>
      <c r="I1778">
        <f t="shared" si="55"/>
        <v>-1.6925439614226954E-2</v>
      </c>
    </row>
    <row r="1779" spans="1:9" x14ac:dyDescent="0.75">
      <c r="A1779" s="1">
        <v>43203</v>
      </c>
      <c r="B1779">
        <v>67.33</v>
      </c>
      <c r="C1779">
        <v>67.11</v>
      </c>
      <c r="D1779">
        <v>67.63</v>
      </c>
      <c r="E1779">
        <v>66.59</v>
      </c>
      <c r="F1779" t="s">
        <v>1666</v>
      </c>
      <c r="G1779" s="2">
        <v>5.7000000000000002E-3</v>
      </c>
      <c r="H1779">
        <f t="shared" si="54"/>
        <v>5.6758775205376462E-3</v>
      </c>
      <c r="I1779">
        <f t="shared" si="55"/>
        <v>5.6598304200079514E-3</v>
      </c>
    </row>
    <row r="1780" spans="1:9" x14ac:dyDescent="0.75">
      <c r="A1780" s="1">
        <v>43202</v>
      </c>
      <c r="B1780">
        <v>66.95</v>
      </c>
      <c r="C1780">
        <v>66.69</v>
      </c>
      <c r="D1780">
        <v>67.22</v>
      </c>
      <c r="E1780">
        <v>65.94</v>
      </c>
      <c r="F1780" t="s">
        <v>1667</v>
      </c>
      <c r="G1780" s="2">
        <v>3.0999999999999999E-3</v>
      </c>
      <c r="H1780">
        <f t="shared" si="54"/>
        <v>3.1465388073120765E-3</v>
      </c>
      <c r="I1780">
        <f t="shared" si="55"/>
        <v>3.1415988139535784E-3</v>
      </c>
    </row>
    <row r="1781" spans="1:9" x14ac:dyDescent="0.75">
      <c r="A1781" s="1">
        <v>43201</v>
      </c>
      <c r="B1781">
        <v>66.739999999999995</v>
      </c>
      <c r="C1781">
        <v>65.42</v>
      </c>
      <c r="D1781">
        <v>67.38</v>
      </c>
      <c r="E1781">
        <v>65.09</v>
      </c>
      <c r="F1781" t="s">
        <v>1668</v>
      </c>
      <c r="G1781" s="2">
        <v>1.9900000000000001E-2</v>
      </c>
      <c r="H1781">
        <f t="shared" si="54"/>
        <v>1.9865525672371594E-2</v>
      </c>
      <c r="I1781">
        <f t="shared" si="55"/>
        <v>1.9670781028736348E-2</v>
      </c>
    </row>
    <row r="1782" spans="1:9" x14ac:dyDescent="0.75">
      <c r="A1782" s="1">
        <v>43200</v>
      </c>
      <c r="B1782">
        <v>65.44</v>
      </c>
      <c r="C1782">
        <v>63.31</v>
      </c>
      <c r="D1782">
        <v>65.77</v>
      </c>
      <c r="E1782">
        <v>63.18</v>
      </c>
      <c r="F1782" t="s">
        <v>1669</v>
      </c>
      <c r="G1782" s="2">
        <v>3.1699999999999999E-2</v>
      </c>
      <c r="H1782">
        <f t="shared" si="54"/>
        <v>3.1688475484786351E-2</v>
      </c>
      <c r="I1782">
        <f t="shared" si="55"/>
        <v>3.1196756648685837E-2</v>
      </c>
    </row>
    <row r="1783" spans="1:9" x14ac:dyDescent="0.75">
      <c r="A1783" s="1">
        <v>43199</v>
      </c>
      <c r="B1783">
        <v>63.43</v>
      </c>
      <c r="C1783">
        <v>62.03</v>
      </c>
      <c r="D1783">
        <v>63.62</v>
      </c>
      <c r="E1783">
        <v>62.01</v>
      </c>
      <c r="F1783" t="s">
        <v>1670</v>
      </c>
      <c r="G1783" s="2">
        <v>2.1399999999999999E-2</v>
      </c>
      <c r="H1783">
        <f t="shared" si="54"/>
        <v>2.1417069243156173E-2</v>
      </c>
      <c r="I1783">
        <f t="shared" si="55"/>
        <v>2.1190946706372608E-2</v>
      </c>
    </row>
    <row r="1784" spans="1:9" x14ac:dyDescent="0.75">
      <c r="A1784" s="1">
        <v>43196</v>
      </c>
      <c r="B1784">
        <v>62.1</v>
      </c>
      <c r="C1784">
        <v>63.77</v>
      </c>
      <c r="D1784">
        <v>63.77</v>
      </c>
      <c r="E1784">
        <v>61.86</v>
      </c>
      <c r="F1784" t="s">
        <v>1671</v>
      </c>
      <c r="G1784" s="2">
        <v>-2.2700000000000001E-2</v>
      </c>
      <c r="H1784">
        <f t="shared" si="54"/>
        <v>-2.2662889518413561E-2</v>
      </c>
      <c r="I1784">
        <f t="shared" si="55"/>
        <v>-2.2923639901936965E-2</v>
      </c>
    </row>
    <row r="1785" spans="1:9" x14ac:dyDescent="0.75">
      <c r="A1785" s="1">
        <v>43195</v>
      </c>
      <c r="B1785">
        <v>63.54</v>
      </c>
      <c r="C1785">
        <v>63.63</v>
      </c>
      <c r="D1785">
        <v>64.099999999999994</v>
      </c>
      <c r="E1785">
        <v>63.06</v>
      </c>
      <c r="F1785" t="s">
        <v>1672</v>
      </c>
      <c r="G1785" s="2">
        <v>3.3E-3</v>
      </c>
      <c r="H1785">
        <f t="shared" si="54"/>
        <v>3.315963998105177E-3</v>
      </c>
      <c r="I1785">
        <f t="shared" si="55"/>
        <v>3.3104783130310711E-3</v>
      </c>
    </row>
    <row r="1786" spans="1:9" x14ac:dyDescent="0.75">
      <c r="A1786" s="1">
        <v>43194</v>
      </c>
      <c r="B1786">
        <v>63.33</v>
      </c>
      <c r="C1786">
        <v>63.53</v>
      </c>
      <c r="D1786">
        <v>63.61</v>
      </c>
      <c r="E1786">
        <v>62.06</v>
      </c>
      <c r="F1786" t="s">
        <v>1673</v>
      </c>
      <c r="G1786" s="2">
        <v>-2E-3</v>
      </c>
      <c r="H1786">
        <f t="shared" si="54"/>
        <v>-2.0485345099275536E-3</v>
      </c>
      <c r="I1786">
        <f t="shared" si="55"/>
        <v>-2.0506356267106533E-3</v>
      </c>
    </row>
    <row r="1787" spans="1:9" x14ac:dyDescent="0.75">
      <c r="A1787" s="1">
        <v>43193</v>
      </c>
      <c r="B1787">
        <v>63.46</v>
      </c>
      <c r="C1787">
        <v>62.82</v>
      </c>
      <c r="D1787">
        <v>63.8</v>
      </c>
      <c r="E1787">
        <v>62.82</v>
      </c>
      <c r="F1787" t="s">
        <v>1674</v>
      </c>
      <c r="G1787" s="2">
        <v>7.4999999999999997E-3</v>
      </c>
      <c r="H1787">
        <f t="shared" si="54"/>
        <v>7.4615018256865987E-3</v>
      </c>
      <c r="I1787">
        <f t="shared" si="55"/>
        <v>7.4338025212117506E-3</v>
      </c>
    </row>
    <row r="1788" spans="1:9" x14ac:dyDescent="0.75">
      <c r="A1788" s="1">
        <v>43192</v>
      </c>
      <c r="B1788">
        <v>62.99</v>
      </c>
      <c r="C1788">
        <v>64.84</v>
      </c>
      <c r="D1788">
        <v>65.349999999999994</v>
      </c>
      <c r="E1788">
        <v>62.8</v>
      </c>
      <c r="F1788" t="s">
        <v>1675</v>
      </c>
      <c r="G1788" s="2">
        <v>-2.9000000000000001E-2</v>
      </c>
      <c r="H1788">
        <f t="shared" si="54"/>
        <v>-2.898103900107912E-2</v>
      </c>
      <c r="I1788">
        <f t="shared" si="55"/>
        <v>-2.9409283591126378E-2</v>
      </c>
    </row>
    <row r="1789" spans="1:9" x14ac:dyDescent="0.75">
      <c r="A1789" s="1">
        <v>43188</v>
      </c>
      <c r="B1789">
        <v>64.87</v>
      </c>
      <c r="C1789">
        <v>64.7</v>
      </c>
      <c r="D1789">
        <v>65.19</v>
      </c>
      <c r="E1789">
        <v>64.12</v>
      </c>
      <c r="F1789" t="s">
        <v>1676</v>
      </c>
      <c r="G1789" s="2">
        <v>8.0999999999999996E-3</v>
      </c>
      <c r="H1789">
        <f t="shared" si="54"/>
        <v>8.0808080808082404E-3</v>
      </c>
      <c r="I1789">
        <f t="shared" si="55"/>
        <v>8.0483331828284151E-3</v>
      </c>
    </row>
    <row r="1790" spans="1:9" x14ac:dyDescent="0.75">
      <c r="A1790" s="1">
        <v>43187</v>
      </c>
      <c r="B1790">
        <v>64.349999999999994</v>
      </c>
      <c r="C1790">
        <v>64.650000000000006</v>
      </c>
      <c r="D1790">
        <v>65.08</v>
      </c>
      <c r="E1790">
        <v>63.68</v>
      </c>
      <c r="F1790" t="s">
        <v>1677</v>
      </c>
      <c r="G1790" s="2">
        <v>-1.2699999999999999E-2</v>
      </c>
      <c r="H1790">
        <f t="shared" si="54"/>
        <v>-1.2733967474685677E-2</v>
      </c>
      <c r="I1790">
        <f t="shared" si="55"/>
        <v>-1.2815739367280022E-2</v>
      </c>
    </row>
    <row r="1791" spans="1:9" x14ac:dyDescent="0.75">
      <c r="A1791" s="1">
        <v>43186</v>
      </c>
      <c r="B1791">
        <v>65.180000000000007</v>
      </c>
      <c r="C1791">
        <v>65.41</v>
      </c>
      <c r="D1791">
        <v>66.27</v>
      </c>
      <c r="E1791">
        <v>64.489999999999995</v>
      </c>
      <c r="F1791" t="s">
        <v>581</v>
      </c>
      <c r="G1791" s="2">
        <v>-3.5000000000000001E-3</v>
      </c>
      <c r="H1791">
        <f t="shared" si="54"/>
        <v>-3.5162819140802594E-3</v>
      </c>
      <c r="I1791">
        <f t="shared" si="55"/>
        <v>-3.5224785637057395E-3</v>
      </c>
    </row>
    <row r="1792" spans="1:9" x14ac:dyDescent="0.75">
      <c r="A1792" s="1">
        <v>43185</v>
      </c>
      <c r="B1792">
        <v>65.41</v>
      </c>
      <c r="C1792">
        <v>65.81</v>
      </c>
      <c r="D1792">
        <v>66.37</v>
      </c>
      <c r="E1792">
        <v>64.94</v>
      </c>
      <c r="F1792" t="s">
        <v>647</v>
      </c>
      <c r="G1792" s="2">
        <v>-4.5999999999999999E-3</v>
      </c>
      <c r="H1792">
        <f t="shared" si="54"/>
        <v>-4.5655151422918459E-3</v>
      </c>
      <c r="I1792">
        <f t="shared" si="55"/>
        <v>-4.5759689366551021E-3</v>
      </c>
    </row>
    <row r="1793" spans="1:9" x14ac:dyDescent="0.75">
      <c r="A1793" s="1">
        <v>43182</v>
      </c>
      <c r="B1793">
        <v>65.709999999999994</v>
      </c>
      <c r="C1793">
        <v>64.2</v>
      </c>
      <c r="D1793">
        <v>65.819999999999993</v>
      </c>
      <c r="E1793">
        <v>63.98</v>
      </c>
      <c r="F1793" t="s">
        <v>1678</v>
      </c>
      <c r="G1793" s="2">
        <v>2.3800000000000002E-2</v>
      </c>
      <c r="H1793">
        <f t="shared" si="54"/>
        <v>2.3839202243689416E-2</v>
      </c>
      <c r="I1793">
        <f t="shared" si="55"/>
        <v>2.3559485228065585E-2</v>
      </c>
    </row>
    <row r="1794" spans="1:9" x14ac:dyDescent="0.75">
      <c r="A1794" s="1">
        <v>43181</v>
      </c>
      <c r="B1794">
        <v>64.180000000000007</v>
      </c>
      <c r="C1794">
        <v>65.290000000000006</v>
      </c>
      <c r="D1794">
        <v>65.52</v>
      </c>
      <c r="E1794">
        <v>64</v>
      </c>
      <c r="F1794" t="s">
        <v>1679</v>
      </c>
      <c r="G1794" s="2">
        <v>-1.1900000000000001E-2</v>
      </c>
      <c r="H1794">
        <f t="shared" si="54"/>
        <v>-1.1855273287143895E-2</v>
      </c>
      <c r="I1794">
        <f t="shared" si="55"/>
        <v>-1.1926107434897639E-2</v>
      </c>
    </row>
    <row r="1795" spans="1:9" x14ac:dyDescent="0.75">
      <c r="A1795" s="1">
        <v>43180</v>
      </c>
      <c r="B1795">
        <v>64.95</v>
      </c>
      <c r="C1795">
        <v>63.53</v>
      </c>
      <c r="D1795">
        <v>65.349999999999994</v>
      </c>
      <c r="E1795">
        <v>63.35</v>
      </c>
      <c r="F1795" t="s">
        <v>1680</v>
      </c>
      <c r="G1795" s="2">
        <v>2.2200000000000001E-2</v>
      </c>
      <c r="H1795">
        <f t="shared" ref="H1795:H1858" si="56">(B1795-B1796)/B1796</f>
        <v>2.2190745986780041E-2</v>
      </c>
      <c r="I1795">
        <f t="shared" ref="I1795:I1858" si="57">LN(B1795/B1796)</f>
        <v>2.1948114275238528E-2</v>
      </c>
    </row>
    <row r="1796" spans="1:9" x14ac:dyDescent="0.75">
      <c r="A1796" s="1">
        <v>43179</v>
      </c>
      <c r="B1796">
        <v>63.54</v>
      </c>
      <c r="C1796">
        <v>62.2</v>
      </c>
      <c r="D1796">
        <v>63.98</v>
      </c>
      <c r="E1796">
        <v>62.13</v>
      </c>
      <c r="F1796" t="s">
        <v>1681</v>
      </c>
      <c r="G1796" s="2">
        <v>2.2700000000000001E-2</v>
      </c>
      <c r="H1796">
        <f t="shared" si="56"/>
        <v>2.2694350555287245E-2</v>
      </c>
      <c r="I1796">
        <f t="shared" si="57"/>
        <v>2.2440664765767542E-2</v>
      </c>
    </row>
    <row r="1797" spans="1:9" x14ac:dyDescent="0.75">
      <c r="A1797" s="1">
        <v>43178</v>
      </c>
      <c r="B1797">
        <v>62.13</v>
      </c>
      <c r="C1797">
        <v>62.3</v>
      </c>
      <c r="D1797">
        <v>62.44</v>
      </c>
      <c r="E1797">
        <v>61.45</v>
      </c>
      <c r="F1797" t="s">
        <v>1682</v>
      </c>
      <c r="G1797" s="2">
        <v>-4.4999999999999997E-3</v>
      </c>
      <c r="H1797">
        <f t="shared" si="56"/>
        <v>-4.4864605031244035E-3</v>
      </c>
      <c r="I1797">
        <f t="shared" si="57"/>
        <v>-4.4965548703490375E-3</v>
      </c>
    </row>
    <row r="1798" spans="1:9" x14ac:dyDescent="0.75">
      <c r="A1798" s="1">
        <v>43175</v>
      </c>
      <c r="B1798">
        <v>62.41</v>
      </c>
      <c r="C1798">
        <v>61.24</v>
      </c>
      <c r="D1798">
        <v>62.6</v>
      </c>
      <c r="E1798">
        <v>61.14</v>
      </c>
      <c r="F1798" t="s">
        <v>1683</v>
      </c>
      <c r="G1798" s="2">
        <v>1.89E-2</v>
      </c>
      <c r="H1798">
        <f t="shared" si="56"/>
        <v>1.8938775510204026E-2</v>
      </c>
      <c r="I1798">
        <f t="shared" si="57"/>
        <v>1.8761669521115128E-2</v>
      </c>
    </row>
    <row r="1799" spans="1:9" x14ac:dyDescent="0.75">
      <c r="A1799" s="1">
        <v>43174</v>
      </c>
      <c r="B1799">
        <v>61.25</v>
      </c>
      <c r="C1799">
        <v>61</v>
      </c>
      <c r="D1799">
        <v>61.6</v>
      </c>
      <c r="E1799">
        <v>60.86</v>
      </c>
      <c r="F1799" t="s">
        <v>341</v>
      </c>
      <c r="G1799" s="2">
        <v>3.8E-3</v>
      </c>
      <c r="H1799">
        <f t="shared" si="56"/>
        <v>3.7692559816453106E-3</v>
      </c>
      <c r="I1799">
        <f t="shared" si="57"/>
        <v>3.7621701363127671E-3</v>
      </c>
    </row>
    <row r="1800" spans="1:9" x14ac:dyDescent="0.75">
      <c r="A1800" s="1">
        <v>43173</v>
      </c>
      <c r="B1800">
        <v>61.02</v>
      </c>
      <c r="C1800">
        <v>60.88</v>
      </c>
      <c r="D1800">
        <v>61.34</v>
      </c>
      <c r="E1800">
        <v>60.18</v>
      </c>
      <c r="F1800" t="s">
        <v>1684</v>
      </c>
      <c r="G1800" s="2">
        <v>4.4000000000000003E-3</v>
      </c>
      <c r="H1800">
        <f t="shared" si="56"/>
        <v>4.4444444444444956E-3</v>
      </c>
      <c r="I1800">
        <f t="shared" si="57"/>
        <v>4.4345970678657748E-3</v>
      </c>
    </row>
    <row r="1801" spans="1:9" x14ac:dyDescent="0.75">
      <c r="A1801" s="1">
        <v>43172</v>
      </c>
      <c r="B1801">
        <v>60.75</v>
      </c>
      <c r="C1801">
        <v>61.33</v>
      </c>
      <c r="D1801">
        <v>61.97</v>
      </c>
      <c r="E1801">
        <v>60.29</v>
      </c>
      <c r="F1801" t="s">
        <v>1685</v>
      </c>
      <c r="G1801" s="2">
        <v>-9.4999999999999998E-3</v>
      </c>
      <c r="H1801">
        <f t="shared" si="56"/>
        <v>-9.4570357084623885E-3</v>
      </c>
      <c r="I1801">
        <f t="shared" si="57"/>
        <v>-9.5020374172344515E-3</v>
      </c>
    </row>
    <row r="1802" spans="1:9" x14ac:dyDescent="0.75">
      <c r="A1802" s="1">
        <v>43171</v>
      </c>
      <c r="B1802">
        <v>61.33</v>
      </c>
      <c r="C1802">
        <v>61.95</v>
      </c>
      <c r="D1802">
        <v>62.22</v>
      </c>
      <c r="E1802">
        <v>60.63</v>
      </c>
      <c r="F1802" t="s">
        <v>1686</v>
      </c>
      <c r="G1802" s="2">
        <v>-9.4999999999999998E-3</v>
      </c>
      <c r="H1802">
        <f t="shared" si="56"/>
        <v>-9.5284237726098748E-3</v>
      </c>
      <c r="I1802">
        <f t="shared" si="57"/>
        <v>-9.5741096435793711E-3</v>
      </c>
    </row>
    <row r="1803" spans="1:9" x14ac:dyDescent="0.75">
      <c r="A1803" s="1">
        <v>43168</v>
      </c>
      <c r="B1803">
        <v>61.92</v>
      </c>
      <c r="C1803">
        <v>60.26</v>
      </c>
      <c r="D1803">
        <v>62.04</v>
      </c>
      <c r="E1803">
        <v>60.08</v>
      </c>
      <c r="F1803" t="s">
        <v>1687</v>
      </c>
      <c r="G1803" s="2">
        <v>3.1E-2</v>
      </c>
      <c r="H1803">
        <f t="shared" si="56"/>
        <v>3.0969030969030958E-2</v>
      </c>
      <c r="I1803">
        <f t="shared" si="57"/>
        <v>3.049916672628741E-2</v>
      </c>
    </row>
    <row r="1804" spans="1:9" x14ac:dyDescent="0.75">
      <c r="A1804" s="1">
        <v>43167</v>
      </c>
      <c r="B1804">
        <v>60.06</v>
      </c>
      <c r="C1804">
        <v>61.22</v>
      </c>
      <c r="D1804">
        <v>61.25</v>
      </c>
      <c r="E1804">
        <v>59.91</v>
      </c>
      <c r="F1804" t="s">
        <v>1688</v>
      </c>
      <c r="G1804" s="2">
        <v>-1.5699999999999999E-2</v>
      </c>
      <c r="H1804">
        <f t="shared" si="56"/>
        <v>-1.5732546705998048E-2</v>
      </c>
      <c r="I1804">
        <f t="shared" si="57"/>
        <v>-1.5857616733339328E-2</v>
      </c>
    </row>
    <row r="1805" spans="1:9" x14ac:dyDescent="0.75">
      <c r="A1805" s="1">
        <v>43166</v>
      </c>
      <c r="B1805">
        <v>61.02</v>
      </c>
      <c r="C1805">
        <v>62.13</v>
      </c>
      <c r="D1805">
        <v>62.46</v>
      </c>
      <c r="E1805">
        <v>60.48</v>
      </c>
      <c r="F1805" t="s">
        <v>1689</v>
      </c>
      <c r="G1805" s="2">
        <v>-2.29E-2</v>
      </c>
      <c r="H1805">
        <f t="shared" si="56"/>
        <v>-2.2898318654923932E-2</v>
      </c>
      <c r="I1805">
        <f t="shared" si="57"/>
        <v>-2.3164557283063138E-2</v>
      </c>
    </row>
    <row r="1806" spans="1:9" x14ac:dyDescent="0.75">
      <c r="A1806" s="1">
        <v>43165</v>
      </c>
      <c r="B1806">
        <v>62.45</v>
      </c>
      <c r="C1806">
        <v>62.43</v>
      </c>
      <c r="D1806">
        <v>63.05</v>
      </c>
      <c r="E1806">
        <v>62.03</v>
      </c>
      <c r="F1806" t="s">
        <v>1690</v>
      </c>
      <c r="G1806" s="2">
        <v>1E-3</v>
      </c>
      <c r="H1806">
        <f t="shared" si="56"/>
        <v>9.6169257893896892E-4</v>
      </c>
      <c r="I1806">
        <f t="shared" si="57"/>
        <v>9.6123044889184295E-4</v>
      </c>
    </row>
    <row r="1807" spans="1:9" x14ac:dyDescent="0.75">
      <c r="A1807" s="1">
        <v>43164</v>
      </c>
      <c r="B1807">
        <v>62.39</v>
      </c>
      <c r="C1807">
        <v>61.37</v>
      </c>
      <c r="D1807">
        <v>62.61</v>
      </c>
      <c r="E1807">
        <v>60.94</v>
      </c>
      <c r="F1807" t="s">
        <v>1691</v>
      </c>
      <c r="G1807" s="2">
        <v>2.1299999999999999E-2</v>
      </c>
      <c r="H1807">
        <f t="shared" si="56"/>
        <v>2.1280078572597758E-2</v>
      </c>
      <c r="I1807">
        <f t="shared" si="57"/>
        <v>2.1056819461019328E-2</v>
      </c>
    </row>
    <row r="1808" spans="1:9" x14ac:dyDescent="0.75">
      <c r="A1808" s="1">
        <v>43161</v>
      </c>
      <c r="B1808">
        <v>61.09</v>
      </c>
      <c r="C1808">
        <v>61.2</v>
      </c>
      <c r="D1808">
        <v>61.41</v>
      </c>
      <c r="E1808">
        <v>59.99</v>
      </c>
      <c r="F1808" t="s">
        <v>1692</v>
      </c>
      <c r="G1808" s="2">
        <v>4.7999999999999996E-3</v>
      </c>
      <c r="H1808">
        <f t="shared" si="56"/>
        <v>4.7697368421053665E-3</v>
      </c>
      <c r="I1808">
        <f t="shared" si="57"/>
        <v>4.7583976895543443E-3</v>
      </c>
    </row>
    <row r="1809" spans="1:9" x14ac:dyDescent="0.75">
      <c r="A1809" s="1">
        <v>43160</v>
      </c>
      <c r="B1809">
        <v>60.8</v>
      </c>
      <c r="C1809">
        <v>61.39</v>
      </c>
      <c r="D1809">
        <v>61.64</v>
      </c>
      <c r="E1809">
        <v>60.02</v>
      </c>
      <c r="F1809" t="s">
        <v>1693</v>
      </c>
      <c r="G1809" s="2">
        <v>-1.09E-2</v>
      </c>
      <c r="H1809">
        <f t="shared" si="56"/>
        <v>-1.0899625833740064E-2</v>
      </c>
      <c r="I1809">
        <f t="shared" si="57"/>
        <v>-1.0959461946796764E-2</v>
      </c>
    </row>
    <row r="1810" spans="1:9" x14ac:dyDescent="0.75">
      <c r="A1810" s="1">
        <v>43159</v>
      </c>
      <c r="B1810">
        <v>61.47</v>
      </c>
      <c r="C1810">
        <v>62.7</v>
      </c>
      <c r="D1810">
        <v>63.29</v>
      </c>
      <c r="E1810">
        <v>61.2</v>
      </c>
      <c r="F1810" t="s">
        <v>1694</v>
      </c>
      <c r="G1810" s="2">
        <v>-2.2700000000000001E-2</v>
      </c>
      <c r="H1810">
        <f t="shared" si="56"/>
        <v>-2.2734499205087435E-2</v>
      </c>
      <c r="I1810">
        <f t="shared" si="57"/>
        <v>-2.2996912787476731E-2</v>
      </c>
    </row>
    <row r="1811" spans="1:9" x14ac:dyDescent="0.75">
      <c r="A1811" s="1">
        <v>43158</v>
      </c>
      <c r="B1811">
        <v>62.9</v>
      </c>
      <c r="C1811">
        <v>63.85</v>
      </c>
      <c r="D1811">
        <v>63.92</v>
      </c>
      <c r="E1811">
        <v>62.52</v>
      </c>
      <c r="F1811" t="s">
        <v>1695</v>
      </c>
      <c r="G1811" s="2">
        <v>-1.3599999999999999E-2</v>
      </c>
      <c r="H1811">
        <f t="shared" si="56"/>
        <v>-1.3642778736082868E-2</v>
      </c>
      <c r="I1811">
        <f t="shared" si="57"/>
        <v>-1.3736696620785504E-2</v>
      </c>
    </row>
    <row r="1812" spans="1:9" x14ac:dyDescent="0.75">
      <c r="A1812" s="1">
        <v>43157</v>
      </c>
      <c r="B1812">
        <v>63.77</v>
      </c>
      <c r="C1812">
        <v>63.47</v>
      </c>
      <c r="D1812">
        <v>64.069999999999993</v>
      </c>
      <c r="E1812">
        <v>62.91</v>
      </c>
      <c r="F1812" t="s">
        <v>1696</v>
      </c>
      <c r="G1812" s="2">
        <v>5.7000000000000002E-3</v>
      </c>
      <c r="H1812">
        <f t="shared" si="56"/>
        <v>5.677337959312515E-3</v>
      </c>
      <c r="I1812">
        <f t="shared" si="57"/>
        <v>5.6612826152400604E-3</v>
      </c>
    </row>
    <row r="1813" spans="1:9" x14ac:dyDescent="0.75">
      <c r="A1813" s="1">
        <v>43154</v>
      </c>
      <c r="B1813">
        <v>63.41</v>
      </c>
      <c r="C1813">
        <v>62.44</v>
      </c>
      <c r="D1813">
        <v>63.54</v>
      </c>
      <c r="E1813">
        <v>62.16</v>
      </c>
      <c r="F1813" t="s">
        <v>1697</v>
      </c>
      <c r="G1813" s="2">
        <v>1.29E-2</v>
      </c>
      <c r="H1813">
        <f t="shared" si="56"/>
        <v>1.2939297124600561E-2</v>
      </c>
      <c r="I1813">
        <f t="shared" si="57"/>
        <v>1.2856299605887286E-2</v>
      </c>
    </row>
    <row r="1814" spans="1:9" x14ac:dyDescent="0.75">
      <c r="A1814" s="1">
        <v>43153</v>
      </c>
      <c r="B1814">
        <v>62.6</v>
      </c>
      <c r="C1814">
        <v>61.17</v>
      </c>
      <c r="D1814">
        <v>62.87</v>
      </c>
      <c r="E1814">
        <v>60.61</v>
      </c>
      <c r="F1814" t="s">
        <v>1698</v>
      </c>
      <c r="G1814" s="2">
        <v>1.7600000000000001E-2</v>
      </c>
      <c r="H1814">
        <f t="shared" si="56"/>
        <v>1.7555266579973965E-2</v>
      </c>
      <c r="I1814">
        <f t="shared" si="57"/>
        <v>1.7402952908664178E-2</v>
      </c>
    </row>
    <row r="1815" spans="1:9" x14ac:dyDescent="0.75">
      <c r="A1815" s="1">
        <v>43152</v>
      </c>
      <c r="B1815">
        <v>61.52</v>
      </c>
      <c r="C1815">
        <v>61.38</v>
      </c>
      <c r="D1815">
        <v>61.67</v>
      </c>
      <c r="E1815">
        <v>60.72</v>
      </c>
      <c r="F1815" t="s">
        <v>1699</v>
      </c>
      <c r="G1815" s="2">
        <v>-4.4000000000000003E-3</v>
      </c>
      <c r="H1815">
        <f t="shared" si="56"/>
        <v>-4.3696391001779578E-3</v>
      </c>
      <c r="I1815">
        <f t="shared" si="57"/>
        <v>-4.3792138754995841E-3</v>
      </c>
    </row>
    <row r="1816" spans="1:9" x14ac:dyDescent="0.75">
      <c r="A1816" s="1">
        <v>43151</v>
      </c>
      <c r="B1816">
        <v>61.79</v>
      </c>
      <c r="C1816">
        <v>61.51</v>
      </c>
      <c r="D1816">
        <v>62.65</v>
      </c>
      <c r="E1816">
        <v>61.43</v>
      </c>
      <c r="F1816" t="s">
        <v>1700</v>
      </c>
      <c r="G1816" s="2">
        <v>-9.4999999999999998E-3</v>
      </c>
      <c r="H1816">
        <f t="shared" si="56"/>
        <v>-9.4581596665598497E-3</v>
      </c>
      <c r="I1816">
        <f t="shared" si="57"/>
        <v>-9.5031721067690526E-3</v>
      </c>
    </row>
    <row r="1817" spans="1:9" x14ac:dyDescent="0.75">
      <c r="A1817" s="1">
        <v>43150</v>
      </c>
      <c r="B1817">
        <v>62.38</v>
      </c>
      <c r="C1817">
        <v>61.71</v>
      </c>
      <c r="D1817">
        <v>62.49</v>
      </c>
      <c r="E1817">
        <v>61.67</v>
      </c>
      <c r="G1817" s="2">
        <v>1.0699999999999999E-2</v>
      </c>
      <c r="H1817">
        <f t="shared" si="56"/>
        <v>1.0693454309786191E-2</v>
      </c>
      <c r="I1817">
        <f t="shared" si="57"/>
        <v>1.0636683684697277E-2</v>
      </c>
    </row>
    <row r="1818" spans="1:9" x14ac:dyDescent="0.75">
      <c r="A1818" s="1">
        <v>43149</v>
      </c>
      <c r="B1818">
        <v>61.72</v>
      </c>
      <c r="C1818">
        <v>61.51</v>
      </c>
      <c r="D1818">
        <v>61.74</v>
      </c>
      <c r="E1818">
        <v>61.51</v>
      </c>
      <c r="G1818" s="2">
        <v>2.8E-3</v>
      </c>
      <c r="H1818">
        <f t="shared" si="56"/>
        <v>2.7619821283509619E-3</v>
      </c>
      <c r="I1818">
        <f t="shared" si="57"/>
        <v>2.7581748644975208E-3</v>
      </c>
    </row>
    <row r="1819" spans="1:9" x14ac:dyDescent="0.75">
      <c r="A1819" s="1">
        <v>43147</v>
      </c>
      <c r="B1819">
        <v>61.55</v>
      </c>
      <c r="C1819">
        <v>61.28</v>
      </c>
      <c r="D1819">
        <v>61.87</v>
      </c>
      <c r="E1819">
        <v>60.76</v>
      </c>
      <c r="F1819" t="s">
        <v>1701</v>
      </c>
      <c r="G1819" s="2">
        <v>6.1999999999999998E-3</v>
      </c>
      <c r="H1819">
        <f t="shared" si="56"/>
        <v>6.2121955206799976E-3</v>
      </c>
      <c r="I1819">
        <f t="shared" si="57"/>
        <v>6.1929793759889218E-3</v>
      </c>
    </row>
    <row r="1820" spans="1:9" x14ac:dyDescent="0.75">
      <c r="A1820" s="1">
        <v>43146</v>
      </c>
      <c r="B1820">
        <v>61.17</v>
      </c>
      <c r="C1820">
        <v>60.55</v>
      </c>
      <c r="D1820">
        <v>61.46</v>
      </c>
      <c r="E1820">
        <v>59.59</v>
      </c>
      <c r="F1820" t="s">
        <v>1702</v>
      </c>
      <c r="G1820" s="2">
        <v>1.09E-2</v>
      </c>
      <c r="H1820">
        <f t="shared" si="56"/>
        <v>1.0907288051561787E-2</v>
      </c>
      <c r="I1820">
        <f t="shared" si="57"/>
        <v>1.0848232620243392E-2</v>
      </c>
    </row>
    <row r="1821" spans="1:9" x14ac:dyDescent="0.75">
      <c r="A1821" s="1">
        <v>43145</v>
      </c>
      <c r="B1821">
        <v>60.51</v>
      </c>
      <c r="C1821">
        <v>58.88</v>
      </c>
      <c r="D1821">
        <v>60.79</v>
      </c>
      <c r="E1821">
        <v>58.09</v>
      </c>
      <c r="F1821" t="s">
        <v>1703</v>
      </c>
      <c r="G1821" s="2">
        <v>2.5100000000000001E-2</v>
      </c>
      <c r="H1821">
        <f t="shared" si="56"/>
        <v>2.5071997289513752E-2</v>
      </c>
      <c r="I1821">
        <f t="shared" si="57"/>
        <v>2.4762851381631996E-2</v>
      </c>
    </row>
    <row r="1822" spans="1:9" x14ac:dyDescent="0.75">
      <c r="A1822" s="1">
        <v>43144</v>
      </c>
      <c r="B1822">
        <v>59.03</v>
      </c>
      <c r="C1822">
        <v>59.24</v>
      </c>
      <c r="D1822">
        <v>59.53</v>
      </c>
      <c r="E1822">
        <v>58.23</v>
      </c>
      <c r="F1822" t="s">
        <v>1704</v>
      </c>
      <c r="G1822" s="2">
        <v>-8.0000000000000004E-4</v>
      </c>
      <c r="H1822">
        <f t="shared" si="56"/>
        <v>-8.4631008801620106E-4</v>
      </c>
      <c r="I1822">
        <f t="shared" si="57"/>
        <v>-8.466684105809711E-4</v>
      </c>
    </row>
    <row r="1823" spans="1:9" x14ac:dyDescent="0.75">
      <c r="A1823" s="1">
        <v>43143</v>
      </c>
      <c r="B1823">
        <v>59.08</v>
      </c>
      <c r="C1823">
        <v>58.77</v>
      </c>
      <c r="D1823">
        <v>60.61</v>
      </c>
      <c r="E1823">
        <v>58.77</v>
      </c>
      <c r="F1823" t="s">
        <v>1705</v>
      </c>
      <c r="G1823" s="2">
        <v>1.5E-3</v>
      </c>
      <c r="H1823">
        <f t="shared" si="56"/>
        <v>1.5256823190370622E-3</v>
      </c>
      <c r="I1823">
        <f t="shared" si="57"/>
        <v>1.5245196481950695E-3</v>
      </c>
    </row>
    <row r="1824" spans="1:9" x14ac:dyDescent="0.75">
      <c r="A1824" s="1">
        <v>43140</v>
      </c>
      <c r="B1824">
        <v>58.99</v>
      </c>
      <c r="C1824">
        <v>60.3</v>
      </c>
      <c r="D1824">
        <v>60.6</v>
      </c>
      <c r="E1824">
        <v>57.9</v>
      </c>
      <c r="F1824" t="s">
        <v>1706</v>
      </c>
      <c r="G1824" s="2">
        <v>-3.2000000000000001E-2</v>
      </c>
      <c r="H1824">
        <f t="shared" si="56"/>
        <v>-3.1998687233344203E-2</v>
      </c>
      <c r="I1824">
        <f t="shared" si="57"/>
        <v>-3.2521835542579008E-2</v>
      </c>
    </row>
    <row r="1825" spans="1:9" x14ac:dyDescent="0.75">
      <c r="A1825" s="1">
        <v>43139</v>
      </c>
      <c r="B1825">
        <v>60.94</v>
      </c>
      <c r="C1825">
        <v>61.45</v>
      </c>
      <c r="D1825">
        <v>61.82</v>
      </c>
      <c r="E1825">
        <v>60.09</v>
      </c>
      <c r="F1825" t="s">
        <v>1707</v>
      </c>
      <c r="G1825" s="2">
        <v>-9.9000000000000008E-3</v>
      </c>
      <c r="H1825">
        <f t="shared" si="56"/>
        <v>-9.9106417546709902E-3</v>
      </c>
      <c r="I1825">
        <f t="shared" si="57"/>
        <v>-9.9600790728995789E-3</v>
      </c>
    </row>
    <row r="1826" spans="1:9" x14ac:dyDescent="0.75">
      <c r="A1826" s="1">
        <v>43138</v>
      </c>
      <c r="B1826">
        <v>61.55</v>
      </c>
      <c r="C1826">
        <v>63.63</v>
      </c>
      <c r="D1826">
        <v>63.86</v>
      </c>
      <c r="E1826">
        <v>61.07</v>
      </c>
      <c r="F1826" t="s">
        <v>1708</v>
      </c>
      <c r="G1826" s="2">
        <v>-2.47E-2</v>
      </c>
      <c r="H1826">
        <f t="shared" si="56"/>
        <v>-2.4718745048328352E-2</v>
      </c>
      <c r="I1826">
        <f t="shared" si="57"/>
        <v>-2.5029382965685711E-2</v>
      </c>
    </row>
    <row r="1827" spans="1:9" x14ac:dyDescent="0.75">
      <c r="A1827" s="1">
        <v>43137</v>
      </c>
      <c r="B1827">
        <v>63.11</v>
      </c>
      <c r="C1827">
        <v>63.15</v>
      </c>
      <c r="D1827">
        <v>63.94</v>
      </c>
      <c r="E1827">
        <v>62.8</v>
      </c>
      <c r="F1827" t="s">
        <v>1709</v>
      </c>
      <c r="G1827" s="2">
        <v>-1.1299999999999999E-2</v>
      </c>
      <c r="H1827">
        <f t="shared" si="56"/>
        <v>-1.1279962400125316E-2</v>
      </c>
      <c r="I1827">
        <f t="shared" si="57"/>
        <v>-1.1344063671817752E-2</v>
      </c>
    </row>
    <row r="1828" spans="1:9" x14ac:dyDescent="0.75">
      <c r="A1828" s="1">
        <v>43136</v>
      </c>
      <c r="B1828">
        <v>63.83</v>
      </c>
      <c r="C1828">
        <v>64.69</v>
      </c>
      <c r="D1828">
        <v>64.97</v>
      </c>
      <c r="E1828">
        <v>63.12</v>
      </c>
      <c r="F1828" t="s">
        <v>1710</v>
      </c>
      <c r="G1828" s="2">
        <v>-1.9099999999999999E-2</v>
      </c>
      <c r="H1828">
        <f t="shared" si="56"/>
        <v>-1.9056400799139311E-2</v>
      </c>
      <c r="I1828">
        <f t="shared" si="57"/>
        <v>-1.9240314238926647E-2</v>
      </c>
    </row>
    <row r="1829" spans="1:9" x14ac:dyDescent="0.75">
      <c r="A1829" s="1">
        <v>43133</v>
      </c>
      <c r="B1829">
        <v>65.069999999999993</v>
      </c>
      <c r="C1829">
        <v>65.78</v>
      </c>
      <c r="D1829">
        <v>66</v>
      </c>
      <c r="E1829">
        <v>64.17</v>
      </c>
      <c r="F1829" t="s">
        <v>1711</v>
      </c>
      <c r="G1829" s="2">
        <v>-7.3000000000000001E-3</v>
      </c>
      <c r="H1829">
        <f t="shared" si="56"/>
        <v>-7.322654462242624E-3</v>
      </c>
      <c r="I1829">
        <f t="shared" si="57"/>
        <v>-7.3495967028162574E-3</v>
      </c>
    </row>
    <row r="1830" spans="1:9" x14ac:dyDescent="0.75">
      <c r="A1830" s="1">
        <v>43132</v>
      </c>
      <c r="B1830">
        <v>65.55</v>
      </c>
      <c r="C1830">
        <v>64.53</v>
      </c>
      <c r="D1830">
        <v>65.959999999999994</v>
      </c>
      <c r="E1830">
        <v>64.430000000000007</v>
      </c>
      <c r="F1830" t="s">
        <v>1712</v>
      </c>
      <c r="G1830" s="2">
        <v>1.5299999999999999E-2</v>
      </c>
      <c r="H1830">
        <f t="shared" si="56"/>
        <v>1.5334572490706241E-2</v>
      </c>
      <c r="I1830">
        <f t="shared" si="57"/>
        <v>1.5218186248015308E-2</v>
      </c>
    </row>
    <row r="1831" spans="1:9" x14ac:dyDescent="0.75">
      <c r="A1831" s="1">
        <v>43131</v>
      </c>
      <c r="B1831">
        <v>64.56</v>
      </c>
      <c r="C1831">
        <v>63.68</v>
      </c>
      <c r="D1831">
        <v>64.73</v>
      </c>
      <c r="E1831">
        <v>63.54</v>
      </c>
      <c r="F1831" t="s">
        <v>1713</v>
      </c>
      <c r="G1831" s="2">
        <v>3.3E-3</v>
      </c>
      <c r="H1831">
        <f t="shared" si="56"/>
        <v>3.2634032634033874E-3</v>
      </c>
      <c r="I1831">
        <f t="shared" si="57"/>
        <v>3.2580899195577776E-3</v>
      </c>
    </row>
    <row r="1832" spans="1:9" x14ac:dyDescent="0.75">
      <c r="A1832" s="1">
        <v>43130</v>
      </c>
      <c r="B1832">
        <v>64.349999999999994</v>
      </c>
      <c r="C1832">
        <v>65.39</v>
      </c>
      <c r="D1832">
        <v>65.39</v>
      </c>
      <c r="E1832">
        <v>63.78</v>
      </c>
      <c r="F1832" t="s">
        <v>1714</v>
      </c>
      <c r="G1832" s="2">
        <v>-1.5900000000000001E-2</v>
      </c>
      <c r="H1832">
        <f t="shared" si="56"/>
        <v>-1.5904572564612422E-2</v>
      </c>
      <c r="I1832">
        <f t="shared" si="57"/>
        <v>-1.6032407531048998E-2</v>
      </c>
    </row>
    <row r="1833" spans="1:9" x14ac:dyDescent="0.75">
      <c r="A1833" s="1">
        <v>43129</v>
      </c>
      <c r="B1833">
        <v>65.39</v>
      </c>
      <c r="C1833">
        <v>66.010000000000005</v>
      </c>
      <c r="D1833">
        <v>66.23</v>
      </c>
      <c r="E1833">
        <v>64.81</v>
      </c>
      <c r="F1833" t="s">
        <v>1715</v>
      </c>
      <c r="G1833" s="2">
        <v>-8.8000000000000005E-3</v>
      </c>
      <c r="H1833">
        <f t="shared" si="56"/>
        <v>-8.7918750947400068E-3</v>
      </c>
      <c r="I1833">
        <f t="shared" si="57"/>
        <v>-8.8307516615948965E-3</v>
      </c>
    </row>
    <row r="1834" spans="1:9" x14ac:dyDescent="0.75">
      <c r="A1834" s="1">
        <v>43126</v>
      </c>
      <c r="B1834">
        <v>65.97</v>
      </c>
      <c r="C1834">
        <v>65.180000000000007</v>
      </c>
      <c r="D1834">
        <v>66.17</v>
      </c>
      <c r="E1834">
        <v>64.77</v>
      </c>
      <c r="F1834" t="s">
        <v>1716</v>
      </c>
      <c r="G1834" s="2">
        <v>9.1999999999999998E-3</v>
      </c>
      <c r="H1834">
        <f t="shared" si="56"/>
        <v>9.1785222579163876E-3</v>
      </c>
      <c r="I1834">
        <f t="shared" si="57"/>
        <v>9.1366556101412106E-3</v>
      </c>
    </row>
    <row r="1835" spans="1:9" x14ac:dyDescent="0.75">
      <c r="A1835" s="1">
        <v>43125</v>
      </c>
      <c r="B1835">
        <v>65.37</v>
      </c>
      <c r="C1835">
        <v>65.650000000000006</v>
      </c>
      <c r="D1835">
        <v>66.39</v>
      </c>
      <c r="E1835">
        <v>64.959999999999994</v>
      </c>
      <c r="F1835" t="s">
        <v>1717</v>
      </c>
      <c r="G1835" s="2">
        <v>2.0000000000000001E-4</v>
      </c>
      <c r="H1835">
        <f t="shared" si="56"/>
        <v>1.5299877600987019E-4</v>
      </c>
      <c r="I1835">
        <f t="shared" si="57"/>
        <v>1.5298707289079037E-4</v>
      </c>
    </row>
    <row r="1836" spans="1:9" x14ac:dyDescent="0.75">
      <c r="A1836" s="1">
        <v>43124</v>
      </c>
      <c r="B1836">
        <v>65.36</v>
      </c>
      <c r="C1836">
        <v>64.25</v>
      </c>
      <c r="D1836">
        <v>65.790000000000006</v>
      </c>
      <c r="E1836">
        <v>64.180000000000007</v>
      </c>
      <c r="F1836" t="s">
        <v>1718</v>
      </c>
      <c r="G1836" s="2">
        <v>1.6299999999999999E-2</v>
      </c>
      <c r="H1836">
        <f t="shared" si="56"/>
        <v>1.6327165293111446E-2</v>
      </c>
      <c r="I1836">
        <f t="shared" si="57"/>
        <v>1.6195310404975571E-2</v>
      </c>
    </row>
    <row r="1837" spans="1:9" x14ac:dyDescent="0.75">
      <c r="A1837" s="1">
        <v>43123</v>
      </c>
      <c r="B1837">
        <v>64.31</v>
      </c>
      <c r="C1837">
        <v>63.85</v>
      </c>
      <c r="D1837">
        <v>64.69</v>
      </c>
      <c r="E1837">
        <v>63.56</v>
      </c>
      <c r="F1837" t="s">
        <v>1719</v>
      </c>
      <c r="G1837" s="2">
        <v>1.1599999999999999E-2</v>
      </c>
      <c r="H1837">
        <f t="shared" si="56"/>
        <v>1.1640711027214127E-2</v>
      </c>
      <c r="I1837">
        <f t="shared" si="57"/>
        <v>1.1573479198454384E-2</v>
      </c>
    </row>
    <row r="1838" spans="1:9" x14ac:dyDescent="0.75">
      <c r="A1838" s="1">
        <v>43122</v>
      </c>
      <c r="B1838">
        <v>63.57</v>
      </c>
      <c r="C1838">
        <v>63.5</v>
      </c>
      <c r="D1838">
        <v>64.13</v>
      </c>
      <c r="E1838">
        <v>63.05</v>
      </c>
      <c r="F1838" t="s">
        <v>1720</v>
      </c>
      <c r="G1838" s="2">
        <v>4.1000000000000003E-3</v>
      </c>
      <c r="H1838">
        <f t="shared" si="56"/>
        <v>4.10677618069812E-3</v>
      </c>
      <c r="I1838">
        <f t="shared" si="57"/>
        <v>4.098366392282185E-3</v>
      </c>
    </row>
    <row r="1839" spans="1:9" x14ac:dyDescent="0.75">
      <c r="A1839" s="1">
        <v>43119</v>
      </c>
      <c r="B1839">
        <v>63.31</v>
      </c>
      <c r="C1839">
        <v>63.68</v>
      </c>
      <c r="D1839">
        <v>63.73</v>
      </c>
      <c r="E1839">
        <v>62.78</v>
      </c>
      <c r="F1839" t="s">
        <v>1721</v>
      </c>
      <c r="G1839" s="2">
        <v>-9.1000000000000004E-3</v>
      </c>
      <c r="H1839">
        <f t="shared" si="56"/>
        <v>-9.0781029895131999E-3</v>
      </c>
      <c r="I1839">
        <f t="shared" si="57"/>
        <v>-9.1195600582166889E-3</v>
      </c>
    </row>
    <row r="1840" spans="1:9" x14ac:dyDescent="0.75">
      <c r="A1840" s="1">
        <v>43118</v>
      </c>
      <c r="B1840">
        <v>63.89</v>
      </c>
      <c r="C1840">
        <v>64</v>
      </c>
      <c r="D1840">
        <v>64.28</v>
      </c>
      <c r="E1840">
        <v>63.44</v>
      </c>
      <c r="F1840" t="s">
        <v>1722</v>
      </c>
      <c r="G1840" s="2">
        <v>-5.0000000000000001E-4</v>
      </c>
      <c r="H1840">
        <f t="shared" si="56"/>
        <v>-4.6933667083856595E-4</v>
      </c>
      <c r="I1840">
        <f t="shared" si="57"/>
        <v>-4.6944684376736966E-4</v>
      </c>
    </row>
    <row r="1841" spans="1:9" x14ac:dyDescent="0.75">
      <c r="A1841" s="1">
        <v>43117</v>
      </c>
      <c r="B1841">
        <v>63.92</v>
      </c>
      <c r="C1841">
        <v>63.82</v>
      </c>
      <c r="D1841">
        <v>64.14</v>
      </c>
      <c r="E1841">
        <v>63.25</v>
      </c>
      <c r="F1841" t="s">
        <v>1723</v>
      </c>
      <c r="G1841" s="2">
        <v>3.8999999999999998E-3</v>
      </c>
      <c r="H1841">
        <f t="shared" si="56"/>
        <v>3.9264959949740852E-3</v>
      </c>
      <c r="I1841">
        <f t="shared" si="57"/>
        <v>3.9188074290852576E-3</v>
      </c>
    </row>
    <row r="1842" spans="1:9" x14ac:dyDescent="0.75">
      <c r="A1842" s="1">
        <v>43116</v>
      </c>
      <c r="B1842">
        <v>63.67</v>
      </c>
      <c r="C1842">
        <v>64.33</v>
      </c>
      <c r="D1842">
        <v>64.83</v>
      </c>
      <c r="E1842">
        <v>63.34</v>
      </c>
      <c r="F1842" t="s">
        <v>1724</v>
      </c>
      <c r="G1842" s="2">
        <v>-1.6400000000000001E-2</v>
      </c>
      <c r="H1842">
        <f t="shared" si="56"/>
        <v>-1.6375714506411281E-2</v>
      </c>
      <c r="I1842">
        <f t="shared" si="57"/>
        <v>-1.6511278528484899E-2</v>
      </c>
    </row>
    <row r="1843" spans="1:9" x14ac:dyDescent="0.75">
      <c r="A1843" s="1">
        <v>43115</v>
      </c>
      <c r="B1843">
        <v>64.73</v>
      </c>
      <c r="C1843">
        <v>64.28</v>
      </c>
      <c r="D1843">
        <v>64.89</v>
      </c>
      <c r="E1843">
        <v>64.11</v>
      </c>
      <c r="G1843" s="2">
        <v>7.0000000000000001E-3</v>
      </c>
      <c r="H1843">
        <f t="shared" si="56"/>
        <v>7.0006222775358248E-3</v>
      </c>
      <c r="I1843">
        <f t="shared" si="57"/>
        <v>6.9762316881070404E-3</v>
      </c>
    </row>
    <row r="1844" spans="1:9" x14ac:dyDescent="0.75">
      <c r="A1844" s="1">
        <v>43114</v>
      </c>
      <c r="B1844">
        <v>64.28</v>
      </c>
      <c r="C1844">
        <v>64.42</v>
      </c>
      <c r="D1844">
        <v>64.44</v>
      </c>
      <c r="E1844">
        <v>64.19</v>
      </c>
      <c r="G1844" s="2">
        <v>8.0000000000000004E-4</v>
      </c>
      <c r="H1844">
        <f t="shared" si="56"/>
        <v>7.7845243655608209E-4</v>
      </c>
      <c r="I1844">
        <f t="shared" si="57"/>
        <v>7.7814959961075602E-4</v>
      </c>
    </row>
    <row r="1845" spans="1:9" x14ac:dyDescent="0.75">
      <c r="A1845" s="1">
        <v>43112</v>
      </c>
      <c r="B1845">
        <v>64.23</v>
      </c>
      <c r="C1845">
        <v>63.5</v>
      </c>
      <c r="D1845">
        <v>64.41</v>
      </c>
      <c r="E1845">
        <v>62.98</v>
      </c>
      <c r="F1845" t="s">
        <v>1725</v>
      </c>
      <c r="G1845" s="2">
        <v>8.6E-3</v>
      </c>
      <c r="H1845">
        <f t="shared" si="56"/>
        <v>8.6369346733669011E-3</v>
      </c>
      <c r="I1845">
        <f t="shared" si="57"/>
        <v>8.5998497335735037E-3</v>
      </c>
    </row>
    <row r="1846" spans="1:9" x14ac:dyDescent="0.75">
      <c r="A1846" s="1">
        <v>43111</v>
      </c>
      <c r="B1846">
        <v>63.68</v>
      </c>
      <c r="C1846">
        <v>63.34</v>
      </c>
      <c r="D1846">
        <v>64.53</v>
      </c>
      <c r="E1846">
        <v>63.27</v>
      </c>
      <c r="F1846" t="s">
        <v>1726</v>
      </c>
      <c r="G1846" s="2">
        <v>4.1000000000000003E-3</v>
      </c>
      <c r="H1846">
        <f t="shared" si="56"/>
        <v>4.0996531062755916E-3</v>
      </c>
      <c r="I1846">
        <f t="shared" si="57"/>
        <v>4.0912724259262656E-3</v>
      </c>
    </row>
    <row r="1847" spans="1:9" x14ac:dyDescent="0.75">
      <c r="A1847" s="1">
        <v>43110</v>
      </c>
      <c r="B1847">
        <v>63.42</v>
      </c>
      <c r="C1847">
        <v>63.31</v>
      </c>
      <c r="D1847">
        <v>63.54</v>
      </c>
      <c r="E1847">
        <v>62.95</v>
      </c>
      <c r="F1847" t="s">
        <v>1727</v>
      </c>
      <c r="G1847" s="2">
        <v>8.6999999999999994E-3</v>
      </c>
      <c r="H1847">
        <f t="shared" si="56"/>
        <v>8.7482105932878054E-3</v>
      </c>
      <c r="I1847">
        <f t="shared" si="57"/>
        <v>8.7101667152317055E-3</v>
      </c>
    </row>
    <row r="1848" spans="1:9" x14ac:dyDescent="0.75">
      <c r="A1848" s="1">
        <v>43109</v>
      </c>
      <c r="B1848">
        <v>62.87</v>
      </c>
      <c r="C1848">
        <v>61.89</v>
      </c>
      <c r="D1848">
        <v>63.36</v>
      </c>
      <c r="E1848">
        <v>61.78</v>
      </c>
      <c r="F1848" t="s">
        <v>1728</v>
      </c>
      <c r="G1848" s="2">
        <v>1.8599999999999998E-2</v>
      </c>
      <c r="H1848">
        <f t="shared" si="56"/>
        <v>1.8632534024627327E-2</v>
      </c>
      <c r="I1848">
        <f t="shared" si="57"/>
        <v>1.8461074900009668E-2</v>
      </c>
    </row>
    <row r="1849" spans="1:9" x14ac:dyDescent="0.75">
      <c r="A1849" s="1">
        <v>43108</v>
      </c>
      <c r="B1849">
        <v>61.72</v>
      </c>
      <c r="C1849">
        <v>61.59</v>
      </c>
      <c r="D1849">
        <v>61.93</v>
      </c>
      <c r="E1849">
        <v>61.35</v>
      </c>
      <c r="F1849" t="s">
        <v>1729</v>
      </c>
      <c r="G1849" s="2">
        <v>5.0000000000000001E-3</v>
      </c>
      <c r="H1849">
        <f t="shared" si="56"/>
        <v>5.0480377788634147E-3</v>
      </c>
      <c r="I1849">
        <f t="shared" si="57"/>
        <v>5.0353391536521732E-3</v>
      </c>
    </row>
    <row r="1850" spans="1:9" x14ac:dyDescent="0.75">
      <c r="A1850" s="1">
        <v>43105</v>
      </c>
      <c r="B1850">
        <v>61.41</v>
      </c>
      <c r="C1850">
        <v>61.8</v>
      </c>
      <c r="D1850">
        <v>61.96</v>
      </c>
      <c r="E1850">
        <v>61.07</v>
      </c>
      <c r="F1850" t="s">
        <v>1730</v>
      </c>
      <c r="G1850" s="2">
        <v>-7.9000000000000008E-3</v>
      </c>
      <c r="H1850">
        <f t="shared" si="56"/>
        <v>-7.9159935379644903E-3</v>
      </c>
      <c r="I1850">
        <f t="shared" si="57"/>
        <v>-7.9474913492425681E-3</v>
      </c>
    </row>
    <row r="1851" spans="1:9" x14ac:dyDescent="0.75">
      <c r="A1851" s="1">
        <v>43104</v>
      </c>
      <c r="B1851">
        <v>61.9</v>
      </c>
      <c r="C1851">
        <v>61.83</v>
      </c>
      <c r="D1851">
        <v>62.05</v>
      </c>
      <c r="E1851">
        <v>61.49</v>
      </c>
      <c r="F1851" t="s">
        <v>1731</v>
      </c>
      <c r="G1851" s="2">
        <v>5.7000000000000002E-3</v>
      </c>
      <c r="H1851">
        <f t="shared" si="56"/>
        <v>5.6864337936637114E-3</v>
      </c>
      <c r="I1851">
        <f t="shared" si="57"/>
        <v>5.6703270600879496E-3</v>
      </c>
    </row>
    <row r="1852" spans="1:9" x14ac:dyDescent="0.75">
      <c r="A1852" s="1">
        <v>43103</v>
      </c>
      <c r="B1852">
        <v>61.55</v>
      </c>
      <c r="C1852">
        <v>60.37</v>
      </c>
      <c r="D1852">
        <v>61.83</v>
      </c>
      <c r="E1852">
        <v>60.28</v>
      </c>
      <c r="F1852" t="s">
        <v>1732</v>
      </c>
      <c r="G1852" s="2">
        <v>1.9400000000000001E-2</v>
      </c>
      <c r="H1852">
        <f t="shared" si="56"/>
        <v>1.9377277244120479E-2</v>
      </c>
      <c r="I1852">
        <f t="shared" si="57"/>
        <v>1.9191928351769732E-2</v>
      </c>
    </row>
    <row r="1853" spans="1:9" x14ac:dyDescent="0.75">
      <c r="A1853" s="1">
        <v>43102</v>
      </c>
      <c r="B1853">
        <v>60.38</v>
      </c>
      <c r="C1853">
        <v>60.21</v>
      </c>
      <c r="D1853">
        <v>60.75</v>
      </c>
      <c r="E1853">
        <v>60.14</v>
      </c>
      <c r="F1853" t="s">
        <v>1733</v>
      </c>
      <c r="G1853" s="2">
        <v>2.3E-3</v>
      </c>
      <c r="H1853">
        <f t="shared" si="56"/>
        <v>2.3240371845949627E-3</v>
      </c>
      <c r="I1853">
        <f t="shared" si="57"/>
        <v>2.3213407870546036E-3</v>
      </c>
    </row>
    <row r="1854" spans="1:9" x14ac:dyDescent="0.75">
      <c r="A1854" s="1">
        <v>43101</v>
      </c>
      <c r="B1854">
        <v>60.24</v>
      </c>
      <c r="C1854">
        <v>60.26</v>
      </c>
      <c r="D1854">
        <v>60.28</v>
      </c>
      <c r="E1854">
        <v>60.15</v>
      </c>
      <c r="G1854" s="2">
        <v>-3.3E-3</v>
      </c>
      <c r="H1854">
        <f t="shared" si="56"/>
        <v>-3.3090668431501611E-3</v>
      </c>
      <c r="I1854">
        <f t="shared" si="57"/>
        <v>-3.3145539129005828E-3</v>
      </c>
    </row>
    <row r="1855" spans="1:9" x14ac:dyDescent="0.75">
      <c r="A1855" s="1">
        <v>43098</v>
      </c>
      <c r="B1855">
        <v>60.44</v>
      </c>
      <c r="C1855">
        <v>59.94</v>
      </c>
      <c r="D1855">
        <v>60.53</v>
      </c>
      <c r="E1855">
        <v>59.86</v>
      </c>
      <c r="F1855" t="s">
        <v>1734</v>
      </c>
      <c r="G1855" s="2">
        <v>9.4999999999999998E-3</v>
      </c>
      <c r="H1855">
        <f t="shared" si="56"/>
        <v>9.5206280273926885E-3</v>
      </c>
      <c r="I1855">
        <f t="shared" si="57"/>
        <v>9.4755924672781881E-3</v>
      </c>
    </row>
    <row r="1856" spans="1:9" x14ac:dyDescent="0.75">
      <c r="A1856" s="1">
        <v>43097</v>
      </c>
      <c r="B1856">
        <v>59.87</v>
      </c>
      <c r="C1856">
        <v>59.58</v>
      </c>
      <c r="D1856">
        <v>59.97</v>
      </c>
      <c r="E1856">
        <v>59.47</v>
      </c>
      <c r="F1856" t="s">
        <v>1735</v>
      </c>
      <c r="G1856" s="2">
        <v>3.0000000000000001E-3</v>
      </c>
      <c r="H1856">
        <f t="shared" si="56"/>
        <v>3.0155804992461001E-3</v>
      </c>
      <c r="I1856">
        <f t="shared" si="57"/>
        <v>3.0110427567020771E-3</v>
      </c>
    </row>
    <row r="1857" spans="1:9" x14ac:dyDescent="0.75">
      <c r="A1857" s="1">
        <v>43096</v>
      </c>
      <c r="B1857">
        <v>59.69</v>
      </c>
      <c r="C1857">
        <v>59.83</v>
      </c>
      <c r="D1857">
        <v>59.95</v>
      </c>
      <c r="E1857">
        <v>59.35</v>
      </c>
      <c r="F1857" t="s">
        <v>1736</v>
      </c>
      <c r="G1857" s="2">
        <v>-5.1999999999999998E-3</v>
      </c>
      <c r="H1857">
        <f t="shared" si="56"/>
        <v>-5.1666666666667048E-3</v>
      </c>
      <c r="I1857">
        <f t="shared" si="57"/>
        <v>-5.1800600415421788E-3</v>
      </c>
    </row>
    <row r="1858" spans="1:9" x14ac:dyDescent="0.75">
      <c r="A1858" s="1">
        <v>43095</v>
      </c>
      <c r="B1858">
        <v>60</v>
      </c>
      <c r="C1858">
        <v>58.48</v>
      </c>
      <c r="D1858">
        <v>60.04</v>
      </c>
      <c r="E1858">
        <v>58.39</v>
      </c>
      <c r="F1858" t="s">
        <v>1737</v>
      </c>
      <c r="G1858" s="2">
        <v>2.41E-2</v>
      </c>
      <c r="H1858">
        <f t="shared" si="56"/>
        <v>2.4065540194572393E-2</v>
      </c>
      <c r="I1858">
        <f t="shared" si="57"/>
        <v>2.3780528665403387E-2</v>
      </c>
    </row>
    <row r="1859" spans="1:9" x14ac:dyDescent="0.75">
      <c r="A1859" s="1">
        <v>43094</v>
      </c>
      <c r="B1859">
        <v>58.59</v>
      </c>
      <c r="C1859">
        <v>58.41</v>
      </c>
      <c r="D1859">
        <v>58.62</v>
      </c>
      <c r="E1859">
        <v>58.38</v>
      </c>
      <c r="G1859" s="2">
        <v>8.9999999999999998E-4</v>
      </c>
      <c r="H1859">
        <f t="shared" ref="H1859:H1922" si="58">(B1859-B1860)/B1860</f>
        <v>8.5411684318422039E-4</v>
      </c>
      <c r="I1859">
        <f t="shared" ref="I1859:I1922" si="59">LN(B1859/B1860)</f>
        <v>8.5375229295746855E-4</v>
      </c>
    </row>
    <row r="1860" spans="1:9" x14ac:dyDescent="0.75">
      <c r="A1860" s="1">
        <v>43091</v>
      </c>
      <c r="B1860">
        <v>58.54</v>
      </c>
      <c r="C1860">
        <v>58.22</v>
      </c>
      <c r="D1860">
        <v>58.57</v>
      </c>
      <c r="E1860">
        <v>57.93</v>
      </c>
      <c r="F1860" t="s">
        <v>1738</v>
      </c>
      <c r="G1860" s="2">
        <v>2.3999999999999998E-3</v>
      </c>
      <c r="H1860">
        <f t="shared" si="58"/>
        <v>2.3972602739726124E-3</v>
      </c>
      <c r="I1860">
        <f t="shared" si="59"/>
        <v>2.3943914295583937E-3</v>
      </c>
    </row>
    <row r="1861" spans="1:9" x14ac:dyDescent="0.75">
      <c r="A1861" s="1">
        <v>43090</v>
      </c>
      <c r="B1861">
        <v>58.4</v>
      </c>
      <c r="C1861">
        <v>58.05</v>
      </c>
      <c r="D1861">
        <v>58.42</v>
      </c>
      <c r="E1861">
        <v>57.68</v>
      </c>
      <c r="F1861" t="s">
        <v>1739</v>
      </c>
      <c r="G1861" s="2">
        <v>4.5999999999999999E-3</v>
      </c>
      <c r="H1861">
        <f t="shared" si="58"/>
        <v>4.6447617409254432E-3</v>
      </c>
      <c r="I1861">
        <f t="shared" si="59"/>
        <v>4.6340081209222039E-3</v>
      </c>
    </row>
    <row r="1862" spans="1:9" x14ac:dyDescent="0.75">
      <c r="A1862" s="1">
        <v>43089</v>
      </c>
      <c r="B1862">
        <v>58.13</v>
      </c>
      <c r="C1862">
        <v>57.68</v>
      </c>
      <c r="D1862">
        <v>58.16</v>
      </c>
      <c r="E1862">
        <v>57.49</v>
      </c>
      <c r="F1862" t="s">
        <v>1740</v>
      </c>
      <c r="G1862" s="2">
        <v>9.9000000000000008E-3</v>
      </c>
      <c r="H1862">
        <f t="shared" si="58"/>
        <v>9.9027102154273846E-3</v>
      </c>
      <c r="I1862">
        <f t="shared" si="59"/>
        <v>9.8539996940921852E-3</v>
      </c>
    </row>
    <row r="1863" spans="1:9" x14ac:dyDescent="0.75">
      <c r="A1863" s="1">
        <v>43088</v>
      </c>
      <c r="B1863">
        <v>57.56</v>
      </c>
      <c r="C1863">
        <v>57.34</v>
      </c>
      <c r="D1863">
        <v>57.8</v>
      </c>
      <c r="E1863">
        <v>57.2</v>
      </c>
      <c r="F1863" t="s">
        <v>1741</v>
      </c>
      <c r="G1863" s="2">
        <v>5.8999999999999999E-3</v>
      </c>
      <c r="H1863">
        <f t="shared" si="58"/>
        <v>5.9419783292555652E-3</v>
      </c>
      <c r="I1863">
        <f t="shared" si="59"/>
        <v>5.9243943972029428E-3</v>
      </c>
    </row>
    <row r="1864" spans="1:9" x14ac:dyDescent="0.75">
      <c r="A1864" s="1">
        <v>43087</v>
      </c>
      <c r="B1864">
        <v>57.22</v>
      </c>
      <c r="C1864">
        <v>57.4</v>
      </c>
      <c r="D1864">
        <v>57.81</v>
      </c>
      <c r="E1864">
        <v>56.88</v>
      </c>
      <c r="F1864" t="s">
        <v>1742</v>
      </c>
      <c r="G1864" s="2">
        <v>-1.9E-3</v>
      </c>
      <c r="H1864">
        <f t="shared" si="58"/>
        <v>-1.9187162044304804E-3</v>
      </c>
      <c r="I1864">
        <f t="shared" si="59"/>
        <v>-1.9205592983271851E-3</v>
      </c>
    </row>
    <row r="1865" spans="1:9" x14ac:dyDescent="0.75">
      <c r="A1865" s="1">
        <v>43084</v>
      </c>
      <c r="B1865">
        <v>57.33</v>
      </c>
      <c r="C1865">
        <v>57.19</v>
      </c>
      <c r="D1865">
        <v>57.51</v>
      </c>
      <c r="E1865">
        <v>56.99</v>
      </c>
      <c r="F1865" t="s">
        <v>1743</v>
      </c>
      <c r="G1865" s="2">
        <v>4.4000000000000003E-3</v>
      </c>
      <c r="H1865">
        <f t="shared" si="58"/>
        <v>4.3798177995795374E-3</v>
      </c>
      <c r="I1865">
        <f t="shared" si="59"/>
        <v>4.3702543116556775E-3</v>
      </c>
    </row>
    <row r="1866" spans="1:9" x14ac:dyDescent="0.75">
      <c r="A1866" s="1">
        <v>43083</v>
      </c>
      <c r="B1866">
        <v>57.08</v>
      </c>
      <c r="C1866">
        <v>56.67</v>
      </c>
      <c r="D1866">
        <v>57.27</v>
      </c>
      <c r="E1866">
        <v>56.11</v>
      </c>
      <c r="F1866" t="s">
        <v>1744</v>
      </c>
      <c r="G1866" s="2">
        <v>8.6999999999999994E-3</v>
      </c>
      <c r="H1866">
        <f t="shared" si="58"/>
        <v>8.6587736349177397E-3</v>
      </c>
      <c r="I1866">
        <f t="shared" si="59"/>
        <v>8.6215014542031111E-3</v>
      </c>
    </row>
    <row r="1867" spans="1:9" x14ac:dyDescent="0.75">
      <c r="A1867" s="1">
        <v>43082</v>
      </c>
      <c r="B1867">
        <v>56.59</v>
      </c>
      <c r="C1867">
        <v>57.43</v>
      </c>
      <c r="D1867">
        <v>57.81</v>
      </c>
      <c r="E1867">
        <v>56.53</v>
      </c>
      <c r="F1867" t="s">
        <v>1745</v>
      </c>
      <c r="G1867" s="2">
        <v>-0.01</v>
      </c>
      <c r="H1867">
        <f t="shared" si="58"/>
        <v>-9.9720083974806362E-3</v>
      </c>
      <c r="I1867">
        <f t="shared" si="59"/>
        <v>-1.0022061907234129E-2</v>
      </c>
    </row>
    <row r="1868" spans="1:9" x14ac:dyDescent="0.75">
      <c r="A1868" s="1">
        <v>43081</v>
      </c>
      <c r="B1868">
        <v>57.16</v>
      </c>
      <c r="C1868">
        <v>58.11</v>
      </c>
      <c r="D1868">
        <v>58.6</v>
      </c>
      <c r="E1868">
        <v>56.89</v>
      </c>
      <c r="F1868" t="s">
        <v>1746</v>
      </c>
      <c r="G1868" s="2">
        <v>-1.5299999999999999E-2</v>
      </c>
      <c r="H1868">
        <f t="shared" si="58"/>
        <v>-1.53316106804479E-2</v>
      </c>
      <c r="I1868">
        <f t="shared" si="59"/>
        <v>-1.5450355082233818E-2</v>
      </c>
    </row>
    <row r="1869" spans="1:9" x14ac:dyDescent="0.75">
      <c r="A1869" s="1">
        <v>43080</v>
      </c>
      <c r="B1869">
        <v>58.05</v>
      </c>
      <c r="C1869">
        <v>57.32</v>
      </c>
      <c r="D1869">
        <v>58.12</v>
      </c>
      <c r="E1869">
        <v>57</v>
      </c>
      <c r="F1869" t="s">
        <v>1747</v>
      </c>
      <c r="G1869" s="2">
        <v>1.06E-2</v>
      </c>
      <c r="H1869">
        <f t="shared" si="58"/>
        <v>1.0619777158774364E-2</v>
      </c>
      <c r="I1869">
        <f t="shared" si="59"/>
        <v>1.0563783403931768E-2</v>
      </c>
    </row>
    <row r="1870" spans="1:9" x14ac:dyDescent="0.75">
      <c r="A1870" s="1">
        <v>43077</v>
      </c>
      <c r="B1870">
        <v>57.44</v>
      </c>
      <c r="C1870">
        <v>56.7</v>
      </c>
      <c r="D1870">
        <v>57.83</v>
      </c>
      <c r="E1870">
        <v>56.61</v>
      </c>
      <c r="F1870" t="s">
        <v>1748</v>
      </c>
      <c r="G1870" s="2">
        <v>1.2200000000000001E-2</v>
      </c>
      <c r="H1870">
        <f t="shared" si="58"/>
        <v>1.2158590308370004E-2</v>
      </c>
      <c r="I1870">
        <f t="shared" si="59"/>
        <v>1.2085268378456719E-2</v>
      </c>
    </row>
    <row r="1871" spans="1:9" x14ac:dyDescent="0.75">
      <c r="A1871" s="1">
        <v>43076</v>
      </c>
      <c r="B1871">
        <v>56.75</v>
      </c>
      <c r="C1871">
        <v>56.09</v>
      </c>
      <c r="D1871">
        <v>56.83</v>
      </c>
      <c r="E1871">
        <v>55.88</v>
      </c>
      <c r="F1871" t="s">
        <v>1749</v>
      </c>
      <c r="G1871" s="2">
        <v>1.29E-2</v>
      </c>
      <c r="H1871">
        <f t="shared" si="58"/>
        <v>1.2850258789933943E-2</v>
      </c>
      <c r="I1871">
        <f t="shared" si="59"/>
        <v>1.2768394784318892E-2</v>
      </c>
    </row>
    <row r="1872" spans="1:9" x14ac:dyDescent="0.75">
      <c r="A1872" s="1">
        <v>43075</v>
      </c>
      <c r="B1872">
        <v>56.03</v>
      </c>
      <c r="C1872">
        <v>57.53</v>
      </c>
      <c r="D1872">
        <v>57.63</v>
      </c>
      <c r="E1872">
        <v>55.95</v>
      </c>
      <c r="F1872" t="s">
        <v>1750</v>
      </c>
      <c r="G1872" s="2">
        <v>-2.8400000000000002E-2</v>
      </c>
      <c r="H1872">
        <f t="shared" si="58"/>
        <v>-2.8437662562857648E-2</v>
      </c>
      <c r="I1872">
        <f t="shared" si="59"/>
        <v>-2.8849846050128084E-2</v>
      </c>
    </row>
    <row r="1873" spans="1:9" x14ac:dyDescent="0.75">
      <c r="A1873" s="1">
        <v>43074</v>
      </c>
      <c r="B1873">
        <v>57.67</v>
      </c>
      <c r="C1873">
        <v>57.51</v>
      </c>
      <c r="D1873">
        <v>57.97</v>
      </c>
      <c r="E1873">
        <v>57.11</v>
      </c>
      <c r="F1873" t="s">
        <v>1751</v>
      </c>
      <c r="G1873" s="2">
        <v>3.0999999999999999E-3</v>
      </c>
      <c r="H1873">
        <f t="shared" si="58"/>
        <v>3.1309793007479512E-3</v>
      </c>
      <c r="I1873">
        <f t="shared" si="59"/>
        <v>3.12608799212166E-3</v>
      </c>
    </row>
    <row r="1874" spans="1:9" x14ac:dyDescent="0.75">
      <c r="A1874" s="1">
        <v>43073</v>
      </c>
      <c r="B1874">
        <v>57.49</v>
      </c>
      <c r="C1874">
        <v>58.44</v>
      </c>
      <c r="D1874">
        <v>58.44</v>
      </c>
      <c r="E1874">
        <v>57.37</v>
      </c>
      <c r="F1874" t="s">
        <v>1752</v>
      </c>
      <c r="G1874" s="2">
        <v>-1.52E-2</v>
      </c>
      <c r="H1874">
        <f t="shared" si="58"/>
        <v>-1.5244946899623168E-2</v>
      </c>
      <c r="I1874">
        <f t="shared" si="59"/>
        <v>-1.5362345790769184E-2</v>
      </c>
    </row>
    <row r="1875" spans="1:9" x14ac:dyDescent="0.75">
      <c r="A1875" s="1">
        <v>43070</v>
      </c>
      <c r="B1875">
        <v>58.38</v>
      </c>
      <c r="C1875">
        <v>57.38</v>
      </c>
      <c r="D1875">
        <v>58.9</v>
      </c>
      <c r="E1875">
        <v>57.35</v>
      </c>
      <c r="F1875" t="s">
        <v>1753</v>
      </c>
      <c r="G1875" s="2">
        <v>1.6199999999999999E-2</v>
      </c>
      <c r="H1875">
        <f t="shared" si="58"/>
        <v>1.6187989556135766E-2</v>
      </c>
      <c r="I1875">
        <f t="shared" si="59"/>
        <v>1.605836113120411E-2</v>
      </c>
    </row>
    <row r="1876" spans="1:9" x14ac:dyDescent="0.75">
      <c r="A1876" s="1">
        <v>43069</v>
      </c>
      <c r="B1876">
        <v>57.45</v>
      </c>
      <c r="C1876">
        <v>57.45</v>
      </c>
      <c r="D1876">
        <v>58.03</v>
      </c>
      <c r="E1876">
        <v>56.89</v>
      </c>
      <c r="F1876" t="s">
        <v>1754</v>
      </c>
      <c r="G1876" s="2">
        <v>1.6000000000000001E-3</v>
      </c>
      <c r="H1876">
        <f t="shared" si="58"/>
        <v>1.5690376569038251E-3</v>
      </c>
      <c r="I1876">
        <f t="shared" si="59"/>
        <v>1.5678080033997527E-3</v>
      </c>
    </row>
    <row r="1877" spans="1:9" x14ac:dyDescent="0.75">
      <c r="A1877" s="1">
        <v>43068</v>
      </c>
      <c r="B1877">
        <v>57.36</v>
      </c>
      <c r="C1877">
        <v>57.84</v>
      </c>
      <c r="D1877">
        <v>58.34</v>
      </c>
      <c r="E1877">
        <v>56.82</v>
      </c>
      <c r="F1877" t="s">
        <v>1755</v>
      </c>
      <c r="G1877" s="2">
        <v>-1.1900000000000001E-2</v>
      </c>
      <c r="H1877">
        <f t="shared" si="58"/>
        <v>-1.1886304909560686E-2</v>
      </c>
      <c r="I1877">
        <f t="shared" si="59"/>
        <v>-1.1957511852535525E-2</v>
      </c>
    </row>
    <row r="1878" spans="1:9" x14ac:dyDescent="0.75">
      <c r="A1878" s="1">
        <v>43067</v>
      </c>
      <c r="B1878">
        <v>58.05</v>
      </c>
      <c r="C1878">
        <v>57.99</v>
      </c>
      <c r="D1878">
        <v>58.15</v>
      </c>
      <c r="E1878">
        <v>57.5</v>
      </c>
      <c r="F1878" t="s">
        <v>1756</v>
      </c>
      <c r="G1878" s="2">
        <v>-1.9E-3</v>
      </c>
      <c r="H1878">
        <f t="shared" si="58"/>
        <v>-1.8913342503438693E-3</v>
      </c>
      <c r="I1878">
        <f t="shared" si="59"/>
        <v>-1.8931250813633664E-3</v>
      </c>
    </row>
    <row r="1879" spans="1:9" x14ac:dyDescent="0.75">
      <c r="A1879" s="1">
        <v>43066</v>
      </c>
      <c r="B1879">
        <v>58.16</v>
      </c>
      <c r="C1879">
        <v>58.92</v>
      </c>
      <c r="D1879">
        <v>58.93</v>
      </c>
      <c r="E1879">
        <v>57.6</v>
      </c>
      <c r="F1879" t="s">
        <v>329</v>
      </c>
      <c r="G1879" s="2">
        <v>-1.2699999999999999E-2</v>
      </c>
      <c r="H1879">
        <f t="shared" si="58"/>
        <v>-1.2731285011033782E-2</v>
      </c>
      <c r="I1879">
        <f t="shared" si="59"/>
        <v>-1.2813022308332086E-2</v>
      </c>
    </row>
    <row r="1880" spans="1:9" x14ac:dyDescent="0.75">
      <c r="A1880" s="1">
        <v>43063</v>
      </c>
      <c r="B1880">
        <v>58.91</v>
      </c>
      <c r="C1880">
        <v>58.01</v>
      </c>
      <c r="D1880">
        <v>58.99</v>
      </c>
      <c r="E1880">
        <v>57.74</v>
      </c>
      <c r="F1880" t="s">
        <v>1757</v>
      </c>
      <c r="G1880" s="2">
        <v>9.1000000000000004E-3</v>
      </c>
      <c r="H1880">
        <f t="shared" si="58"/>
        <v>9.0784515244945879E-3</v>
      </c>
      <c r="I1880">
        <f t="shared" si="59"/>
        <v>9.0374901076271889E-3</v>
      </c>
    </row>
    <row r="1881" spans="1:9" x14ac:dyDescent="0.75">
      <c r="A1881" s="1">
        <v>43062</v>
      </c>
      <c r="B1881">
        <v>58.38</v>
      </c>
      <c r="C1881">
        <v>57.97</v>
      </c>
      <c r="D1881">
        <v>58.58</v>
      </c>
      <c r="E1881">
        <v>57.76</v>
      </c>
      <c r="G1881" s="2">
        <v>6.1999999999999998E-3</v>
      </c>
      <c r="H1881">
        <f t="shared" si="58"/>
        <v>6.2047569803515929E-3</v>
      </c>
      <c r="I1881">
        <f t="shared" si="59"/>
        <v>6.1855867327107444E-3</v>
      </c>
    </row>
    <row r="1882" spans="1:9" x14ac:dyDescent="0.75">
      <c r="A1882" s="1">
        <v>43061</v>
      </c>
      <c r="B1882">
        <v>58.02</v>
      </c>
      <c r="C1882">
        <v>57.26</v>
      </c>
      <c r="D1882">
        <v>58.13</v>
      </c>
      <c r="E1882">
        <v>57.1</v>
      </c>
      <c r="F1882" t="s">
        <v>1758</v>
      </c>
      <c r="G1882" s="2">
        <v>1.9300000000000001E-2</v>
      </c>
      <c r="H1882">
        <f t="shared" si="58"/>
        <v>1.9325368938861585E-2</v>
      </c>
      <c r="I1882">
        <f t="shared" si="59"/>
        <v>1.9141005471606277E-2</v>
      </c>
    </row>
    <row r="1883" spans="1:9" x14ac:dyDescent="0.75">
      <c r="A1883" s="1">
        <v>43060</v>
      </c>
      <c r="B1883">
        <v>56.92</v>
      </c>
      <c r="C1883">
        <v>56.51</v>
      </c>
      <c r="D1883">
        <v>57.29</v>
      </c>
      <c r="E1883">
        <v>56.43</v>
      </c>
      <c r="F1883" t="s">
        <v>1759</v>
      </c>
      <c r="G1883" s="2">
        <v>8.8999999999999999E-3</v>
      </c>
      <c r="H1883">
        <f t="shared" si="58"/>
        <v>8.8621056362991838E-3</v>
      </c>
      <c r="I1883">
        <f t="shared" si="59"/>
        <v>8.8230676478013963E-3</v>
      </c>
    </row>
    <row r="1884" spans="1:9" x14ac:dyDescent="0.75">
      <c r="A1884" s="1">
        <v>43059</v>
      </c>
      <c r="B1884">
        <v>56.42</v>
      </c>
      <c r="C1884">
        <v>56.8</v>
      </c>
      <c r="D1884">
        <v>56.93</v>
      </c>
      <c r="E1884">
        <v>55.75</v>
      </c>
      <c r="F1884" t="s">
        <v>1760</v>
      </c>
      <c r="G1884" s="2">
        <v>-5.1000000000000004E-3</v>
      </c>
      <c r="H1884">
        <f t="shared" si="58"/>
        <v>-5.1137365543995617E-3</v>
      </c>
      <c r="I1884">
        <f t="shared" si="59"/>
        <v>-5.1268564520864516E-3</v>
      </c>
    </row>
    <row r="1885" spans="1:9" x14ac:dyDescent="0.75">
      <c r="A1885" s="1">
        <v>43056</v>
      </c>
      <c r="B1885">
        <v>56.71</v>
      </c>
      <c r="C1885">
        <v>55.46</v>
      </c>
      <c r="D1885">
        <v>56.82</v>
      </c>
      <c r="E1885">
        <v>55.39</v>
      </c>
      <c r="F1885" t="s">
        <v>1761</v>
      </c>
      <c r="G1885" s="2">
        <v>2.46E-2</v>
      </c>
      <c r="H1885">
        <f t="shared" si="58"/>
        <v>2.4570912375790413E-2</v>
      </c>
      <c r="I1885">
        <f t="shared" si="59"/>
        <v>2.4273902871290783E-2</v>
      </c>
    </row>
    <row r="1886" spans="1:9" x14ac:dyDescent="0.75">
      <c r="A1886" s="1">
        <v>43055</v>
      </c>
      <c r="B1886">
        <v>55.35</v>
      </c>
      <c r="C1886">
        <v>55.51</v>
      </c>
      <c r="D1886">
        <v>55.83</v>
      </c>
      <c r="E1886">
        <v>55.15</v>
      </c>
      <c r="F1886" t="s">
        <v>1762</v>
      </c>
      <c r="G1886" s="2">
        <v>-3.0999999999999999E-3</v>
      </c>
      <c r="H1886">
        <f t="shared" si="58"/>
        <v>-3.0619596541787051E-3</v>
      </c>
      <c r="I1886">
        <f t="shared" si="59"/>
        <v>-3.0666570439031615E-3</v>
      </c>
    </row>
    <row r="1887" spans="1:9" x14ac:dyDescent="0.75">
      <c r="A1887" s="1">
        <v>43054</v>
      </c>
      <c r="B1887">
        <v>55.52</v>
      </c>
      <c r="C1887">
        <v>55.25</v>
      </c>
      <c r="D1887">
        <v>55.74</v>
      </c>
      <c r="E1887">
        <v>55.08</v>
      </c>
      <c r="F1887" t="s">
        <v>1763</v>
      </c>
      <c r="G1887" s="2">
        <v>-6.6E-3</v>
      </c>
      <c r="H1887">
        <f t="shared" si="58"/>
        <v>-6.6201467167650288E-3</v>
      </c>
      <c r="I1887">
        <f t="shared" si="59"/>
        <v>-6.6421570830576728E-3</v>
      </c>
    </row>
    <row r="1888" spans="1:9" x14ac:dyDescent="0.75">
      <c r="A1888" s="1">
        <v>43053</v>
      </c>
      <c r="B1888">
        <v>55.89</v>
      </c>
      <c r="C1888">
        <v>56.96</v>
      </c>
      <c r="D1888">
        <v>56.98</v>
      </c>
      <c r="E1888">
        <v>55</v>
      </c>
      <c r="F1888" t="s">
        <v>1764</v>
      </c>
      <c r="G1888" s="2">
        <v>-1.9E-2</v>
      </c>
      <c r="H1888">
        <f t="shared" si="58"/>
        <v>-1.8957345971563951E-2</v>
      </c>
      <c r="I1888">
        <f t="shared" si="59"/>
        <v>-1.9139340210697395E-2</v>
      </c>
    </row>
    <row r="1889" spans="1:9" x14ac:dyDescent="0.75">
      <c r="A1889" s="1">
        <v>43052</v>
      </c>
      <c r="B1889">
        <v>56.97</v>
      </c>
      <c r="C1889">
        <v>57.16</v>
      </c>
      <c r="D1889">
        <v>57.37</v>
      </c>
      <c r="E1889">
        <v>56.52</v>
      </c>
      <c r="F1889" t="s">
        <v>1765</v>
      </c>
      <c r="G1889" s="2">
        <v>-2.0000000000000001E-4</v>
      </c>
      <c r="H1889">
        <f t="shared" si="58"/>
        <v>-1.7550017550014058E-4</v>
      </c>
      <c r="I1889">
        <f t="shared" si="59"/>
        <v>-1.7551557745802259E-4</v>
      </c>
    </row>
    <row r="1890" spans="1:9" x14ac:dyDescent="0.75">
      <c r="A1890" s="1">
        <v>43049</v>
      </c>
      <c r="B1890">
        <v>56.98</v>
      </c>
      <c r="C1890">
        <v>57.26</v>
      </c>
      <c r="D1890">
        <v>57.57</v>
      </c>
      <c r="E1890">
        <v>56.79</v>
      </c>
      <c r="F1890" t="s">
        <v>1766</v>
      </c>
      <c r="G1890" s="2">
        <v>-7.1000000000000004E-3</v>
      </c>
      <c r="H1890">
        <f t="shared" si="58"/>
        <v>-7.144101759888547E-3</v>
      </c>
      <c r="I1890">
        <f t="shared" si="59"/>
        <v>-7.1697430505090372E-3</v>
      </c>
    </row>
    <row r="1891" spans="1:9" x14ac:dyDescent="0.75">
      <c r="A1891" s="1">
        <v>43048</v>
      </c>
      <c r="B1891">
        <v>57.39</v>
      </c>
      <c r="C1891">
        <v>57.07</v>
      </c>
      <c r="D1891">
        <v>57.76</v>
      </c>
      <c r="E1891">
        <v>56.92</v>
      </c>
      <c r="F1891" t="s">
        <v>1767</v>
      </c>
      <c r="G1891" s="2">
        <v>6.0000000000000001E-3</v>
      </c>
      <c r="H1891">
        <f t="shared" si="58"/>
        <v>5.9596844872919098E-3</v>
      </c>
      <c r="I1891">
        <f t="shared" si="59"/>
        <v>5.9419958121867079E-3</v>
      </c>
    </row>
    <row r="1892" spans="1:9" x14ac:dyDescent="0.75">
      <c r="A1892" s="1">
        <v>43047</v>
      </c>
      <c r="B1892">
        <v>57.05</v>
      </c>
      <c r="C1892">
        <v>57.22</v>
      </c>
      <c r="D1892">
        <v>58.14</v>
      </c>
      <c r="E1892">
        <v>56.65</v>
      </c>
      <c r="F1892" t="s">
        <v>1768</v>
      </c>
      <c r="G1892" s="2">
        <v>-6.6E-3</v>
      </c>
      <c r="H1892">
        <f t="shared" si="58"/>
        <v>-6.6167508270938979E-3</v>
      </c>
      <c r="I1892">
        <f t="shared" si="59"/>
        <v>-6.6387385681205505E-3</v>
      </c>
    </row>
    <row r="1893" spans="1:9" x14ac:dyDescent="0.75">
      <c r="A1893" s="1">
        <v>43046</v>
      </c>
      <c r="B1893">
        <v>57.43</v>
      </c>
      <c r="C1893">
        <v>57.49</v>
      </c>
      <c r="D1893">
        <v>57.9</v>
      </c>
      <c r="E1893">
        <v>57.06</v>
      </c>
      <c r="F1893" t="s">
        <v>1769</v>
      </c>
      <c r="G1893" s="2">
        <v>-2.3999999999999998E-3</v>
      </c>
      <c r="H1893">
        <f t="shared" si="58"/>
        <v>-2.4318221295813892E-3</v>
      </c>
      <c r="I1893">
        <f t="shared" si="59"/>
        <v>-2.4347838115130775E-3</v>
      </c>
    </row>
    <row r="1894" spans="1:9" x14ac:dyDescent="0.75">
      <c r="A1894" s="1">
        <v>43045</v>
      </c>
      <c r="B1894">
        <v>57.57</v>
      </c>
      <c r="C1894">
        <v>56.2</v>
      </c>
      <c r="D1894">
        <v>57.83</v>
      </c>
      <c r="E1894">
        <v>55.88</v>
      </c>
      <c r="F1894" t="s">
        <v>1770</v>
      </c>
      <c r="G1894" s="2">
        <v>3.0599999999999999E-2</v>
      </c>
      <c r="H1894">
        <f t="shared" si="58"/>
        <v>3.06122448979592E-2</v>
      </c>
      <c r="I1894">
        <f t="shared" si="59"/>
        <v>3.0153038170687457E-2</v>
      </c>
    </row>
    <row r="1895" spans="1:9" x14ac:dyDescent="0.75">
      <c r="A1895" s="1">
        <v>43042</v>
      </c>
      <c r="B1895">
        <v>55.86</v>
      </c>
      <c r="C1895">
        <v>54.92</v>
      </c>
      <c r="D1895">
        <v>55.97</v>
      </c>
      <c r="E1895">
        <v>54.63</v>
      </c>
      <c r="F1895" t="s">
        <v>846</v>
      </c>
      <c r="G1895" s="2">
        <v>1.9900000000000001E-2</v>
      </c>
      <c r="H1895">
        <f t="shared" si="58"/>
        <v>1.9901405879130842E-2</v>
      </c>
      <c r="I1895">
        <f t="shared" si="59"/>
        <v>1.9705961721400753E-2</v>
      </c>
    </row>
    <row r="1896" spans="1:9" x14ac:dyDescent="0.75">
      <c r="A1896" s="1">
        <v>43041</v>
      </c>
      <c r="B1896">
        <v>54.77</v>
      </c>
      <c r="C1896">
        <v>54.52</v>
      </c>
      <c r="D1896">
        <v>55.04</v>
      </c>
      <c r="E1896">
        <v>54.19</v>
      </c>
      <c r="F1896" t="s">
        <v>1771</v>
      </c>
      <c r="G1896" s="2">
        <v>4.7999999999999996E-3</v>
      </c>
      <c r="H1896">
        <f t="shared" si="58"/>
        <v>4.7697670152266579E-3</v>
      </c>
      <c r="I1896">
        <f t="shared" si="59"/>
        <v>4.7584277194405713E-3</v>
      </c>
    </row>
    <row r="1897" spans="1:9" x14ac:dyDescent="0.75">
      <c r="A1897" s="1">
        <v>43040</v>
      </c>
      <c r="B1897">
        <v>54.51</v>
      </c>
      <c r="C1897">
        <v>54.86</v>
      </c>
      <c r="D1897">
        <v>55.42</v>
      </c>
      <c r="E1897">
        <v>54.11</v>
      </c>
      <c r="F1897" t="s">
        <v>1772</v>
      </c>
      <c r="G1897" s="2">
        <v>-1.5E-3</v>
      </c>
      <c r="H1897">
        <f t="shared" si="58"/>
        <v>-1.4654698662759735E-3</v>
      </c>
      <c r="I1897">
        <f t="shared" si="59"/>
        <v>-1.4665447174767908E-3</v>
      </c>
    </row>
    <row r="1898" spans="1:9" x14ac:dyDescent="0.75">
      <c r="A1898" s="1">
        <v>43039</v>
      </c>
      <c r="B1898">
        <v>54.59</v>
      </c>
      <c r="C1898">
        <v>54.29</v>
      </c>
      <c r="D1898">
        <v>55.05</v>
      </c>
      <c r="E1898">
        <v>54.15</v>
      </c>
      <c r="F1898" t="s">
        <v>1773</v>
      </c>
      <c r="G1898" s="2">
        <v>4.0000000000000001E-3</v>
      </c>
      <c r="H1898">
        <f t="shared" si="58"/>
        <v>4.0463490895715649E-3</v>
      </c>
      <c r="I1898">
        <f t="shared" si="59"/>
        <v>4.0381846358369519E-3</v>
      </c>
    </row>
    <row r="1899" spans="1:9" x14ac:dyDescent="0.75">
      <c r="A1899" s="1">
        <v>43038</v>
      </c>
      <c r="B1899">
        <v>54.37</v>
      </c>
      <c r="C1899">
        <v>54.35</v>
      </c>
      <c r="D1899">
        <v>54.64</v>
      </c>
      <c r="E1899">
        <v>53.96</v>
      </c>
      <c r="F1899" t="s">
        <v>1774</v>
      </c>
      <c r="G1899" s="2">
        <v>5.1999999999999998E-3</v>
      </c>
      <c r="H1899">
        <f t="shared" si="58"/>
        <v>5.1765575892030692E-3</v>
      </c>
      <c r="I1899">
        <f t="shared" si="59"/>
        <v>5.1632052744936237E-3</v>
      </c>
    </row>
    <row r="1900" spans="1:9" x14ac:dyDescent="0.75">
      <c r="A1900" s="1">
        <v>43035</v>
      </c>
      <c r="B1900">
        <v>54.09</v>
      </c>
      <c r="C1900">
        <v>53.01</v>
      </c>
      <c r="D1900">
        <v>54.36</v>
      </c>
      <c r="E1900">
        <v>52.46</v>
      </c>
      <c r="F1900" t="s">
        <v>1775</v>
      </c>
      <c r="G1900" s="2">
        <v>2.3300000000000001E-2</v>
      </c>
      <c r="H1900">
        <f t="shared" si="58"/>
        <v>2.3269012485811653E-2</v>
      </c>
      <c r="I1900">
        <f t="shared" si="59"/>
        <v>2.3002416707192573E-2</v>
      </c>
    </row>
    <row r="1901" spans="1:9" x14ac:dyDescent="0.75">
      <c r="A1901" s="1">
        <v>43034</v>
      </c>
      <c r="B1901">
        <v>52.86</v>
      </c>
      <c r="C1901">
        <v>52.43</v>
      </c>
      <c r="D1901">
        <v>53.06</v>
      </c>
      <c r="E1901">
        <v>52.16</v>
      </c>
      <c r="F1901" t="s">
        <v>1776</v>
      </c>
      <c r="G1901" s="2">
        <v>8.2000000000000007E-3</v>
      </c>
      <c r="H1901">
        <f t="shared" si="58"/>
        <v>8.2014114056837631E-3</v>
      </c>
      <c r="I1901">
        <f t="shared" si="59"/>
        <v>8.1679625917018238E-3</v>
      </c>
    </row>
    <row r="1902" spans="1:9" x14ac:dyDescent="0.75">
      <c r="A1902" s="1">
        <v>43033</v>
      </c>
      <c r="B1902">
        <v>52.43</v>
      </c>
      <c r="C1902">
        <v>52.75</v>
      </c>
      <c r="D1902">
        <v>52.77</v>
      </c>
      <c r="E1902">
        <v>52.13</v>
      </c>
      <c r="F1902" t="s">
        <v>1777</v>
      </c>
      <c r="G1902" s="2">
        <v>-4.5999999999999999E-3</v>
      </c>
      <c r="H1902">
        <f t="shared" si="58"/>
        <v>-4.5566736282514142E-3</v>
      </c>
      <c r="I1902">
        <f t="shared" si="59"/>
        <v>-4.5670869108565861E-3</v>
      </c>
    </row>
    <row r="1903" spans="1:9" x14ac:dyDescent="0.75">
      <c r="A1903" s="1">
        <v>43032</v>
      </c>
      <c r="B1903">
        <v>52.67</v>
      </c>
      <c r="C1903">
        <v>52.08</v>
      </c>
      <c r="D1903">
        <v>52.82</v>
      </c>
      <c r="E1903">
        <v>51.73</v>
      </c>
      <c r="F1903" t="s">
        <v>1778</v>
      </c>
      <c r="G1903" s="2">
        <v>1.1299999999999999E-2</v>
      </c>
      <c r="H1903">
        <f t="shared" si="58"/>
        <v>1.1328725038402524E-2</v>
      </c>
      <c r="I1903">
        <f t="shared" si="59"/>
        <v>1.1265035594984143E-2</v>
      </c>
    </row>
    <row r="1904" spans="1:9" x14ac:dyDescent="0.75">
      <c r="A1904" s="1">
        <v>43031</v>
      </c>
      <c r="B1904">
        <v>52.08</v>
      </c>
      <c r="C1904">
        <v>52.29</v>
      </c>
      <c r="D1904">
        <v>52.48</v>
      </c>
      <c r="E1904">
        <v>51.86</v>
      </c>
      <c r="F1904" t="s">
        <v>1779</v>
      </c>
      <c r="G1904" s="2">
        <v>4.5999999999999999E-3</v>
      </c>
      <c r="H1904">
        <f t="shared" si="58"/>
        <v>4.6296296296295305E-3</v>
      </c>
      <c r="I1904">
        <f t="shared" si="59"/>
        <v>4.6189458562944583E-3</v>
      </c>
    </row>
    <row r="1905" spans="1:9" x14ac:dyDescent="0.75">
      <c r="A1905" s="1">
        <v>43028</v>
      </c>
      <c r="B1905">
        <v>51.84</v>
      </c>
      <c r="C1905">
        <v>51.59</v>
      </c>
      <c r="D1905">
        <v>52.09</v>
      </c>
      <c r="E1905">
        <v>50.87</v>
      </c>
      <c r="F1905" t="s">
        <v>1780</v>
      </c>
      <c r="G1905" s="2">
        <v>6.4000000000000003E-3</v>
      </c>
      <c r="H1905">
        <f t="shared" si="58"/>
        <v>6.406523005241806E-3</v>
      </c>
      <c r="I1905">
        <f t="shared" si="59"/>
        <v>6.3860884665256131E-3</v>
      </c>
    </row>
    <row r="1906" spans="1:9" x14ac:dyDescent="0.75">
      <c r="A1906" s="1">
        <v>43027</v>
      </c>
      <c r="B1906">
        <v>51.51</v>
      </c>
      <c r="C1906">
        <v>52.26</v>
      </c>
      <c r="D1906">
        <v>52.39</v>
      </c>
      <c r="E1906">
        <v>51.28</v>
      </c>
      <c r="F1906" t="s">
        <v>1781</v>
      </c>
      <c r="G1906" s="2">
        <v>-1.44E-2</v>
      </c>
      <c r="H1906">
        <f t="shared" si="58"/>
        <v>-1.4351320321469576E-2</v>
      </c>
      <c r="I1906">
        <f t="shared" si="59"/>
        <v>-1.4455296514972573E-2</v>
      </c>
    </row>
    <row r="1907" spans="1:9" x14ac:dyDescent="0.75">
      <c r="A1907" s="1">
        <v>43026</v>
      </c>
      <c r="B1907">
        <v>52.26</v>
      </c>
      <c r="C1907">
        <v>52.17</v>
      </c>
      <c r="D1907">
        <v>52.56</v>
      </c>
      <c r="E1907">
        <v>51.92</v>
      </c>
      <c r="F1907" t="s">
        <v>1782</v>
      </c>
      <c r="G1907" s="2">
        <v>2.8999999999999998E-3</v>
      </c>
      <c r="H1907">
        <f t="shared" si="58"/>
        <v>2.8785261945883434E-3</v>
      </c>
      <c r="I1907">
        <f t="shared" si="59"/>
        <v>2.8743911713430821E-3</v>
      </c>
    </row>
    <row r="1908" spans="1:9" x14ac:dyDescent="0.75">
      <c r="A1908" s="1">
        <v>43025</v>
      </c>
      <c r="B1908">
        <v>52.11</v>
      </c>
      <c r="C1908">
        <v>52.2</v>
      </c>
      <c r="D1908">
        <v>52.51</v>
      </c>
      <c r="E1908">
        <v>51.48</v>
      </c>
      <c r="F1908" t="s">
        <v>1783</v>
      </c>
      <c r="G1908" s="2">
        <v>-5.9999999999999995E-4</v>
      </c>
      <c r="H1908">
        <f t="shared" si="58"/>
        <v>-5.7537399309553388E-4</v>
      </c>
      <c r="I1908">
        <f t="shared" si="59"/>
        <v>-5.755395842323858E-4</v>
      </c>
    </row>
    <row r="1909" spans="1:9" x14ac:dyDescent="0.75">
      <c r="A1909" s="1">
        <v>43024</v>
      </c>
      <c r="B1909">
        <v>52.14</v>
      </c>
      <c r="C1909">
        <v>51.7</v>
      </c>
      <c r="D1909">
        <v>52.65</v>
      </c>
      <c r="E1909">
        <v>51.63</v>
      </c>
      <c r="F1909" t="s">
        <v>1784</v>
      </c>
      <c r="G1909" s="2">
        <v>7.9000000000000008E-3</v>
      </c>
      <c r="H1909">
        <f t="shared" si="58"/>
        <v>7.9257684129132745E-3</v>
      </c>
      <c r="I1909">
        <f t="shared" si="59"/>
        <v>7.8945244899320151E-3</v>
      </c>
    </row>
    <row r="1910" spans="1:9" x14ac:dyDescent="0.75">
      <c r="A1910" s="1">
        <v>43021</v>
      </c>
      <c r="B1910">
        <v>51.73</v>
      </c>
      <c r="C1910">
        <v>51.07</v>
      </c>
      <c r="D1910">
        <v>52.03</v>
      </c>
      <c r="E1910">
        <v>51.02</v>
      </c>
      <c r="F1910" t="s">
        <v>1785</v>
      </c>
      <c r="G1910" s="2">
        <v>1.5699999999999999E-2</v>
      </c>
      <c r="H1910">
        <f t="shared" si="58"/>
        <v>1.5707834282348267E-2</v>
      </c>
      <c r="I1910">
        <f t="shared" si="59"/>
        <v>1.5585743118910374E-2</v>
      </c>
    </row>
    <row r="1911" spans="1:9" x14ac:dyDescent="0.75">
      <c r="A1911" s="1">
        <v>43020</v>
      </c>
      <c r="B1911">
        <v>50.93</v>
      </c>
      <c r="C1911">
        <v>51.29</v>
      </c>
      <c r="D1911">
        <v>51.42</v>
      </c>
      <c r="E1911">
        <v>50.48</v>
      </c>
      <c r="F1911" t="s">
        <v>1786</v>
      </c>
      <c r="G1911" s="2">
        <v>-1.2999999999999999E-2</v>
      </c>
      <c r="H1911">
        <f t="shared" si="58"/>
        <v>-1.2984496124031041E-2</v>
      </c>
      <c r="I1911">
        <f t="shared" si="59"/>
        <v>-1.3069531591003868E-2</v>
      </c>
    </row>
    <row r="1912" spans="1:9" x14ac:dyDescent="0.75">
      <c r="A1912" s="1">
        <v>43019</v>
      </c>
      <c r="B1912">
        <v>51.6</v>
      </c>
      <c r="C1912">
        <v>51.24</v>
      </c>
      <c r="D1912">
        <v>51.69</v>
      </c>
      <c r="E1912">
        <v>50.91</v>
      </c>
      <c r="F1912" t="s">
        <v>1787</v>
      </c>
      <c r="G1912" s="2">
        <v>7.1999999999999998E-3</v>
      </c>
      <c r="H1912">
        <f t="shared" si="58"/>
        <v>7.2223306656256994E-3</v>
      </c>
      <c r="I1912">
        <f t="shared" si="59"/>
        <v>7.1963745364061298E-3</v>
      </c>
    </row>
    <row r="1913" spans="1:9" x14ac:dyDescent="0.75">
      <c r="A1913" s="1">
        <v>43018</v>
      </c>
      <c r="B1913">
        <v>51.23</v>
      </c>
      <c r="C1913">
        <v>49.87</v>
      </c>
      <c r="D1913">
        <v>51.38</v>
      </c>
      <c r="E1913">
        <v>49.87</v>
      </c>
      <c r="F1913" t="s">
        <v>1788</v>
      </c>
      <c r="G1913" s="2">
        <v>2.5999999999999999E-2</v>
      </c>
      <c r="H1913">
        <f t="shared" si="58"/>
        <v>2.6036451031443964E-2</v>
      </c>
      <c r="I1913">
        <f t="shared" si="59"/>
        <v>2.5703273438592904E-2</v>
      </c>
    </row>
    <row r="1914" spans="1:9" x14ac:dyDescent="0.75">
      <c r="A1914" s="1">
        <v>43017</v>
      </c>
      <c r="B1914">
        <v>49.93</v>
      </c>
      <c r="C1914">
        <v>49.65</v>
      </c>
      <c r="D1914">
        <v>50.13</v>
      </c>
      <c r="E1914">
        <v>49.48</v>
      </c>
      <c r="F1914" t="s">
        <v>1789</v>
      </c>
      <c r="G1914" s="2">
        <v>5.5999999999999999E-3</v>
      </c>
      <c r="H1914">
        <f t="shared" si="58"/>
        <v>5.6394763343404061E-3</v>
      </c>
      <c r="I1914">
        <f t="shared" si="59"/>
        <v>5.6236340213362988E-3</v>
      </c>
    </row>
    <row r="1915" spans="1:9" x14ac:dyDescent="0.75">
      <c r="A1915" s="1">
        <v>43014</v>
      </c>
      <c r="B1915">
        <v>49.65</v>
      </c>
      <c r="C1915">
        <v>51.11</v>
      </c>
      <c r="D1915">
        <v>51.17</v>
      </c>
      <c r="E1915">
        <v>49.44</v>
      </c>
      <c r="F1915" t="s">
        <v>1790</v>
      </c>
      <c r="G1915" s="2">
        <v>-2.93E-2</v>
      </c>
      <c r="H1915">
        <f t="shared" si="58"/>
        <v>-2.932551319648094E-2</v>
      </c>
      <c r="I1915">
        <f t="shared" si="59"/>
        <v>-2.9764101906453861E-2</v>
      </c>
    </row>
    <row r="1916" spans="1:9" x14ac:dyDescent="0.75">
      <c r="A1916" s="1">
        <v>43013</v>
      </c>
      <c r="B1916">
        <v>51.15</v>
      </c>
      <c r="C1916">
        <v>50.2</v>
      </c>
      <c r="D1916">
        <v>51.53</v>
      </c>
      <c r="E1916">
        <v>50.19</v>
      </c>
      <c r="F1916" t="s">
        <v>1791</v>
      </c>
      <c r="G1916" s="2">
        <v>1.6500000000000001E-2</v>
      </c>
      <c r="H1916">
        <f t="shared" si="58"/>
        <v>1.6494435612082636E-2</v>
      </c>
      <c r="I1916">
        <f t="shared" si="59"/>
        <v>1.635988000545037E-2</v>
      </c>
    </row>
    <row r="1917" spans="1:9" x14ac:dyDescent="0.75">
      <c r="A1917" s="1">
        <v>43012</v>
      </c>
      <c r="B1917">
        <v>50.32</v>
      </c>
      <c r="C1917">
        <v>50.5</v>
      </c>
      <c r="D1917">
        <v>50.96</v>
      </c>
      <c r="E1917">
        <v>50.11</v>
      </c>
      <c r="F1917" t="s">
        <v>1792</v>
      </c>
      <c r="G1917" s="2">
        <v>-8.3000000000000001E-3</v>
      </c>
      <c r="H1917">
        <f t="shared" si="58"/>
        <v>-8.2774931020891153E-3</v>
      </c>
      <c r="I1917">
        <f t="shared" si="59"/>
        <v>-8.3119417789507891E-3</v>
      </c>
    </row>
    <row r="1918" spans="1:9" x14ac:dyDescent="0.75">
      <c r="A1918" s="1">
        <v>43011</v>
      </c>
      <c r="B1918">
        <v>50.74</v>
      </c>
      <c r="C1918">
        <v>50.92</v>
      </c>
      <c r="D1918">
        <v>51.04</v>
      </c>
      <c r="E1918">
        <v>50.45</v>
      </c>
      <c r="F1918" t="s">
        <v>1793</v>
      </c>
      <c r="G1918" s="2">
        <v>-3.0999999999999999E-3</v>
      </c>
      <c r="H1918">
        <f t="shared" si="58"/>
        <v>-3.1434184675834301E-3</v>
      </c>
      <c r="I1918">
        <f t="shared" si="59"/>
        <v>-3.1483693853412271E-3</v>
      </c>
    </row>
    <row r="1919" spans="1:9" x14ac:dyDescent="0.75">
      <c r="A1919" s="1">
        <v>43010</v>
      </c>
      <c r="B1919">
        <v>50.9</v>
      </c>
      <c r="C1919">
        <v>51.84</v>
      </c>
      <c r="D1919">
        <v>51.98</v>
      </c>
      <c r="E1919">
        <v>50.39</v>
      </c>
      <c r="F1919" t="s">
        <v>1794</v>
      </c>
      <c r="G1919" s="2">
        <v>-2.0199999999999999E-2</v>
      </c>
      <c r="H1919">
        <f t="shared" si="58"/>
        <v>-2.0211742059672844E-2</v>
      </c>
      <c r="I1919">
        <f t="shared" si="59"/>
        <v>-2.0418793988759378E-2</v>
      </c>
    </row>
    <row r="1920" spans="1:9" x14ac:dyDescent="0.75">
      <c r="A1920" s="1">
        <v>43007</v>
      </c>
      <c r="B1920">
        <v>51.95</v>
      </c>
      <c r="C1920">
        <v>51.94</v>
      </c>
      <c r="D1920">
        <v>52.08</v>
      </c>
      <c r="E1920">
        <v>51.59</v>
      </c>
      <c r="F1920" t="s">
        <v>1795</v>
      </c>
      <c r="G1920" s="2">
        <v>1.5E-3</v>
      </c>
      <c r="H1920">
        <f t="shared" si="58"/>
        <v>1.5423173317911203E-3</v>
      </c>
      <c r="I1920">
        <f t="shared" si="59"/>
        <v>1.5411291819277793E-3</v>
      </c>
    </row>
    <row r="1921" spans="1:9" x14ac:dyDescent="0.75">
      <c r="A1921" s="1">
        <v>43006</v>
      </c>
      <c r="B1921">
        <v>51.87</v>
      </c>
      <c r="C1921">
        <v>52.35</v>
      </c>
      <c r="D1921">
        <v>53.11</v>
      </c>
      <c r="E1921">
        <v>51.51</v>
      </c>
      <c r="F1921" t="s">
        <v>1796</v>
      </c>
      <c r="G1921" s="2">
        <v>-1.0699999999999999E-2</v>
      </c>
      <c r="H1921">
        <f t="shared" si="58"/>
        <v>-1.0680907877169602E-2</v>
      </c>
      <c r="I1921">
        <f t="shared" si="59"/>
        <v>-1.0738358221132609E-2</v>
      </c>
    </row>
    <row r="1922" spans="1:9" x14ac:dyDescent="0.75">
      <c r="A1922" s="1">
        <v>43005</v>
      </c>
      <c r="B1922">
        <v>52.43</v>
      </c>
      <c r="C1922">
        <v>52.4</v>
      </c>
      <c r="D1922">
        <v>52.62</v>
      </c>
      <c r="E1922">
        <v>51.93</v>
      </c>
      <c r="F1922" t="s">
        <v>205</v>
      </c>
      <c r="G1922" s="2">
        <v>1.06E-2</v>
      </c>
      <c r="H1922">
        <f t="shared" si="58"/>
        <v>1.0601387818041579E-2</v>
      </c>
      <c r="I1922">
        <f t="shared" si="59"/>
        <v>1.054558713619819E-2</v>
      </c>
    </row>
    <row r="1923" spans="1:9" x14ac:dyDescent="0.75">
      <c r="A1923" s="1">
        <v>43004</v>
      </c>
      <c r="B1923">
        <v>51.88</v>
      </c>
      <c r="C1923">
        <v>52.12</v>
      </c>
      <c r="D1923">
        <v>52.43</v>
      </c>
      <c r="E1923">
        <v>51.43</v>
      </c>
      <c r="F1923" t="s">
        <v>1797</v>
      </c>
      <c r="G1923" s="2">
        <v>-6.4999999999999997E-3</v>
      </c>
      <c r="H1923">
        <f t="shared" ref="H1923:H1986" si="60">(B1923-B1924)/B1924</f>
        <v>-6.5109153581002742E-3</v>
      </c>
      <c r="I1923">
        <f t="shared" ref="I1923:I1986" si="61">LN(B1923/B1924)</f>
        <v>-6.5322038227395313E-3</v>
      </c>
    </row>
    <row r="1924" spans="1:9" x14ac:dyDescent="0.75">
      <c r="A1924" s="1">
        <v>43003</v>
      </c>
      <c r="B1924">
        <v>52.22</v>
      </c>
      <c r="C1924">
        <v>50.68</v>
      </c>
      <c r="D1924">
        <v>52.28</v>
      </c>
      <c r="E1924">
        <v>50.39</v>
      </c>
      <c r="F1924" t="s">
        <v>1798</v>
      </c>
      <c r="G1924" s="2">
        <v>3.0800000000000001E-2</v>
      </c>
      <c r="H1924">
        <f t="shared" si="60"/>
        <v>3.0793525463876873E-2</v>
      </c>
      <c r="I1924">
        <f t="shared" si="61"/>
        <v>3.0328918697453723E-2</v>
      </c>
    </row>
    <row r="1925" spans="1:9" x14ac:dyDescent="0.75">
      <c r="A1925" s="1">
        <v>43000</v>
      </c>
      <c r="B1925">
        <v>50.66</v>
      </c>
      <c r="C1925">
        <v>50.73</v>
      </c>
      <c r="D1925">
        <v>50.78</v>
      </c>
      <c r="E1925">
        <v>50.29</v>
      </c>
      <c r="F1925" t="s">
        <v>1799</v>
      </c>
      <c r="G1925" s="2">
        <v>2.2000000000000001E-3</v>
      </c>
      <c r="H1925">
        <f t="shared" si="60"/>
        <v>2.1760633036597317E-3</v>
      </c>
      <c r="I1925">
        <f t="shared" si="61"/>
        <v>2.1736991070488224E-3</v>
      </c>
    </row>
    <row r="1926" spans="1:9" x14ac:dyDescent="0.75">
      <c r="A1926" s="1">
        <v>42999</v>
      </c>
      <c r="B1926">
        <v>50.55</v>
      </c>
      <c r="C1926">
        <v>50.72</v>
      </c>
      <c r="D1926">
        <v>50.81</v>
      </c>
      <c r="E1926">
        <v>50.07</v>
      </c>
      <c r="F1926" t="s">
        <v>1800</v>
      </c>
      <c r="G1926" s="2">
        <v>2.8E-3</v>
      </c>
      <c r="H1926">
        <f t="shared" si="60"/>
        <v>2.777226740726058E-3</v>
      </c>
      <c r="I1926">
        <f t="shared" si="61"/>
        <v>2.7733773719409035E-3</v>
      </c>
    </row>
    <row r="1927" spans="1:9" x14ac:dyDescent="0.75">
      <c r="A1927" s="1">
        <v>42998</v>
      </c>
      <c r="B1927">
        <v>50.41</v>
      </c>
      <c r="C1927">
        <v>49.84</v>
      </c>
      <c r="D1927">
        <v>50.65</v>
      </c>
      <c r="E1927">
        <v>49.75</v>
      </c>
      <c r="F1927" t="s">
        <v>1801</v>
      </c>
      <c r="G1927" s="2">
        <v>1.8800000000000001E-2</v>
      </c>
      <c r="H1927">
        <f t="shared" si="60"/>
        <v>1.8795472918350844E-2</v>
      </c>
      <c r="I1927">
        <f t="shared" si="61"/>
        <v>1.8621020570252295E-2</v>
      </c>
    </row>
    <row r="1928" spans="1:9" x14ac:dyDescent="0.75">
      <c r="A1928" s="1">
        <v>42997</v>
      </c>
      <c r="B1928">
        <v>49.48</v>
      </c>
      <c r="C1928">
        <v>49.91</v>
      </c>
      <c r="D1928">
        <v>50.42</v>
      </c>
      <c r="E1928">
        <v>49.33</v>
      </c>
      <c r="F1928" t="s">
        <v>1802</v>
      </c>
      <c r="G1928" s="2">
        <v>-8.6E-3</v>
      </c>
      <c r="H1928">
        <f t="shared" si="60"/>
        <v>-8.6155079142456372E-3</v>
      </c>
      <c r="I1928">
        <f t="shared" si="61"/>
        <v>-8.6528359572306708E-3</v>
      </c>
    </row>
    <row r="1929" spans="1:9" x14ac:dyDescent="0.75">
      <c r="A1929" s="1">
        <v>42996</v>
      </c>
      <c r="B1929">
        <v>49.91</v>
      </c>
      <c r="C1929">
        <v>49.85</v>
      </c>
      <c r="D1929">
        <v>50.33</v>
      </c>
      <c r="E1929">
        <v>49.19</v>
      </c>
      <c r="F1929" t="s">
        <v>1803</v>
      </c>
      <c r="G1929" s="2">
        <v>4.0000000000000002E-4</v>
      </c>
      <c r="H1929">
        <f t="shared" si="60"/>
        <v>4.0088194026851112E-4</v>
      </c>
      <c r="I1929">
        <f t="shared" si="61"/>
        <v>4.0080160857183312E-4</v>
      </c>
    </row>
    <row r="1930" spans="1:9" x14ac:dyDescent="0.75">
      <c r="A1930" s="1">
        <v>42993</v>
      </c>
      <c r="B1930">
        <v>49.89</v>
      </c>
      <c r="C1930">
        <v>49.72</v>
      </c>
      <c r="D1930">
        <v>50.13</v>
      </c>
      <c r="E1930">
        <v>49.41</v>
      </c>
      <c r="F1930" t="s">
        <v>1804</v>
      </c>
      <c r="G1930" s="2">
        <v>0</v>
      </c>
      <c r="H1930">
        <f t="shared" si="60"/>
        <v>0</v>
      </c>
      <c r="I1930">
        <f t="shared" si="61"/>
        <v>0</v>
      </c>
    </row>
    <row r="1931" spans="1:9" x14ac:dyDescent="0.75">
      <c r="A1931" s="1">
        <v>42992</v>
      </c>
      <c r="B1931">
        <v>49.89</v>
      </c>
      <c r="C1931">
        <v>49.31</v>
      </c>
      <c r="D1931">
        <v>50.5</v>
      </c>
      <c r="E1931">
        <v>49.15</v>
      </c>
      <c r="F1931" t="s">
        <v>1805</v>
      </c>
      <c r="G1931" s="2">
        <v>1.2E-2</v>
      </c>
      <c r="H1931">
        <f t="shared" si="60"/>
        <v>1.1967545638945302E-2</v>
      </c>
      <c r="I1931">
        <f t="shared" si="61"/>
        <v>1.1896500824301541E-2</v>
      </c>
    </row>
    <row r="1932" spans="1:9" x14ac:dyDescent="0.75">
      <c r="A1932" s="1">
        <v>42991</v>
      </c>
      <c r="B1932">
        <v>49.3</v>
      </c>
      <c r="C1932">
        <v>48.34</v>
      </c>
      <c r="D1932">
        <v>49.4</v>
      </c>
      <c r="E1932">
        <v>48.12</v>
      </c>
      <c r="F1932" t="s">
        <v>1806</v>
      </c>
      <c r="G1932" s="2">
        <v>2.2200000000000001E-2</v>
      </c>
      <c r="H1932">
        <f t="shared" si="60"/>
        <v>2.2185361808003325E-2</v>
      </c>
      <c r="I1932">
        <f t="shared" si="61"/>
        <v>2.1942846967763836E-2</v>
      </c>
    </row>
    <row r="1933" spans="1:9" x14ac:dyDescent="0.75">
      <c r="A1933" s="1">
        <v>42990</v>
      </c>
      <c r="B1933">
        <v>48.23</v>
      </c>
      <c r="C1933">
        <v>48.12</v>
      </c>
      <c r="D1933">
        <v>48.44</v>
      </c>
      <c r="E1933">
        <v>47.73</v>
      </c>
      <c r="F1933" t="s">
        <v>1807</v>
      </c>
      <c r="G1933" s="2">
        <v>3.3E-3</v>
      </c>
      <c r="H1933">
        <f t="shared" si="60"/>
        <v>3.328479301019276E-3</v>
      </c>
      <c r="I1933">
        <f t="shared" si="61"/>
        <v>3.3229521750111498E-3</v>
      </c>
    </row>
    <row r="1934" spans="1:9" x14ac:dyDescent="0.75">
      <c r="A1934" s="1">
        <v>42989</v>
      </c>
      <c r="B1934">
        <v>48.07</v>
      </c>
      <c r="C1934">
        <v>47.58</v>
      </c>
      <c r="D1934">
        <v>48.27</v>
      </c>
      <c r="E1934">
        <v>47</v>
      </c>
      <c r="F1934" t="s">
        <v>1808</v>
      </c>
      <c r="G1934" s="2">
        <v>1.24E-2</v>
      </c>
      <c r="H1934">
        <f t="shared" si="60"/>
        <v>1.2426284751474377E-2</v>
      </c>
      <c r="I1934">
        <f t="shared" si="61"/>
        <v>1.234971216440218E-2</v>
      </c>
    </row>
    <row r="1935" spans="1:9" x14ac:dyDescent="0.75">
      <c r="A1935" s="1">
        <v>42986</v>
      </c>
      <c r="B1935">
        <v>47.48</v>
      </c>
      <c r="C1935">
        <v>49.09</v>
      </c>
      <c r="D1935">
        <v>49.26</v>
      </c>
      <c r="E1935">
        <v>47.27</v>
      </c>
      <c r="F1935" t="s">
        <v>1809</v>
      </c>
      <c r="G1935" s="2">
        <v>-3.2800000000000003E-2</v>
      </c>
      <c r="H1935">
        <f t="shared" si="60"/>
        <v>-3.2796903646363951E-2</v>
      </c>
      <c r="I1935">
        <f t="shared" si="61"/>
        <v>-3.3346778328494024E-2</v>
      </c>
    </row>
    <row r="1936" spans="1:9" x14ac:dyDescent="0.75">
      <c r="A1936" s="1">
        <v>42985</v>
      </c>
      <c r="B1936">
        <v>49.09</v>
      </c>
      <c r="C1936">
        <v>49.14</v>
      </c>
      <c r="D1936">
        <v>49.33</v>
      </c>
      <c r="E1936">
        <v>48.63</v>
      </c>
      <c r="F1936" t="s">
        <v>1810</v>
      </c>
      <c r="G1936" s="2">
        <v>-1.4E-3</v>
      </c>
      <c r="H1936">
        <f t="shared" si="60"/>
        <v>-1.4239218877134497E-3</v>
      </c>
      <c r="I1936">
        <f t="shared" si="61"/>
        <v>-1.4249366278728122E-3</v>
      </c>
    </row>
    <row r="1937" spans="1:9" x14ac:dyDescent="0.75">
      <c r="A1937" s="1">
        <v>42984</v>
      </c>
      <c r="B1937">
        <v>49.16</v>
      </c>
      <c r="C1937">
        <v>48.59</v>
      </c>
      <c r="D1937">
        <v>49.42</v>
      </c>
      <c r="E1937">
        <v>48.52</v>
      </c>
      <c r="F1937" t="s">
        <v>1811</v>
      </c>
      <c r="G1937" s="2">
        <v>1.03E-2</v>
      </c>
      <c r="H1937">
        <f t="shared" si="60"/>
        <v>1.0275380189066997E-2</v>
      </c>
      <c r="I1937">
        <f t="shared" si="61"/>
        <v>1.0222947342457453E-2</v>
      </c>
    </row>
    <row r="1938" spans="1:9" x14ac:dyDescent="0.75">
      <c r="A1938" s="1">
        <v>42983</v>
      </c>
      <c r="B1938">
        <v>48.66</v>
      </c>
      <c r="C1938">
        <v>47.28</v>
      </c>
      <c r="D1938">
        <v>48.98</v>
      </c>
      <c r="E1938">
        <v>47.15</v>
      </c>
      <c r="F1938" t="s">
        <v>1812</v>
      </c>
      <c r="G1938" s="2">
        <v>2.64E-2</v>
      </c>
      <c r="H1938">
        <f t="shared" si="60"/>
        <v>2.6365745623286228E-2</v>
      </c>
      <c r="I1938">
        <f t="shared" si="61"/>
        <v>2.6024160441349562E-2</v>
      </c>
    </row>
    <row r="1939" spans="1:9" x14ac:dyDescent="0.75">
      <c r="A1939" s="1">
        <v>42982</v>
      </c>
      <c r="B1939">
        <v>47.41</v>
      </c>
      <c r="C1939">
        <v>47.31</v>
      </c>
      <c r="D1939">
        <v>47.66</v>
      </c>
      <c r="E1939">
        <v>47.16</v>
      </c>
      <c r="G1939" s="2">
        <v>1.9E-3</v>
      </c>
      <c r="H1939">
        <f t="shared" si="60"/>
        <v>1.9019442096364393E-3</v>
      </c>
      <c r="I1939">
        <f t="shared" si="61"/>
        <v>1.9001378038408267E-3</v>
      </c>
    </row>
    <row r="1940" spans="1:9" x14ac:dyDescent="0.75">
      <c r="A1940" s="1">
        <v>42981</v>
      </c>
      <c r="B1940">
        <v>47.32</v>
      </c>
      <c r="C1940">
        <v>47.31</v>
      </c>
      <c r="D1940">
        <v>47.42</v>
      </c>
      <c r="E1940">
        <v>47.3</v>
      </c>
      <c r="G1940" s="2">
        <v>5.9999999999999995E-4</v>
      </c>
      <c r="H1940">
        <f t="shared" si="60"/>
        <v>6.3438359061114688E-4</v>
      </c>
      <c r="I1940">
        <f t="shared" si="61"/>
        <v>6.341824544015696E-4</v>
      </c>
    </row>
    <row r="1941" spans="1:9" x14ac:dyDescent="0.75">
      <c r="A1941" s="1">
        <v>42979</v>
      </c>
      <c r="B1941">
        <v>47.29</v>
      </c>
      <c r="C1941">
        <v>47.08</v>
      </c>
      <c r="D1941">
        <v>47.35</v>
      </c>
      <c r="E1941">
        <v>46.56</v>
      </c>
      <c r="F1941" t="s">
        <v>1813</v>
      </c>
      <c r="G1941" s="2">
        <v>1.2999999999999999E-3</v>
      </c>
      <c r="H1941">
        <f t="shared" si="60"/>
        <v>1.270378996400641E-3</v>
      </c>
      <c r="I1941">
        <f t="shared" si="61"/>
        <v>1.2695727477586636E-3</v>
      </c>
    </row>
    <row r="1942" spans="1:9" x14ac:dyDescent="0.75">
      <c r="A1942" s="1">
        <v>42978</v>
      </c>
      <c r="B1942">
        <v>47.23</v>
      </c>
      <c r="C1942">
        <v>45.95</v>
      </c>
      <c r="D1942">
        <v>47.47</v>
      </c>
      <c r="E1942">
        <v>45.58</v>
      </c>
      <c r="F1942" t="s">
        <v>1814</v>
      </c>
      <c r="G1942" s="2">
        <v>2.76E-2</v>
      </c>
      <c r="H1942">
        <f t="shared" si="60"/>
        <v>2.7632724107919844E-2</v>
      </c>
      <c r="I1942">
        <f t="shared" si="61"/>
        <v>2.725783092747083E-2</v>
      </c>
    </row>
    <row r="1943" spans="1:9" x14ac:dyDescent="0.75">
      <c r="A1943" s="1">
        <v>42977</v>
      </c>
      <c r="B1943">
        <v>45.96</v>
      </c>
      <c r="C1943">
        <v>46.31</v>
      </c>
      <c r="D1943">
        <v>46.72</v>
      </c>
      <c r="E1943">
        <v>45.84</v>
      </c>
      <c r="F1943" t="s">
        <v>1815</v>
      </c>
      <c r="G1943" s="2">
        <v>-1.03E-2</v>
      </c>
      <c r="H1943">
        <f t="shared" si="60"/>
        <v>-1.0335917312661431E-2</v>
      </c>
      <c r="I1943">
        <f t="shared" si="61"/>
        <v>-1.0389703849135798E-2</v>
      </c>
    </row>
    <row r="1944" spans="1:9" x14ac:dyDescent="0.75">
      <c r="A1944" s="1">
        <v>42976</v>
      </c>
      <c r="B1944">
        <v>46.44</v>
      </c>
      <c r="C1944">
        <v>46.86</v>
      </c>
      <c r="D1944">
        <v>46.96</v>
      </c>
      <c r="E1944">
        <v>45.76</v>
      </c>
      <c r="F1944" t="s">
        <v>1816</v>
      </c>
      <c r="G1944" s="2">
        <v>-2.8E-3</v>
      </c>
      <c r="H1944">
        <f t="shared" si="60"/>
        <v>-2.7914966716771003E-3</v>
      </c>
      <c r="I1944">
        <f t="shared" si="61"/>
        <v>-2.795400164595156E-3</v>
      </c>
    </row>
    <row r="1945" spans="1:9" x14ac:dyDescent="0.75">
      <c r="A1945" s="1">
        <v>42975</v>
      </c>
      <c r="B1945">
        <v>46.57</v>
      </c>
      <c r="C1945">
        <v>47.89</v>
      </c>
      <c r="D1945">
        <v>48.2</v>
      </c>
      <c r="E1945">
        <v>46.15</v>
      </c>
      <c r="F1945" t="s">
        <v>1817</v>
      </c>
      <c r="G1945" s="2">
        <v>-2.7199999999999998E-2</v>
      </c>
      <c r="H1945">
        <f t="shared" si="60"/>
        <v>-2.7156883225402072E-2</v>
      </c>
      <c r="I1945">
        <f t="shared" si="61"/>
        <v>-2.7532446410131792E-2</v>
      </c>
    </row>
    <row r="1946" spans="1:9" x14ac:dyDescent="0.75">
      <c r="A1946" s="1">
        <v>42972</v>
      </c>
      <c r="B1946">
        <v>47.87</v>
      </c>
      <c r="C1946">
        <v>47.62</v>
      </c>
      <c r="D1946">
        <v>47.91</v>
      </c>
      <c r="E1946">
        <v>47.39</v>
      </c>
      <c r="F1946" t="s">
        <v>1818</v>
      </c>
      <c r="G1946" s="2">
        <v>9.2999999999999992E-3</v>
      </c>
      <c r="H1946">
        <f t="shared" si="60"/>
        <v>9.2768290111743135E-3</v>
      </c>
      <c r="I1946">
        <f t="shared" si="61"/>
        <v>9.2340635149271728E-3</v>
      </c>
    </row>
    <row r="1947" spans="1:9" x14ac:dyDescent="0.75">
      <c r="A1947" s="1">
        <v>42971</v>
      </c>
      <c r="B1947">
        <v>47.43</v>
      </c>
      <c r="C1947">
        <v>48.36</v>
      </c>
      <c r="D1947">
        <v>48.43</v>
      </c>
      <c r="E1947">
        <v>47.06</v>
      </c>
      <c r="F1947" t="s">
        <v>1819</v>
      </c>
      <c r="G1947" s="2">
        <v>-2.0199999999999999E-2</v>
      </c>
      <c r="H1947">
        <f t="shared" si="60"/>
        <v>-2.0243751291055503E-2</v>
      </c>
      <c r="I1947">
        <f t="shared" si="61"/>
        <v>-2.0451464062112571E-2</v>
      </c>
    </row>
    <row r="1948" spans="1:9" x14ac:dyDescent="0.75">
      <c r="A1948" s="1">
        <v>42970</v>
      </c>
      <c r="B1948">
        <v>48.41</v>
      </c>
      <c r="C1948">
        <v>47.64</v>
      </c>
      <c r="D1948">
        <v>48.5</v>
      </c>
      <c r="E1948">
        <v>47.53</v>
      </c>
      <c r="F1948" t="s">
        <v>1820</v>
      </c>
      <c r="G1948" s="2">
        <v>1.6199999999999999E-2</v>
      </c>
      <c r="H1948">
        <f t="shared" si="60"/>
        <v>1.6162888329135098E-2</v>
      </c>
      <c r="I1948">
        <f t="shared" si="61"/>
        <v>1.6033659464503604E-2</v>
      </c>
    </row>
    <row r="1949" spans="1:9" x14ac:dyDescent="0.75">
      <c r="A1949" s="1">
        <v>42969</v>
      </c>
      <c r="B1949">
        <v>47.64</v>
      </c>
      <c r="C1949">
        <v>47.45</v>
      </c>
      <c r="D1949">
        <v>48.03</v>
      </c>
      <c r="E1949">
        <v>47.2</v>
      </c>
      <c r="F1949" t="s">
        <v>1821</v>
      </c>
      <c r="G1949" s="2">
        <v>5.7000000000000002E-3</v>
      </c>
      <c r="H1949">
        <f t="shared" si="60"/>
        <v>5.6998100063331888E-3</v>
      </c>
      <c r="I1949">
        <f t="shared" si="61"/>
        <v>5.6836275514390577E-3</v>
      </c>
    </row>
    <row r="1950" spans="1:9" x14ac:dyDescent="0.75">
      <c r="A1950" s="1">
        <v>42968</v>
      </c>
      <c r="B1950">
        <v>47.37</v>
      </c>
      <c r="C1950">
        <v>48.72</v>
      </c>
      <c r="D1950">
        <v>48.75</v>
      </c>
      <c r="E1950">
        <v>47.03</v>
      </c>
      <c r="F1950" t="s">
        <v>1822</v>
      </c>
      <c r="G1950" s="2">
        <v>-2.35E-2</v>
      </c>
      <c r="H1950">
        <f t="shared" si="60"/>
        <v>-2.3500309214594943E-2</v>
      </c>
      <c r="I1950">
        <f t="shared" si="61"/>
        <v>-2.3780845321464721E-2</v>
      </c>
    </row>
    <row r="1951" spans="1:9" x14ac:dyDescent="0.75">
      <c r="A1951" s="1">
        <v>42965</v>
      </c>
      <c r="B1951">
        <v>48.51</v>
      </c>
      <c r="C1951">
        <v>46.93</v>
      </c>
      <c r="D1951">
        <v>48.74</v>
      </c>
      <c r="E1951">
        <v>46.78</v>
      </c>
      <c r="F1951" t="s">
        <v>1823</v>
      </c>
      <c r="G1951" s="2">
        <v>3.0200000000000001E-2</v>
      </c>
      <c r="H1951">
        <f t="shared" si="60"/>
        <v>3.0155022297727638E-2</v>
      </c>
      <c r="I1951">
        <f t="shared" si="61"/>
        <v>2.9709298001661801E-2</v>
      </c>
    </row>
    <row r="1952" spans="1:9" x14ac:dyDescent="0.75">
      <c r="A1952" s="1">
        <v>42964</v>
      </c>
      <c r="B1952">
        <v>47.09</v>
      </c>
      <c r="C1952">
        <v>46.8</v>
      </c>
      <c r="D1952">
        <v>47.19</v>
      </c>
      <c r="E1952">
        <v>46.46</v>
      </c>
      <c r="F1952" t="s">
        <v>1824</v>
      </c>
      <c r="G1952" s="2">
        <v>6.6E-3</v>
      </c>
      <c r="H1952">
        <f t="shared" si="60"/>
        <v>6.626763574177047E-3</v>
      </c>
      <c r="I1952">
        <f t="shared" si="61"/>
        <v>6.6049030994302657E-3</v>
      </c>
    </row>
    <row r="1953" spans="1:9" x14ac:dyDescent="0.75">
      <c r="A1953" s="1">
        <v>42963</v>
      </c>
      <c r="B1953">
        <v>46.78</v>
      </c>
      <c r="C1953">
        <v>47.72</v>
      </c>
      <c r="D1953">
        <v>47.99</v>
      </c>
      <c r="E1953">
        <v>46.67</v>
      </c>
      <c r="F1953" t="s">
        <v>1825</v>
      </c>
      <c r="G1953" s="2">
        <v>-1.6199999999999999E-2</v>
      </c>
      <c r="H1953">
        <f t="shared" si="60"/>
        <v>-1.6193480546792767E-2</v>
      </c>
      <c r="I1953">
        <f t="shared" si="61"/>
        <v>-1.6326027835366311E-2</v>
      </c>
    </row>
    <row r="1954" spans="1:9" x14ac:dyDescent="0.75">
      <c r="A1954" s="1">
        <v>42962</v>
      </c>
      <c r="B1954">
        <v>47.55</v>
      </c>
      <c r="C1954">
        <v>47.49</v>
      </c>
      <c r="D1954">
        <v>47.9</v>
      </c>
      <c r="E1954">
        <v>47.02</v>
      </c>
      <c r="F1954" t="s">
        <v>1826</v>
      </c>
      <c r="G1954" s="2">
        <v>-8.0000000000000004E-4</v>
      </c>
      <c r="H1954">
        <f t="shared" si="60"/>
        <v>-8.405127127549117E-4</v>
      </c>
      <c r="I1954">
        <f t="shared" si="61"/>
        <v>-8.4086614161986884E-4</v>
      </c>
    </row>
    <row r="1955" spans="1:9" x14ac:dyDescent="0.75">
      <c r="A1955" s="1">
        <v>42961</v>
      </c>
      <c r="B1955">
        <v>47.59</v>
      </c>
      <c r="C1955">
        <v>48.79</v>
      </c>
      <c r="D1955">
        <v>49.16</v>
      </c>
      <c r="E1955">
        <v>47.43</v>
      </c>
      <c r="F1955" t="s">
        <v>1827</v>
      </c>
      <c r="G1955" s="2">
        <v>-2.52E-2</v>
      </c>
      <c r="H1955">
        <f t="shared" si="60"/>
        <v>-2.5194592380171996E-2</v>
      </c>
      <c r="I1955">
        <f t="shared" si="61"/>
        <v>-2.5517409831794822E-2</v>
      </c>
    </row>
    <row r="1956" spans="1:9" x14ac:dyDescent="0.75">
      <c r="A1956" s="1">
        <v>42958</v>
      </c>
      <c r="B1956">
        <v>48.82</v>
      </c>
      <c r="C1956">
        <v>48.52</v>
      </c>
      <c r="D1956">
        <v>48.98</v>
      </c>
      <c r="E1956">
        <v>47.98</v>
      </c>
      <c r="F1956" t="s">
        <v>1828</v>
      </c>
      <c r="G1956" s="2">
        <v>4.7000000000000002E-3</v>
      </c>
      <c r="H1956">
        <f t="shared" si="60"/>
        <v>4.7334842560196929E-3</v>
      </c>
      <c r="I1956">
        <f t="shared" si="61"/>
        <v>4.7223165470022341E-3</v>
      </c>
    </row>
    <row r="1957" spans="1:9" x14ac:dyDescent="0.75">
      <c r="A1957" s="1">
        <v>42957</v>
      </c>
      <c r="B1957">
        <v>48.59</v>
      </c>
      <c r="C1957">
        <v>49.68</v>
      </c>
      <c r="D1957">
        <v>50.22</v>
      </c>
      <c r="E1957">
        <v>48.35</v>
      </c>
      <c r="F1957" t="s">
        <v>1829</v>
      </c>
      <c r="G1957" s="2">
        <v>-1.9599999999999999E-2</v>
      </c>
      <c r="H1957">
        <f t="shared" si="60"/>
        <v>-1.9572235673930564E-2</v>
      </c>
      <c r="I1957">
        <f t="shared" si="61"/>
        <v>-1.976630834313E-2</v>
      </c>
    </row>
    <row r="1958" spans="1:9" x14ac:dyDescent="0.75">
      <c r="A1958" s="1">
        <v>42956</v>
      </c>
      <c r="B1958">
        <v>49.56</v>
      </c>
      <c r="C1958">
        <v>49</v>
      </c>
      <c r="D1958">
        <v>49.72</v>
      </c>
      <c r="E1958">
        <v>48.9</v>
      </c>
      <c r="F1958" t="s">
        <v>1830</v>
      </c>
      <c r="G1958" s="2">
        <v>7.9000000000000008E-3</v>
      </c>
      <c r="H1958">
        <f t="shared" si="60"/>
        <v>7.9316656497864669E-3</v>
      </c>
      <c r="I1958">
        <f t="shared" si="61"/>
        <v>7.900375337093769E-3</v>
      </c>
    </row>
    <row r="1959" spans="1:9" x14ac:dyDescent="0.75">
      <c r="A1959" s="1">
        <v>42955</v>
      </c>
      <c r="B1959">
        <v>49.17</v>
      </c>
      <c r="C1959">
        <v>49.31</v>
      </c>
      <c r="D1959">
        <v>49.79</v>
      </c>
      <c r="E1959">
        <v>48.86</v>
      </c>
      <c r="F1959" t="s">
        <v>1831</v>
      </c>
      <c r="G1959" s="2">
        <v>-8.0999999999999996E-3</v>
      </c>
      <c r="H1959">
        <f t="shared" si="60"/>
        <v>-8.0693968125882306E-3</v>
      </c>
      <c r="I1959">
        <f t="shared" si="61"/>
        <v>-8.1021306086344804E-3</v>
      </c>
    </row>
    <row r="1960" spans="1:9" x14ac:dyDescent="0.75">
      <c r="A1960" s="1">
        <v>42954</v>
      </c>
      <c r="B1960">
        <v>49.57</v>
      </c>
      <c r="C1960">
        <v>49.72</v>
      </c>
      <c r="D1960">
        <v>49.87</v>
      </c>
      <c r="E1960">
        <v>48.7</v>
      </c>
      <c r="F1960" t="s">
        <v>1832</v>
      </c>
      <c r="G1960" s="2">
        <v>-3.2000000000000002E-3</v>
      </c>
      <c r="H1960">
        <f t="shared" si="60"/>
        <v>-3.2173738186204825E-3</v>
      </c>
      <c r="I1960">
        <f t="shared" si="61"/>
        <v>-3.2225606941646309E-3</v>
      </c>
    </row>
    <row r="1961" spans="1:9" x14ac:dyDescent="0.75">
      <c r="A1961" s="1">
        <v>42951</v>
      </c>
      <c r="B1961">
        <v>49.73</v>
      </c>
      <c r="C1961">
        <v>49.12</v>
      </c>
      <c r="D1961">
        <v>49.78</v>
      </c>
      <c r="E1961">
        <v>48.66</v>
      </c>
      <c r="F1961" t="s">
        <v>1833</v>
      </c>
      <c r="G1961" s="2">
        <v>1.0999999999999999E-2</v>
      </c>
      <c r="H1961">
        <f t="shared" si="60"/>
        <v>1.0977841024598478E-2</v>
      </c>
      <c r="I1961">
        <f t="shared" si="61"/>
        <v>1.0918021919398663E-2</v>
      </c>
    </row>
    <row r="1962" spans="1:9" x14ac:dyDescent="0.75">
      <c r="A1962" s="1">
        <v>42950</v>
      </c>
      <c r="B1962">
        <v>49.19</v>
      </c>
      <c r="C1962">
        <v>49.74</v>
      </c>
      <c r="D1962">
        <v>50.09</v>
      </c>
      <c r="E1962">
        <v>48.95</v>
      </c>
      <c r="F1962" t="s">
        <v>1834</v>
      </c>
      <c r="G1962" s="2">
        <v>-1.09E-2</v>
      </c>
      <c r="H1962">
        <f t="shared" si="60"/>
        <v>-1.0858636637844343E-2</v>
      </c>
      <c r="I1962">
        <f t="shared" si="61"/>
        <v>-1.0918021919398741E-2</v>
      </c>
    </row>
    <row r="1963" spans="1:9" x14ac:dyDescent="0.75">
      <c r="A1963" s="1">
        <v>42949</v>
      </c>
      <c r="B1963">
        <v>49.73</v>
      </c>
      <c r="C1963">
        <v>49</v>
      </c>
      <c r="D1963">
        <v>49.78</v>
      </c>
      <c r="E1963">
        <v>48.7</v>
      </c>
      <c r="F1963" t="s">
        <v>1835</v>
      </c>
      <c r="G1963" s="2">
        <v>8.8999999999999999E-3</v>
      </c>
      <c r="H1963">
        <f t="shared" si="60"/>
        <v>8.9267599918847178E-3</v>
      </c>
      <c r="I1963">
        <f t="shared" si="61"/>
        <v>8.8871520093607576E-3</v>
      </c>
    </row>
    <row r="1964" spans="1:9" x14ac:dyDescent="0.75">
      <c r="A1964" s="1">
        <v>42948</v>
      </c>
      <c r="B1964">
        <v>49.29</v>
      </c>
      <c r="C1964">
        <v>50.3</v>
      </c>
      <c r="D1964">
        <v>50.51</v>
      </c>
      <c r="E1964">
        <v>48.49</v>
      </c>
      <c r="F1964" t="s">
        <v>97</v>
      </c>
      <c r="G1964" s="2">
        <v>-1.9300000000000001E-2</v>
      </c>
      <c r="H1964">
        <f t="shared" si="60"/>
        <v>-1.9299641862315937E-2</v>
      </c>
      <c r="I1964">
        <f t="shared" si="61"/>
        <v>-1.9488311398159677E-2</v>
      </c>
    </row>
    <row r="1965" spans="1:9" x14ac:dyDescent="0.75">
      <c r="A1965" s="1">
        <v>42947</v>
      </c>
      <c r="B1965">
        <v>50.26</v>
      </c>
      <c r="C1965">
        <v>49.97</v>
      </c>
      <c r="D1965">
        <v>50.49</v>
      </c>
      <c r="E1965">
        <v>49.3</v>
      </c>
      <c r="F1965" t="s">
        <v>1836</v>
      </c>
      <c r="G1965" s="2">
        <v>8.9999999999999993E-3</v>
      </c>
      <c r="H1965">
        <f t="shared" si="60"/>
        <v>9.0343304557316956E-3</v>
      </c>
      <c r="I1965">
        <f t="shared" si="61"/>
        <v>8.9937650302539755E-3</v>
      </c>
    </row>
    <row r="1966" spans="1:9" x14ac:dyDescent="0.75">
      <c r="A1966" s="1">
        <v>42944</v>
      </c>
      <c r="B1966">
        <v>49.81</v>
      </c>
      <c r="C1966">
        <v>49.27</v>
      </c>
      <c r="D1966">
        <v>49.9</v>
      </c>
      <c r="E1966">
        <v>49</v>
      </c>
      <c r="F1966" t="s">
        <v>1837</v>
      </c>
      <c r="G1966" s="2">
        <v>1.2999999999999999E-2</v>
      </c>
      <c r="H1966">
        <f t="shared" si="60"/>
        <v>1.3016066707341886E-2</v>
      </c>
      <c r="I1966">
        <f t="shared" si="61"/>
        <v>1.2932085661343925E-2</v>
      </c>
    </row>
    <row r="1967" spans="1:9" x14ac:dyDescent="0.75">
      <c r="A1967" s="1">
        <v>42943</v>
      </c>
      <c r="B1967">
        <v>49.17</v>
      </c>
      <c r="C1967">
        <v>48.79</v>
      </c>
      <c r="D1967">
        <v>49.36</v>
      </c>
      <c r="E1967">
        <v>48.35</v>
      </c>
      <c r="F1967" t="s">
        <v>1838</v>
      </c>
      <c r="G1967" s="2">
        <v>6.6E-3</v>
      </c>
      <c r="H1967">
        <f t="shared" si="60"/>
        <v>6.5506653019447346E-3</v>
      </c>
      <c r="I1967">
        <f t="shared" si="61"/>
        <v>6.5293029350562354E-3</v>
      </c>
    </row>
    <row r="1968" spans="1:9" x14ac:dyDescent="0.75">
      <c r="A1968" s="1">
        <v>42942</v>
      </c>
      <c r="B1968">
        <v>48.85</v>
      </c>
      <c r="C1968">
        <v>48.64</v>
      </c>
      <c r="D1968">
        <v>48.98</v>
      </c>
      <c r="E1968">
        <v>47.98</v>
      </c>
      <c r="F1968" t="s">
        <v>866</v>
      </c>
      <c r="G1968" s="2">
        <v>1.7299999999999999E-2</v>
      </c>
      <c r="H1968">
        <f t="shared" si="60"/>
        <v>1.7284464806330658E-2</v>
      </c>
      <c r="I1968">
        <f t="shared" si="61"/>
        <v>1.7136787695684504E-2</v>
      </c>
    </row>
    <row r="1969" spans="1:9" x14ac:dyDescent="0.75">
      <c r="A1969" s="1">
        <v>42941</v>
      </c>
      <c r="B1969">
        <v>48.02</v>
      </c>
      <c r="C1969">
        <v>46.63</v>
      </c>
      <c r="D1969">
        <v>48.78</v>
      </c>
      <c r="E1969">
        <v>46.53</v>
      </c>
      <c r="F1969" t="s">
        <v>1839</v>
      </c>
      <c r="G1969" s="2">
        <v>3.2500000000000001E-2</v>
      </c>
      <c r="H1969">
        <f t="shared" si="60"/>
        <v>3.2466136314771125E-2</v>
      </c>
      <c r="I1969">
        <f t="shared" si="61"/>
        <v>3.195024755710163E-2</v>
      </c>
    </row>
    <row r="1970" spans="1:9" x14ac:dyDescent="0.75">
      <c r="A1970" s="1">
        <v>42940</v>
      </c>
      <c r="B1970">
        <v>46.51</v>
      </c>
      <c r="C1970">
        <v>45.78</v>
      </c>
      <c r="D1970">
        <v>46.68</v>
      </c>
      <c r="E1970">
        <v>45.58</v>
      </c>
      <c r="F1970" t="s">
        <v>1840</v>
      </c>
      <c r="G1970" s="2">
        <v>1.2200000000000001E-2</v>
      </c>
      <c r="H1970">
        <f t="shared" si="60"/>
        <v>1.2187159956474323E-2</v>
      </c>
      <c r="I1970">
        <f t="shared" si="61"/>
        <v>1.21134944343094E-2</v>
      </c>
    </row>
    <row r="1971" spans="1:9" x14ac:dyDescent="0.75">
      <c r="A1971" s="1">
        <v>42937</v>
      </c>
      <c r="B1971">
        <v>45.95</v>
      </c>
      <c r="C1971">
        <v>47.02</v>
      </c>
      <c r="D1971">
        <v>47.38</v>
      </c>
      <c r="E1971">
        <v>45.73</v>
      </c>
      <c r="F1971" t="s">
        <v>1841</v>
      </c>
      <c r="G1971" s="2">
        <v>-2.07E-2</v>
      </c>
      <c r="H1971">
        <f t="shared" si="60"/>
        <v>-2.0673486786018731E-2</v>
      </c>
      <c r="I1971">
        <f t="shared" si="61"/>
        <v>-2.0890174983578671E-2</v>
      </c>
    </row>
    <row r="1972" spans="1:9" x14ac:dyDescent="0.75">
      <c r="A1972" s="1">
        <v>42936</v>
      </c>
      <c r="B1972">
        <v>46.92</v>
      </c>
      <c r="C1972">
        <v>47.27</v>
      </c>
      <c r="D1972">
        <v>47.74</v>
      </c>
      <c r="E1972">
        <v>46.81</v>
      </c>
      <c r="F1972" t="s">
        <v>1842</v>
      </c>
      <c r="G1972" s="2">
        <v>-8.5000000000000006E-3</v>
      </c>
      <c r="H1972">
        <f t="shared" si="60"/>
        <v>-8.4530853761622688E-3</v>
      </c>
      <c r="I1972">
        <f t="shared" si="61"/>
        <v>-8.4890153249113105E-3</v>
      </c>
    </row>
    <row r="1973" spans="1:9" x14ac:dyDescent="0.75">
      <c r="A1973" s="1">
        <v>42935</v>
      </c>
      <c r="B1973">
        <v>47.32</v>
      </c>
      <c r="C1973">
        <v>46.48</v>
      </c>
      <c r="D1973">
        <v>47.46</v>
      </c>
      <c r="E1973">
        <v>46.32</v>
      </c>
      <c r="F1973" t="s">
        <v>1843</v>
      </c>
      <c r="G1973" s="2">
        <v>1.5699999999999999E-2</v>
      </c>
      <c r="H1973">
        <f t="shared" si="60"/>
        <v>1.5668598411676258E-2</v>
      </c>
      <c r="I1973">
        <f t="shared" si="61"/>
        <v>1.5547113281480538E-2</v>
      </c>
    </row>
    <row r="1974" spans="1:9" x14ac:dyDescent="0.75">
      <c r="A1974" s="1">
        <v>42934</v>
      </c>
      <c r="B1974">
        <v>46.59</v>
      </c>
      <c r="C1974">
        <v>46.17</v>
      </c>
      <c r="D1974">
        <v>47.14</v>
      </c>
      <c r="E1974">
        <v>46.02</v>
      </c>
      <c r="F1974" t="s">
        <v>1844</v>
      </c>
      <c r="G1974" s="2">
        <v>7.7999999999999996E-3</v>
      </c>
      <c r="H1974">
        <f t="shared" si="60"/>
        <v>7.7871512005192852E-3</v>
      </c>
      <c r="I1974">
        <f t="shared" si="61"/>
        <v>7.7569878285713798E-3</v>
      </c>
    </row>
    <row r="1975" spans="1:9" x14ac:dyDescent="0.75">
      <c r="A1975" s="1">
        <v>42933</v>
      </c>
      <c r="B1975">
        <v>46.23</v>
      </c>
      <c r="C1975">
        <v>46.89</v>
      </c>
      <c r="D1975">
        <v>47.08</v>
      </c>
      <c r="E1975">
        <v>46.1</v>
      </c>
      <c r="F1975" t="s">
        <v>1845</v>
      </c>
      <c r="G1975" s="2">
        <v>-1.11E-2</v>
      </c>
      <c r="H1975">
        <f t="shared" si="60"/>
        <v>-1.1122994652406484E-2</v>
      </c>
      <c r="I1975">
        <f t="shared" si="61"/>
        <v>-1.1185317734562031E-2</v>
      </c>
    </row>
    <row r="1976" spans="1:9" x14ac:dyDescent="0.75">
      <c r="A1976" s="1">
        <v>42930</v>
      </c>
      <c r="B1976">
        <v>46.75</v>
      </c>
      <c r="C1976">
        <v>46.26</v>
      </c>
      <c r="D1976">
        <v>46.93</v>
      </c>
      <c r="E1976">
        <v>45.97</v>
      </c>
      <c r="F1976" t="s">
        <v>1846</v>
      </c>
      <c r="G1976" s="2">
        <v>1.0800000000000001E-2</v>
      </c>
      <c r="H1976">
        <f t="shared" si="60"/>
        <v>1.0810810810810811E-2</v>
      </c>
      <c r="I1976">
        <f t="shared" si="61"/>
        <v>1.0752791776261697E-2</v>
      </c>
    </row>
    <row r="1977" spans="1:9" x14ac:dyDescent="0.75">
      <c r="A1977" s="1">
        <v>42929</v>
      </c>
      <c r="B1977">
        <v>46.25</v>
      </c>
      <c r="C1977">
        <v>45.62</v>
      </c>
      <c r="D1977">
        <v>46.43</v>
      </c>
      <c r="E1977">
        <v>45.16</v>
      </c>
      <c r="F1977" t="s">
        <v>1847</v>
      </c>
      <c r="G1977" s="2">
        <v>1.29E-2</v>
      </c>
      <c r="H1977">
        <f t="shared" si="60"/>
        <v>1.2921594393342169E-2</v>
      </c>
      <c r="I1977">
        <f t="shared" si="61"/>
        <v>1.28388228567847E-2</v>
      </c>
    </row>
    <row r="1978" spans="1:9" x14ac:dyDescent="0.75">
      <c r="A1978" s="1">
        <v>42928</v>
      </c>
      <c r="B1978">
        <v>45.66</v>
      </c>
      <c r="C1978">
        <v>45.9</v>
      </c>
      <c r="D1978">
        <v>46.65</v>
      </c>
      <c r="E1978">
        <v>45.28</v>
      </c>
      <c r="F1978" t="s">
        <v>1848</v>
      </c>
      <c r="G1978" s="2">
        <v>9.4999999999999998E-3</v>
      </c>
      <c r="H1978">
        <f t="shared" si="60"/>
        <v>9.5069644041565274E-3</v>
      </c>
      <c r="I1978">
        <f t="shared" si="61"/>
        <v>9.4620576118976969E-3</v>
      </c>
    </row>
    <row r="1979" spans="1:9" x14ac:dyDescent="0.75">
      <c r="A1979" s="1">
        <v>42927</v>
      </c>
      <c r="B1979">
        <v>45.23</v>
      </c>
      <c r="C1979">
        <v>44.76</v>
      </c>
      <c r="D1979">
        <v>45.98</v>
      </c>
      <c r="E1979">
        <v>44.03</v>
      </c>
      <c r="F1979" t="s">
        <v>1849</v>
      </c>
      <c r="G1979" s="2">
        <v>1.41E-2</v>
      </c>
      <c r="H1979">
        <f t="shared" si="60"/>
        <v>1.4125560538116489E-2</v>
      </c>
      <c r="I1979">
        <f t="shared" si="61"/>
        <v>1.4026724463733344E-2</v>
      </c>
    </row>
    <row r="1980" spans="1:9" x14ac:dyDescent="0.75">
      <c r="A1980" s="1">
        <v>42926</v>
      </c>
      <c r="B1980">
        <v>44.6</v>
      </c>
      <c r="C1980">
        <v>44.5</v>
      </c>
      <c r="D1980">
        <v>45.03</v>
      </c>
      <c r="E1980">
        <v>43.83</v>
      </c>
      <c r="F1980" t="s">
        <v>1850</v>
      </c>
      <c r="G1980" s="2">
        <v>4.7000000000000002E-3</v>
      </c>
      <c r="H1980">
        <f t="shared" si="60"/>
        <v>4.730795224149602E-3</v>
      </c>
      <c r="I1980">
        <f t="shared" si="61"/>
        <v>4.7196401800744681E-3</v>
      </c>
    </row>
    <row r="1981" spans="1:9" x14ac:dyDescent="0.75">
      <c r="A1981" s="1">
        <v>42923</v>
      </c>
      <c r="B1981">
        <v>44.39</v>
      </c>
      <c r="C1981">
        <v>45.56</v>
      </c>
      <c r="D1981">
        <v>45.61</v>
      </c>
      <c r="E1981">
        <v>43.96</v>
      </c>
      <c r="F1981" t="s">
        <v>1851</v>
      </c>
      <c r="G1981" s="2">
        <v>-2.87E-2</v>
      </c>
      <c r="H1981">
        <f t="shared" si="60"/>
        <v>-2.8665207877461754E-2</v>
      </c>
      <c r="I1981">
        <f t="shared" si="61"/>
        <v>-2.9084079054215176E-2</v>
      </c>
    </row>
    <row r="1982" spans="1:9" x14ac:dyDescent="0.75">
      <c r="A1982" s="1">
        <v>42922</v>
      </c>
      <c r="B1982">
        <v>45.7</v>
      </c>
      <c r="C1982">
        <v>45.87</v>
      </c>
      <c r="D1982">
        <v>46.73</v>
      </c>
      <c r="E1982">
        <v>45.37</v>
      </c>
      <c r="F1982" t="s">
        <v>1852</v>
      </c>
      <c r="G1982" s="2">
        <v>7.9000000000000008E-3</v>
      </c>
      <c r="H1982">
        <f t="shared" si="60"/>
        <v>7.9400088222320118E-3</v>
      </c>
      <c r="I1982">
        <f t="shared" si="61"/>
        <v>7.9086528207761679E-3</v>
      </c>
    </row>
    <row r="1983" spans="1:9" x14ac:dyDescent="0.75">
      <c r="A1983" s="1">
        <v>42921</v>
      </c>
      <c r="B1983">
        <v>45.34</v>
      </c>
      <c r="C1983">
        <v>47.25</v>
      </c>
      <c r="D1983">
        <v>47.52</v>
      </c>
      <c r="E1983">
        <v>44.73</v>
      </c>
      <c r="F1983" t="s">
        <v>1853</v>
      </c>
      <c r="G1983" s="2">
        <v>-3.7999999999999999E-2</v>
      </c>
      <c r="H1983">
        <f t="shared" si="60"/>
        <v>-3.7980055166560556E-2</v>
      </c>
      <c r="I1983">
        <f t="shared" si="61"/>
        <v>-3.872009585625652E-2</v>
      </c>
    </row>
    <row r="1984" spans="1:9" x14ac:dyDescent="0.75">
      <c r="A1984" s="1">
        <v>42920</v>
      </c>
      <c r="B1984">
        <v>47.13</v>
      </c>
      <c r="C1984">
        <v>47.06</v>
      </c>
      <c r="D1984">
        <v>47.31</v>
      </c>
      <c r="E1984">
        <v>46.74</v>
      </c>
      <c r="G1984" s="2">
        <v>-3.3999999999999998E-3</v>
      </c>
      <c r="H1984">
        <f t="shared" si="60"/>
        <v>-3.3833791499259165E-3</v>
      </c>
      <c r="I1984">
        <f t="shared" si="61"/>
        <v>-3.3891157201448672E-3</v>
      </c>
    </row>
    <row r="1985" spans="1:9" x14ac:dyDescent="0.75">
      <c r="A1985" s="1">
        <v>42919</v>
      </c>
      <c r="B1985">
        <v>47.29</v>
      </c>
      <c r="C1985">
        <v>46.51</v>
      </c>
      <c r="D1985">
        <v>47.32</v>
      </c>
      <c r="E1985">
        <v>46.14</v>
      </c>
      <c r="F1985" t="s">
        <v>1854</v>
      </c>
      <c r="G1985" s="2">
        <v>2.1600000000000001E-2</v>
      </c>
      <c r="H1985">
        <f t="shared" si="60"/>
        <v>2.1602937999567941E-2</v>
      </c>
      <c r="I1985">
        <f t="shared" si="61"/>
        <v>2.1372901612605227E-2</v>
      </c>
    </row>
    <row r="1986" spans="1:9" x14ac:dyDescent="0.75">
      <c r="A1986" s="1">
        <v>42916</v>
      </c>
      <c r="B1986">
        <v>46.29</v>
      </c>
      <c r="C1986">
        <v>45.16</v>
      </c>
      <c r="D1986">
        <v>46.59</v>
      </c>
      <c r="E1986">
        <v>45.14</v>
      </c>
      <c r="F1986" t="s">
        <v>1855</v>
      </c>
      <c r="G1986" s="2">
        <v>2.41E-2</v>
      </c>
      <c r="H1986">
        <f t="shared" si="60"/>
        <v>2.4115044247787529E-2</v>
      </c>
      <c r="I1986">
        <f t="shared" si="61"/>
        <v>2.3828868204993595E-2</v>
      </c>
    </row>
    <row r="1987" spans="1:9" x14ac:dyDescent="0.75">
      <c r="A1987" s="1">
        <v>42915</v>
      </c>
      <c r="B1987">
        <v>45.2</v>
      </c>
      <c r="C1987">
        <v>45.12</v>
      </c>
      <c r="D1987">
        <v>45.7</v>
      </c>
      <c r="E1987">
        <v>44.91</v>
      </c>
      <c r="F1987" t="s">
        <v>1856</v>
      </c>
      <c r="G1987" s="2">
        <v>4.7000000000000002E-3</v>
      </c>
      <c r="H1987">
        <f t="shared" ref="H1987:H2050" si="62">(B1987-B1988)/B1988</f>
        <v>4.6677039342076206E-3</v>
      </c>
      <c r="I1987">
        <f t="shared" ref="I1987:I2050" si="63">LN(B1987/B1988)</f>
        <v>4.6568439851045482E-3</v>
      </c>
    </row>
    <row r="1988" spans="1:9" x14ac:dyDescent="0.75">
      <c r="A1988" s="1">
        <v>42914</v>
      </c>
      <c r="B1988">
        <v>44.99</v>
      </c>
      <c r="C1988">
        <v>43.89</v>
      </c>
      <c r="D1988">
        <v>45.14</v>
      </c>
      <c r="E1988">
        <v>43.89</v>
      </c>
      <c r="F1988" t="s">
        <v>1857</v>
      </c>
      <c r="G1988" s="2">
        <v>1.12E-2</v>
      </c>
      <c r="H1988">
        <f t="shared" si="62"/>
        <v>1.1238480557428635E-2</v>
      </c>
      <c r="I1988">
        <f t="shared" si="63"/>
        <v>1.1175798035130467E-2</v>
      </c>
    </row>
    <row r="1989" spans="1:9" x14ac:dyDescent="0.75">
      <c r="A1989" s="1">
        <v>42913</v>
      </c>
      <c r="B1989">
        <v>44.49</v>
      </c>
      <c r="C1989">
        <v>43.65</v>
      </c>
      <c r="D1989">
        <v>44.7</v>
      </c>
      <c r="E1989">
        <v>43.55</v>
      </c>
      <c r="F1989" t="s">
        <v>1858</v>
      </c>
      <c r="G1989" s="2">
        <v>2.0199999999999999E-2</v>
      </c>
      <c r="H1989">
        <f t="shared" si="62"/>
        <v>2.0178858060078023E-2</v>
      </c>
      <c r="I1989">
        <f t="shared" si="63"/>
        <v>1.9977962963275503E-2</v>
      </c>
    </row>
    <row r="1990" spans="1:9" x14ac:dyDescent="0.75">
      <c r="A1990" s="1">
        <v>42912</v>
      </c>
      <c r="B1990">
        <v>43.61</v>
      </c>
      <c r="C1990">
        <v>43.38</v>
      </c>
      <c r="D1990">
        <v>43.9</v>
      </c>
      <c r="E1990">
        <v>42.87</v>
      </c>
      <c r="F1990" t="s">
        <v>1859</v>
      </c>
      <c r="G1990" s="2">
        <v>7.9000000000000008E-3</v>
      </c>
      <c r="H1990">
        <f t="shared" si="62"/>
        <v>7.8576380864339331E-3</v>
      </c>
      <c r="I1990">
        <f t="shared" si="63"/>
        <v>7.8269276178815576E-3</v>
      </c>
    </row>
    <row r="1991" spans="1:9" x14ac:dyDescent="0.75">
      <c r="A1991" s="1">
        <v>42909</v>
      </c>
      <c r="B1991">
        <v>43.27</v>
      </c>
      <c r="C1991">
        <v>42.99</v>
      </c>
      <c r="D1991">
        <v>43.46</v>
      </c>
      <c r="E1991">
        <v>42.76</v>
      </c>
      <c r="F1991" t="s">
        <v>1860</v>
      </c>
      <c r="G1991" s="2">
        <v>7.0000000000000001E-3</v>
      </c>
      <c r="H1991">
        <f t="shared" si="62"/>
        <v>6.9816150802886725E-3</v>
      </c>
      <c r="I1991">
        <f t="shared" si="63"/>
        <v>6.9573564498897119E-3</v>
      </c>
    </row>
    <row r="1992" spans="1:9" x14ac:dyDescent="0.75">
      <c r="A1992" s="1">
        <v>42908</v>
      </c>
      <c r="B1992">
        <v>42.97</v>
      </c>
      <c r="C1992">
        <v>42.72</v>
      </c>
      <c r="D1992">
        <v>43.54</v>
      </c>
      <c r="E1992">
        <v>42.49</v>
      </c>
      <c r="F1992" t="s">
        <v>1861</v>
      </c>
      <c r="G1992" s="2">
        <v>5.1000000000000004E-3</v>
      </c>
      <c r="H1992">
        <f t="shared" si="62"/>
        <v>5.1461988304093301E-3</v>
      </c>
      <c r="I1992">
        <f t="shared" si="63"/>
        <v>5.133002404134503E-3</v>
      </c>
    </row>
    <row r="1993" spans="1:9" x14ac:dyDescent="0.75">
      <c r="A1993" s="1">
        <v>42907</v>
      </c>
      <c r="B1993">
        <v>42.75</v>
      </c>
      <c r="C1993">
        <v>43.61</v>
      </c>
      <c r="D1993">
        <v>44.43</v>
      </c>
      <c r="E1993">
        <v>42.27</v>
      </c>
      <c r="F1993" t="s">
        <v>1862</v>
      </c>
      <c r="G1993" s="2">
        <v>-1.7500000000000002E-2</v>
      </c>
      <c r="H1993">
        <f t="shared" si="62"/>
        <v>-1.7467248908296897E-2</v>
      </c>
      <c r="I1993">
        <f t="shared" si="63"/>
        <v>-1.7621601349819445E-2</v>
      </c>
    </row>
    <row r="1994" spans="1:9" x14ac:dyDescent="0.75">
      <c r="A1994" s="1">
        <v>42906</v>
      </c>
      <c r="B1994">
        <v>43.51</v>
      </c>
      <c r="C1994">
        <v>44.33</v>
      </c>
      <c r="D1994">
        <v>44.69</v>
      </c>
      <c r="E1994">
        <v>42.94</v>
      </c>
      <c r="F1994" t="s">
        <v>1863</v>
      </c>
      <c r="G1994" s="2">
        <v>-2.07E-2</v>
      </c>
      <c r="H1994">
        <f t="shared" si="62"/>
        <v>-2.0706729687148363E-2</v>
      </c>
      <c r="I1994">
        <f t="shared" si="63"/>
        <v>-2.0924120215228416E-2</v>
      </c>
    </row>
    <row r="1995" spans="1:9" x14ac:dyDescent="0.75">
      <c r="A1995" s="1">
        <v>42905</v>
      </c>
      <c r="B1995">
        <v>44.43</v>
      </c>
      <c r="C1995">
        <v>44.89</v>
      </c>
      <c r="D1995">
        <v>45.28</v>
      </c>
      <c r="E1995">
        <v>44.26</v>
      </c>
      <c r="F1995" t="s">
        <v>1864</v>
      </c>
      <c r="G1995" s="2">
        <v>-1.2E-2</v>
      </c>
      <c r="H1995">
        <f t="shared" si="62"/>
        <v>-1.2008005336891243E-2</v>
      </c>
      <c r="I1995">
        <f t="shared" si="63"/>
        <v>-1.2080683834798942E-2</v>
      </c>
    </row>
    <row r="1996" spans="1:9" x14ac:dyDescent="0.75">
      <c r="A1996" s="1">
        <v>42902</v>
      </c>
      <c r="B1996">
        <v>44.97</v>
      </c>
      <c r="C1996">
        <v>44.46</v>
      </c>
      <c r="D1996">
        <v>45.18</v>
      </c>
      <c r="E1996">
        <v>44.46</v>
      </c>
      <c r="F1996" t="s">
        <v>1865</v>
      </c>
      <c r="G1996" s="2">
        <v>6.4999999999999997E-3</v>
      </c>
      <c r="H1996">
        <f t="shared" si="62"/>
        <v>6.4905998209489517E-3</v>
      </c>
      <c r="I1996">
        <f t="shared" si="63"/>
        <v>6.4696265816161138E-3</v>
      </c>
    </row>
    <row r="1997" spans="1:9" x14ac:dyDescent="0.75">
      <c r="A1997" s="1">
        <v>42901</v>
      </c>
      <c r="B1997">
        <v>44.68</v>
      </c>
      <c r="C1997">
        <v>44.9</v>
      </c>
      <c r="D1997">
        <v>45.03</v>
      </c>
      <c r="E1997">
        <v>44.45</v>
      </c>
      <c r="F1997" t="s">
        <v>1866</v>
      </c>
      <c r="G1997" s="2">
        <v>-5.5999999999999999E-3</v>
      </c>
      <c r="H1997">
        <f t="shared" si="62"/>
        <v>-5.5642109948809259E-3</v>
      </c>
      <c r="I1997">
        <f t="shared" si="63"/>
        <v>-5.5797488810686094E-3</v>
      </c>
    </row>
    <row r="1998" spans="1:9" x14ac:dyDescent="0.75">
      <c r="A1998" s="1">
        <v>42900</v>
      </c>
      <c r="B1998">
        <v>44.93</v>
      </c>
      <c r="C1998">
        <v>46.13</v>
      </c>
      <c r="D1998">
        <v>46.68</v>
      </c>
      <c r="E1998">
        <v>44.74</v>
      </c>
      <c r="F1998" t="s">
        <v>1867</v>
      </c>
      <c r="G1998" s="2">
        <v>-3.73E-2</v>
      </c>
      <c r="H1998">
        <f t="shared" si="62"/>
        <v>-3.7283051210627853E-2</v>
      </c>
      <c r="I1998">
        <f t="shared" si="63"/>
        <v>-3.7995836879655652E-2</v>
      </c>
    </row>
    <row r="1999" spans="1:9" x14ac:dyDescent="0.75">
      <c r="A1999" s="1">
        <v>42899</v>
      </c>
      <c r="B1999">
        <v>46.67</v>
      </c>
      <c r="C1999">
        <v>46.22</v>
      </c>
      <c r="D1999">
        <v>46.77</v>
      </c>
      <c r="E1999">
        <v>45.79</v>
      </c>
      <c r="F1999" t="s">
        <v>1868</v>
      </c>
      <c r="G1999" s="2">
        <v>1.2800000000000001E-2</v>
      </c>
      <c r="H1999">
        <f t="shared" si="62"/>
        <v>1.2803819444444519E-2</v>
      </c>
      <c r="I1999">
        <f t="shared" si="63"/>
        <v>1.2722543574088417E-2</v>
      </c>
    </row>
    <row r="2000" spans="1:9" x14ac:dyDescent="0.75">
      <c r="A2000" s="1">
        <v>42898</v>
      </c>
      <c r="B2000">
        <v>46.08</v>
      </c>
      <c r="C2000">
        <v>45.8</v>
      </c>
      <c r="D2000">
        <v>46.71</v>
      </c>
      <c r="E2000">
        <v>45.66</v>
      </c>
      <c r="F2000" t="s">
        <v>1869</v>
      </c>
      <c r="G2000" s="2">
        <v>5.4999999999999997E-3</v>
      </c>
      <c r="H2000">
        <f t="shared" si="62"/>
        <v>5.4549421776129174E-3</v>
      </c>
      <c r="I2000">
        <f t="shared" si="63"/>
        <v>5.4401178666030805E-3</v>
      </c>
    </row>
    <row r="2001" spans="1:9" x14ac:dyDescent="0.75">
      <c r="A2001" s="1">
        <v>42895</v>
      </c>
      <c r="B2001">
        <v>45.83</v>
      </c>
      <c r="C2001">
        <v>45.71</v>
      </c>
      <c r="D2001">
        <v>46.18</v>
      </c>
      <c r="E2001">
        <v>45.27</v>
      </c>
      <c r="F2001" t="s">
        <v>1870</v>
      </c>
      <c r="G2001" s="2">
        <v>4.1999999999999997E-3</v>
      </c>
      <c r="H2001">
        <f t="shared" si="62"/>
        <v>4.1630148992111687E-3</v>
      </c>
      <c r="I2001">
        <f t="shared" si="63"/>
        <v>4.1543735271576962E-3</v>
      </c>
    </row>
    <row r="2002" spans="1:9" x14ac:dyDescent="0.75">
      <c r="A2002" s="1">
        <v>42894</v>
      </c>
      <c r="B2002">
        <v>45.64</v>
      </c>
      <c r="C2002">
        <v>45.85</v>
      </c>
      <c r="D2002">
        <v>46.18</v>
      </c>
      <c r="E2002">
        <v>45.2</v>
      </c>
      <c r="F2002" t="s">
        <v>1871</v>
      </c>
      <c r="G2002" s="2">
        <v>-1.6999999999999999E-3</v>
      </c>
      <c r="H2002">
        <f t="shared" si="62"/>
        <v>-1.7497812773402952E-3</v>
      </c>
      <c r="I2002">
        <f t="shared" si="63"/>
        <v>-1.7513139327349518E-3</v>
      </c>
    </row>
    <row r="2003" spans="1:9" x14ac:dyDescent="0.75">
      <c r="A2003" s="1">
        <v>42893</v>
      </c>
      <c r="B2003">
        <v>45.72</v>
      </c>
      <c r="C2003">
        <v>47.98</v>
      </c>
      <c r="D2003">
        <v>48.23</v>
      </c>
      <c r="E2003">
        <v>45.65</v>
      </c>
      <c r="F2003" t="s">
        <v>1872</v>
      </c>
      <c r="G2003" s="2">
        <v>-5.1299999999999998E-2</v>
      </c>
      <c r="H2003">
        <f t="shared" si="62"/>
        <v>-5.1255447188213302E-2</v>
      </c>
      <c r="I2003">
        <f t="shared" si="63"/>
        <v>-5.2615691725631429E-2</v>
      </c>
    </row>
    <row r="2004" spans="1:9" x14ac:dyDescent="0.75">
      <c r="A2004" s="1">
        <v>42892</v>
      </c>
      <c r="B2004">
        <v>48.19</v>
      </c>
      <c r="C2004">
        <v>47.4</v>
      </c>
      <c r="D2004">
        <v>48.4</v>
      </c>
      <c r="E2004">
        <v>46.94</v>
      </c>
      <c r="F2004" t="s">
        <v>1873</v>
      </c>
      <c r="G2004" s="2">
        <v>1.67E-2</v>
      </c>
      <c r="H2004">
        <f t="shared" si="62"/>
        <v>1.6666666666666649E-2</v>
      </c>
      <c r="I2004">
        <f t="shared" si="63"/>
        <v>1.6529301951210506E-2</v>
      </c>
    </row>
    <row r="2005" spans="1:9" x14ac:dyDescent="0.75">
      <c r="A2005" s="1">
        <v>42891</v>
      </c>
      <c r="B2005">
        <v>47.4</v>
      </c>
      <c r="C2005">
        <v>47.71</v>
      </c>
      <c r="D2005">
        <v>48.42</v>
      </c>
      <c r="E2005">
        <v>46.86</v>
      </c>
      <c r="F2005" t="s">
        <v>1874</v>
      </c>
      <c r="G2005" s="2">
        <v>-9.7999999999999997E-3</v>
      </c>
      <c r="H2005">
        <f t="shared" si="62"/>
        <v>-9.818257781491516E-3</v>
      </c>
      <c r="I2005">
        <f t="shared" si="63"/>
        <v>-9.8667747033867881E-3</v>
      </c>
    </row>
    <row r="2006" spans="1:9" x14ac:dyDescent="0.75">
      <c r="A2006" s="1">
        <v>42888</v>
      </c>
      <c r="B2006">
        <v>47.87</v>
      </c>
      <c r="C2006">
        <v>48.26</v>
      </c>
      <c r="D2006">
        <v>48.42</v>
      </c>
      <c r="E2006">
        <v>46.98</v>
      </c>
      <c r="F2006" t="s">
        <v>1875</v>
      </c>
      <c r="G2006" s="2">
        <v>-1.4999999999999999E-2</v>
      </c>
      <c r="H2006">
        <f t="shared" si="62"/>
        <v>-1.5020576131687325E-2</v>
      </c>
      <c r="I2006">
        <f t="shared" si="63"/>
        <v>-1.5134527502030459E-2</v>
      </c>
    </row>
    <row r="2007" spans="1:9" x14ac:dyDescent="0.75">
      <c r="A2007" s="1">
        <v>42887</v>
      </c>
      <c r="B2007">
        <v>48.6</v>
      </c>
      <c r="C2007">
        <v>48.84</v>
      </c>
      <c r="D2007">
        <v>49.4</v>
      </c>
      <c r="E2007">
        <v>48.15</v>
      </c>
      <c r="F2007" t="s">
        <v>1876</v>
      </c>
      <c r="G2007" s="2">
        <v>8.0000000000000004E-4</v>
      </c>
      <c r="H2007">
        <f t="shared" si="62"/>
        <v>8.2372322899504011E-4</v>
      </c>
      <c r="I2007">
        <f t="shared" si="63"/>
        <v>8.2338415520513502E-4</v>
      </c>
    </row>
    <row r="2008" spans="1:9" x14ac:dyDescent="0.75">
      <c r="A2008" s="1">
        <v>42886</v>
      </c>
      <c r="B2008">
        <v>48.56</v>
      </c>
      <c r="C2008">
        <v>49.88</v>
      </c>
      <c r="D2008">
        <v>49.95</v>
      </c>
      <c r="E2008">
        <v>47.98</v>
      </c>
      <c r="F2008" t="s">
        <v>1877</v>
      </c>
      <c r="G2008" s="2">
        <v>-2.7E-2</v>
      </c>
      <c r="H2008">
        <f t="shared" si="62"/>
        <v>-2.7048687637747836E-2</v>
      </c>
      <c r="I2008">
        <f t="shared" si="63"/>
        <v>-2.7421236730274915E-2</v>
      </c>
    </row>
    <row r="2009" spans="1:9" x14ac:dyDescent="0.75">
      <c r="A2009" s="1">
        <v>42885</v>
      </c>
      <c r="B2009">
        <v>49.91</v>
      </c>
      <c r="C2009">
        <v>50.23</v>
      </c>
      <c r="D2009">
        <v>50.53</v>
      </c>
      <c r="E2009">
        <v>49.27</v>
      </c>
      <c r="F2009" t="s">
        <v>1878</v>
      </c>
      <c r="G2009" s="2">
        <v>-1.1999999999999999E-3</v>
      </c>
      <c r="H2009">
        <f t="shared" si="62"/>
        <v>-1.2007204322594012E-3</v>
      </c>
      <c r="I2009">
        <f t="shared" si="63"/>
        <v>-1.2014418745957972E-3</v>
      </c>
    </row>
    <row r="2010" spans="1:9" x14ac:dyDescent="0.75">
      <c r="A2010" s="1">
        <v>42884</v>
      </c>
      <c r="B2010">
        <v>49.97</v>
      </c>
      <c r="C2010">
        <v>49.95</v>
      </c>
      <c r="D2010">
        <v>50.29</v>
      </c>
      <c r="E2010">
        <v>49.52</v>
      </c>
      <c r="G2010" s="2">
        <v>5.9999999999999995E-4</v>
      </c>
      <c r="H2010">
        <f t="shared" si="62"/>
        <v>6.0072086503806842E-4</v>
      </c>
      <c r="I2010">
        <f t="shared" si="63"/>
        <v>6.0054050448647722E-4</v>
      </c>
    </row>
    <row r="2011" spans="1:9" x14ac:dyDescent="0.75">
      <c r="A2011" s="1">
        <v>42883</v>
      </c>
      <c r="B2011">
        <v>49.94</v>
      </c>
      <c r="C2011">
        <v>49.93</v>
      </c>
      <c r="D2011">
        <v>50.04</v>
      </c>
      <c r="E2011">
        <v>49.85</v>
      </c>
      <c r="G2011" s="2">
        <v>-2.2000000000000001E-3</v>
      </c>
      <c r="H2011">
        <f t="shared" si="62"/>
        <v>-2.1978021978021865E-3</v>
      </c>
      <c r="I2011">
        <f t="shared" si="63"/>
        <v>-2.2002209096024235E-3</v>
      </c>
    </row>
    <row r="2012" spans="1:9" x14ac:dyDescent="0.75">
      <c r="A2012" s="1">
        <v>42881</v>
      </c>
      <c r="B2012">
        <v>50.05</v>
      </c>
      <c r="C2012">
        <v>49</v>
      </c>
      <c r="D2012">
        <v>50.18</v>
      </c>
      <c r="E2012">
        <v>48.44</v>
      </c>
      <c r="F2012" t="s">
        <v>1879</v>
      </c>
      <c r="G2012" s="2">
        <v>1.8499999999999999E-2</v>
      </c>
      <c r="H2012">
        <f t="shared" si="62"/>
        <v>1.8518518518518448E-2</v>
      </c>
      <c r="I2012">
        <f t="shared" si="63"/>
        <v>1.8349138668196398E-2</v>
      </c>
    </row>
    <row r="2013" spans="1:9" x14ac:dyDescent="0.75">
      <c r="A2013" s="1">
        <v>42880</v>
      </c>
      <c r="B2013">
        <v>49.14</v>
      </c>
      <c r="C2013">
        <v>51.47</v>
      </c>
      <c r="D2013">
        <v>52.22</v>
      </c>
      <c r="E2013">
        <v>48.7</v>
      </c>
      <c r="F2013" t="s">
        <v>1880</v>
      </c>
      <c r="G2013" s="2">
        <v>-4.7500000000000001E-2</v>
      </c>
      <c r="H2013">
        <f t="shared" si="62"/>
        <v>-4.7489823609226649E-2</v>
      </c>
      <c r="I2013">
        <f t="shared" si="63"/>
        <v>-4.8654488163525487E-2</v>
      </c>
    </row>
    <row r="2014" spans="1:9" x14ac:dyDescent="0.75">
      <c r="A2014" s="1">
        <v>42879</v>
      </c>
      <c r="B2014">
        <v>51.59</v>
      </c>
      <c r="C2014">
        <v>51.71</v>
      </c>
      <c r="D2014">
        <v>52.1</v>
      </c>
      <c r="E2014">
        <v>51.26</v>
      </c>
      <c r="F2014" t="s">
        <v>1881</v>
      </c>
      <c r="G2014" s="2">
        <v>-2.5000000000000001E-3</v>
      </c>
      <c r="H2014">
        <f t="shared" si="62"/>
        <v>-2.5135344160865324E-3</v>
      </c>
      <c r="I2014">
        <f t="shared" si="63"/>
        <v>-2.5166986470980509E-3</v>
      </c>
    </row>
    <row r="2015" spans="1:9" x14ac:dyDescent="0.75">
      <c r="A2015" s="1">
        <v>42878</v>
      </c>
      <c r="B2015">
        <v>51.72</v>
      </c>
      <c r="C2015">
        <v>51.29</v>
      </c>
      <c r="D2015">
        <v>52.04</v>
      </c>
      <c r="E2015">
        <v>50.85</v>
      </c>
      <c r="F2015" t="s">
        <v>1882</v>
      </c>
      <c r="G2015" s="2">
        <v>1.15E-2</v>
      </c>
      <c r="H2015">
        <f t="shared" si="62"/>
        <v>1.1539213768824491E-2</v>
      </c>
      <c r="I2015">
        <f t="shared" si="63"/>
        <v>1.147314481174868E-2</v>
      </c>
    </row>
    <row r="2016" spans="1:9" x14ac:dyDescent="0.75">
      <c r="A2016" s="1">
        <v>42877</v>
      </c>
      <c r="B2016">
        <v>51.13</v>
      </c>
      <c r="C2016">
        <v>50.93</v>
      </c>
      <c r="D2016">
        <v>51.43</v>
      </c>
      <c r="E2016">
        <v>50.75</v>
      </c>
      <c r="F2016" t="s">
        <v>1883</v>
      </c>
      <c r="G2016" s="2">
        <v>9.1000000000000004E-3</v>
      </c>
      <c r="H2016">
        <f t="shared" si="62"/>
        <v>9.0783501085455066E-3</v>
      </c>
      <c r="I2016">
        <f t="shared" si="63"/>
        <v>9.0373896040893929E-3</v>
      </c>
    </row>
    <row r="2017" spans="1:9" x14ac:dyDescent="0.75">
      <c r="A2017" s="1">
        <v>42874</v>
      </c>
      <c r="B2017">
        <v>50.67</v>
      </c>
      <c r="C2017">
        <v>49.67</v>
      </c>
      <c r="D2017">
        <v>50.9</v>
      </c>
      <c r="E2017">
        <v>49.6</v>
      </c>
      <c r="F2017" t="s">
        <v>1884</v>
      </c>
      <c r="G2017" s="2">
        <v>2.0299999999999999E-2</v>
      </c>
      <c r="H2017">
        <f t="shared" si="62"/>
        <v>2.0338300443012589E-2</v>
      </c>
      <c r="I2017">
        <f t="shared" si="63"/>
        <v>2.0134239407798016E-2</v>
      </c>
    </row>
    <row r="2018" spans="1:9" x14ac:dyDescent="0.75">
      <c r="A2018" s="1">
        <v>42873</v>
      </c>
      <c r="B2018">
        <v>49.66</v>
      </c>
      <c r="C2018">
        <v>49.25</v>
      </c>
      <c r="D2018">
        <v>49.93</v>
      </c>
      <c r="E2018">
        <v>48.38</v>
      </c>
      <c r="F2018" t="s">
        <v>1885</v>
      </c>
      <c r="G2018" s="2">
        <v>5.1000000000000004E-3</v>
      </c>
      <c r="H2018">
        <f t="shared" si="62"/>
        <v>5.059704513256426E-3</v>
      </c>
      <c r="I2018">
        <f t="shared" si="63"/>
        <v>5.046947222361803E-3</v>
      </c>
    </row>
    <row r="2019" spans="1:9" x14ac:dyDescent="0.75">
      <c r="A2019" s="1">
        <v>42872</v>
      </c>
      <c r="B2019">
        <v>49.41</v>
      </c>
      <c r="C2019">
        <v>48.53</v>
      </c>
      <c r="D2019">
        <v>49.84</v>
      </c>
      <c r="E2019">
        <v>48.37</v>
      </c>
      <c r="F2019" t="s">
        <v>1886</v>
      </c>
      <c r="G2019" s="2">
        <v>8.3999999999999995E-3</v>
      </c>
      <c r="H2019">
        <f t="shared" si="62"/>
        <v>8.3673469387754405E-3</v>
      </c>
      <c r="I2019">
        <f t="shared" si="63"/>
        <v>8.3325347470320256E-3</v>
      </c>
    </row>
    <row r="2020" spans="1:9" x14ac:dyDescent="0.75">
      <c r="A2020" s="1">
        <v>42871</v>
      </c>
      <c r="B2020">
        <v>49</v>
      </c>
      <c r="C2020">
        <v>49.12</v>
      </c>
      <c r="D2020">
        <v>49.69</v>
      </c>
      <c r="E2020">
        <v>48.51</v>
      </c>
      <c r="F2020" t="s">
        <v>1887</v>
      </c>
      <c r="G2020" s="2">
        <v>-3.3E-3</v>
      </c>
      <c r="H2020">
        <f t="shared" si="62"/>
        <v>-3.2546786004881327E-3</v>
      </c>
      <c r="I2020">
        <f t="shared" si="63"/>
        <v>-3.2599865872073742E-3</v>
      </c>
    </row>
    <row r="2021" spans="1:9" x14ac:dyDescent="0.75">
      <c r="A2021" s="1">
        <v>42870</v>
      </c>
      <c r="B2021">
        <v>49.16</v>
      </c>
      <c r="C2021">
        <v>48.19</v>
      </c>
      <c r="D2021">
        <v>49.97</v>
      </c>
      <c r="E2021">
        <v>48.08</v>
      </c>
      <c r="F2021" t="s">
        <v>1888</v>
      </c>
      <c r="G2021" s="2">
        <v>2.06E-2</v>
      </c>
      <c r="H2021">
        <f t="shared" si="62"/>
        <v>2.0552210919659433E-2</v>
      </c>
      <c r="I2021">
        <f t="shared" si="63"/>
        <v>2.0343864055704531E-2</v>
      </c>
    </row>
    <row r="2022" spans="1:9" x14ac:dyDescent="0.75">
      <c r="A2022" s="1">
        <v>42867</v>
      </c>
      <c r="B2022">
        <v>48.17</v>
      </c>
      <c r="C2022">
        <v>48.15</v>
      </c>
      <c r="D2022">
        <v>48.44</v>
      </c>
      <c r="E2022">
        <v>47.7</v>
      </c>
      <c r="F2022" t="s">
        <v>1889</v>
      </c>
      <c r="G2022" s="2">
        <v>-5.9999999999999995E-4</v>
      </c>
      <c r="H2022">
        <f t="shared" si="62"/>
        <v>-6.2240663900417297E-4</v>
      </c>
      <c r="I2022">
        <f t="shared" si="63"/>
        <v>-6.2260041442519615E-4</v>
      </c>
    </row>
    <row r="2023" spans="1:9" x14ac:dyDescent="0.75">
      <c r="A2023" s="1">
        <v>42866</v>
      </c>
      <c r="B2023">
        <v>48.2</v>
      </c>
      <c r="C2023">
        <v>47.81</v>
      </c>
      <c r="D2023">
        <v>48.58</v>
      </c>
      <c r="E2023">
        <v>47.73</v>
      </c>
      <c r="F2023" t="s">
        <v>1890</v>
      </c>
      <c r="G2023" s="2">
        <v>1.0500000000000001E-2</v>
      </c>
      <c r="H2023">
        <f t="shared" si="62"/>
        <v>1.0482180293501047E-2</v>
      </c>
      <c r="I2023">
        <f t="shared" si="63"/>
        <v>1.042762316225916E-2</v>
      </c>
    </row>
    <row r="2024" spans="1:9" x14ac:dyDescent="0.75">
      <c r="A2024" s="1">
        <v>42865</v>
      </c>
      <c r="B2024">
        <v>47.7</v>
      </c>
      <c r="C2024">
        <v>46.55</v>
      </c>
      <c r="D2024">
        <v>48.13</v>
      </c>
      <c r="E2024">
        <v>46.4</v>
      </c>
      <c r="F2024" t="s">
        <v>1891</v>
      </c>
      <c r="G2024" s="2">
        <v>3.09E-2</v>
      </c>
      <c r="H2024">
        <f t="shared" si="62"/>
        <v>3.0905554354873559E-2</v>
      </c>
      <c r="I2024">
        <f t="shared" si="63"/>
        <v>3.0437594975387266E-2</v>
      </c>
    </row>
    <row r="2025" spans="1:9" x14ac:dyDescent="0.75">
      <c r="A2025" s="1">
        <v>42864</v>
      </c>
      <c r="B2025">
        <v>46.27</v>
      </c>
      <c r="C2025">
        <v>46.92</v>
      </c>
      <c r="D2025">
        <v>47.17</v>
      </c>
      <c r="E2025">
        <v>45.92</v>
      </c>
      <c r="F2025" t="s">
        <v>1892</v>
      </c>
      <c r="G2025" s="2">
        <v>-1.2200000000000001E-2</v>
      </c>
      <c r="H2025">
        <f t="shared" si="62"/>
        <v>-1.216908625106747E-2</v>
      </c>
      <c r="I2025">
        <f t="shared" si="63"/>
        <v>-1.2243735810608402E-2</v>
      </c>
    </row>
    <row r="2026" spans="1:9" x14ac:dyDescent="0.75">
      <c r="A2026" s="1">
        <v>42863</v>
      </c>
      <c r="B2026">
        <v>46.84</v>
      </c>
      <c r="C2026">
        <v>46.69</v>
      </c>
      <c r="D2026">
        <v>47.38</v>
      </c>
      <c r="E2026">
        <v>46.11</v>
      </c>
      <c r="F2026" t="s">
        <v>1893</v>
      </c>
      <c r="G2026" s="2">
        <v>5.1999999999999998E-3</v>
      </c>
      <c r="H2026">
        <f t="shared" si="62"/>
        <v>5.1502145922747208E-3</v>
      </c>
      <c r="I2026">
        <f t="shared" si="63"/>
        <v>5.1369975979165495E-3</v>
      </c>
    </row>
    <row r="2027" spans="1:9" x14ac:dyDescent="0.75">
      <c r="A2027" s="1">
        <v>42860</v>
      </c>
      <c r="B2027">
        <v>46.6</v>
      </c>
      <c r="C2027">
        <v>45.89</v>
      </c>
      <c r="D2027">
        <v>47.04</v>
      </c>
      <c r="E2027">
        <v>44.13</v>
      </c>
      <c r="F2027" t="s">
        <v>1894</v>
      </c>
      <c r="G2027" s="2">
        <v>1.5299999999999999E-2</v>
      </c>
      <c r="H2027">
        <f t="shared" si="62"/>
        <v>1.5250544662309431E-2</v>
      </c>
      <c r="I2027">
        <f t="shared" si="63"/>
        <v>1.5135424065100813E-2</v>
      </c>
    </row>
    <row r="2028" spans="1:9" x14ac:dyDescent="0.75">
      <c r="A2028" s="1">
        <v>42859</v>
      </c>
      <c r="B2028">
        <v>45.9</v>
      </c>
      <c r="C2028">
        <v>47.96</v>
      </c>
      <c r="D2028">
        <v>48.11</v>
      </c>
      <c r="E2028">
        <v>45.67</v>
      </c>
      <c r="F2028" t="s">
        <v>1895</v>
      </c>
      <c r="G2028" s="2">
        <v>-4.7300000000000002E-2</v>
      </c>
      <c r="H2028">
        <f t="shared" si="62"/>
        <v>-4.7322540473225427E-2</v>
      </c>
      <c r="I2028">
        <f t="shared" si="63"/>
        <v>-4.8478880120225915E-2</v>
      </c>
    </row>
    <row r="2029" spans="1:9" x14ac:dyDescent="0.75">
      <c r="A2029" s="1">
        <v>42858</v>
      </c>
      <c r="B2029">
        <v>48.18</v>
      </c>
      <c r="C2029">
        <v>48.52</v>
      </c>
      <c r="D2029">
        <v>48.57</v>
      </c>
      <c r="E2029">
        <v>47.65</v>
      </c>
      <c r="F2029" t="s">
        <v>1896</v>
      </c>
      <c r="G2029" s="2">
        <v>4.0000000000000001E-3</v>
      </c>
      <c r="H2029">
        <f t="shared" si="62"/>
        <v>3.9591581579495249E-3</v>
      </c>
      <c r="I2029">
        <f t="shared" si="63"/>
        <v>3.9513413165710286E-3</v>
      </c>
    </row>
    <row r="2030" spans="1:9" x14ac:dyDescent="0.75">
      <c r="A2030" s="1">
        <v>42857</v>
      </c>
      <c r="B2030">
        <v>47.99</v>
      </c>
      <c r="C2030">
        <v>49.09</v>
      </c>
      <c r="D2030">
        <v>49.6</v>
      </c>
      <c r="E2030">
        <v>47.69</v>
      </c>
      <c r="F2030" t="s">
        <v>1897</v>
      </c>
      <c r="G2030" s="2">
        <v>-2.3800000000000002E-2</v>
      </c>
      <c r="H2030">
        <f t="shared" si="62"/>
        <v>-2.3799837266069868E-2</v>
      </c>
      <c r="I2030">
        <f t="shared" si="63"/>
        <v>-2.4087628827679761E-2</v>
      </c>
    </row>
    <row r="2031" spans="1:9" x14ac:dyDescent="0.75">
      <c r="A2031" s="1">
        <v>42856</v>
      </c>
      <c r="B2031">
        <v>49.16</v>
      </c>
      <c r="C2031">
        <v>49.47</v>
      </c>
      <c r="D2031">
        <v>49.61</v>
      </c>
      <c r="E2031">
        <v>48.89</v>
      </c>
      <c r="F2031" t="s">
        <v>1898</v>
      </c>
      <c r="G2031" s="2">
        <v>-9.2999999999999992E-3</v>
      </c>
      <c r="H2031">
        <f t="shared" si="62"/>
        <v>-9.270455461507475E-3</v>
      </c>
      <c r="I2031">
        <f t="shared" si="63"/>
        <v>-9.3136935658209297E-3</v>
      </c>
    </row>
    <row r="2032" spans="1:9" x14ac:dyDescent="0.75">
      <c r="A2032" s="1">
        <v>42853</v>
      </c>
      <c r="B2032">
        <v>49.62</v>
      </c>
      <c r="C2032">
        <v>49.59</v>
      </c>
      <c r="D2032">
        <v>50.09</v>
      </c>
      <c r="E2032">
        <v>49.12</v>
      </c>
      <c r="F2032" t="s">
        <v>1899</v>
      </c>
      <c r="G2032" s="2">
        <v>6.3E-3</v>
      </c>
      <c r="H2032">
        <f t="shared" si="62"/>
        <v>6.2867572500506013E-3</v>
      </c>
      <c r="I2032">
        <f t="shared" si="63"/>
        <v>6.2670780276201836E-3</v>
      </c>
    </row>
    <row r="2033" spans="1:9" x14ac:dyDescent="0.75">
      <c r="A2033" s="1">
        <v>42852</v>
      </c>
      <c r="B2033">
        <v>49.31</v>
      </c>
      <c r="C2033">
        <v>49.52</v>
      </c>
      <c r="D2033">
        <v>49.76</v>
      </c>
      <c r="E2033">
        <v>48.55</v>
      </c>
      <c r="F2033" t="s">
        <v>1900</v>
      </c>
      <c r="G2033" s="2">
        <v>-1.2999999999999999E-2</v>
      </c>
      <c r="H2033">
        <f t="shared" si="62"/>
        <v>-1.30104083266613E-2</v>
      </c>
      <c r="I2033">
        <f t="shared" si="63"/>
        <v>-1.3095785021342192E-2</v>
      </c>
    </row>
    <row r="2034" spans="1:9" x14ac:dyDescent="0.75">
      <c r="A2034" s="1">
        <v>42851</v>
      </c>
      <c r="B2034">
        <v>49.96</v>
      </c>
      <c r="C2034">
        <v>49.71</v>
      </c>
      <c r="D2034">
        <v>50.52</v>
      </c>
      <c r="E2034">
        <v>49.29</v>
      </c>
      <c r="F2034" t="s">
        <v>1901</v>
      </c>
      <c r="G2034" s="2">
        <v>8.0999999999999996E-3</v>
      </c>
      <c r="H2034">
        <f t="shared" si="62"/>
        <v>8.071025020177534E-3</v>
      </c>
      <c r="I2034">
        <f t="shared" si="63"/>
        <v>8.0386284964350917E-3</v>
      </c>
    </row>
    <row r="2035" spans="1:9" x14ac:dyDescent="0.75">
      <c r="A2035" s="1">
        <v>42850</v>
      </c>
      <c r="B2035">
        <v>49.56</v>
      </c>
      <c r="C2035">
        <v>49.22</v>
      </c>
      <c r="D2035">
        <v>49.83</v>
      </c>
      <c r="E2035">
        <v>48.87</v>
      </c>
      <c r="F2035" t="s">
        <v>1902</v>
      </c>
      <c r="G2035" s="2">
        <v>6.7000000000000002E-3</v>
      </c>
      <c r="H2035">
        <f t="shared" si="62"/>
        <v>6.7032297379647655E-3</v>
      </c>
      <c r="I2035">
        <f t="shared" si="63"/>
        <v>6.6808629908325983E-3</v>
      </c>
    </row>
    <row r="2036" spans="1:9" x14ac:dyDescent="0.75">
      <c r="A2036" s="1">
        <v>42849</v>
      </c>
      <c r="B2036">
        <v>49.23</v>
      </c>
      <c r="C2036">
        <v>49.68</v>
      </c>
      <c r="D2036">
        <v>50.22</v>
      </c>
      <c r="E2036">
        <v>49.03</v>
      </c>
      <c r="F2036" t="s">
        <v>1903</v>
      </c>
      <c r="G2036" s="2">
        <v>-7.9000000000000008E-3</v>
      </c>
      <c r="H2036">
        <f t="shared" si="62"/>
        <v>-7.8597339782345947E-3</v>
      </c>
      <c r="I2036">
        <f t="shared" si="63"/>
        <v>-7.8907844935457282E-3</v>
      </c>
    </row>
    <row r="2037" spans="1:9" x14ac:dyDescent="0.75">
      <c r="A2037" s="1">
        <v>42846</v>
      </c>
      <c r="B2037">
        <v>49.62</v>
      </c>
      <c r="C2037">
        <v>50.71</v>
      </c>
      <c r="D2037">
        <v>50.93</v>
      </c>
      <c r="E2037">
        <v>49.2</v>
      </c>
      <c r="F2037" t="s">
        <v>1904</v>
      </c>
      <c r="G2037" s="2">
        <v>-1.29E-2</v>
      </c>
      <c r="H2037">
        <f t="shared" si="62"/>
        <v>-1.2930177043962715E-2</v>
      </c>
      <c r="I2037">
        <f t="shared" si="63"/>
        <v>-1.3014499440829037E-2</v>
      </c>
    </row>
    <row r="2038" spans="1:9" x14ac:dyDescent="0.75">
      <c r="A2038" s="1">
        <v>42845</v>
      </c>
      <c r="B2038">
        <v>50.27</v>
      </c>
      <c r="C2038">
        <v>50.63</v>
      </c>
      <c r="D2038">
        <v>50.97</v>
      </c>
      <c r="E2038">
        <v>50.18</v>
      </c>
      <c r="F2038" t="s">
        <v>1905</v>
      </c>
      <c r="G2038" s="2">
        <v>-3.3999999999999998E-3</v>
      </c>
      <c r="H2038">
        <f t="shared" si="62"/>
        <v>-3.3703409992068716E-3</v>
      </c>
      <c r="I2038">
        <f t="shared" si="63"/>
        <v>-3.3760333922348102E-3</v>
      </c>
    </row>
    <row r="2039" spans="1:9" x14ac:dyDescent="0.75">
      <c r="A2039" s="1">
        <v>42844</v>
      </c>
      <c r="B2039">
        <v>50.44</v>
      </c>
      <c r="C2039">
        <v>52.36</v>
      </c>
      <c r="D2039">
        <v>52.65</v>
      </c>
      <c r="E2039">
        <v>50.09</v>
      </c>
      <c r="F2039" t="s">
        <v>1906</v>
      </c>
      <c r="G2039" s="2">
        <v>-3.7600000000000001E-2</v>
      </c>
      <c r="H2039">
        <f t="shared" si="62"/>
        <v>-3.7588246517840089E-2</v>
      </c>
      <c r="I2039">
        <f t="shared" si="63"/>
        <v>-3.8312901717356067E-2</v>
      </c>
    </row>
    <row r="2040" spans="1:9" x14ac:dyDescent="0.75">
      <c r="A2040" s="1">
        <v>42843</v>
      </c>
      <c r="B2040">
        <v>52.41</v>
      </c>
      <c r="C2040">
        <v>52.75</v>
      </c>
      <c r="D2040">
        <v>52.85</v>
      </c>
      <c r="E2040">
        <v>52.1</v>
      </c>
      <c r="F2040" t="s">
        <v>1907</v>
      </c>
      <c r="G2040" s="2">
        <v>-4.5999999999999999E-3</v>
      </c>
      <c r="H2040">
        <f t="shared" si="62"/>
        <v>-4.5584045584045963E-3</v>
      </c>
      <c r="I2040">
        <f t="shared" si="63"/>
        <v>-4.568825765909678E-3</v>
      </c>
    </row>
    <row r="2041" spans="1:9" x14ac:dyDescent="0.75">
      <c r="A2041" s="1">
        <v>42842</v>
      </c>
      <c r="B2041">
        <v>52.65</v>
      </c>
      <c r="C2041">
        <v>52.97</v>
      </c>
      <c r="D2041">
        <v>53.21</v>
      </c>
      <c r="E2041">
        <v>52.55</v>
      </c>
      <c r="F2041" t="s">
        <v>1908</v>
      </c>
      <c r="G2041" s="2">
        <v>-0.01</v>
      </c>
      <c r="H2041">
        <f t="shared" si="62"/>
        <v>-9.9661526889808418E-3</v>
      </c>
      <c r="I2041">
        <f t="shared" si="63"/>
        <v>-1.0016147234889248E-2</v>
      </c>
    </row>
    <row r="2042" spans="1:9" x14ac:dyDescent="0.75">
      <c r="A2042" s="1">
        <v>42838</v>
      </c>
      <c r="B2042">
        <v>53.18</v>
      </c>
      <c r="C2042">
        <v>52.85</v>
      </c>
      <c r="D2042">
        <v>53.39</v>
      </c>
      <c r="E2042">
        <v>52.82</v>
      </c>
      <c r="F2042" t="s">
        <v>1909</v>
      </c>
      <c r="G2042" s="2">
        <v>1.2999999999999999E-3</v>
      </c>
      <c r="H2042">
        <f t="shared" si="62"/>
        <v>1.318019205422713E-3</v>
      </c>
      <c r="I2042">
        <f t="shared" si="63"/>
        <v>1.317151380565997E-3</v>
      </c>
    </row>
    <row r="2043" spans="1:9" x14ac:dyDescent="0.75">
      <c r="A2043" s="1">
        <v>42837</v>
      </c>
      <c r="B2043">
        <v>53.11</v>
      </c>
      <c r="C2043">
        <v>53.4</v>
      </c>
      <c r="D2043">
        <v>53.76</v>
      </c>
      <c r="E2043">
        <v>52.71</v>
      </c>
      <c r="F2043" t="s">
        <v>1910</v>
      </c>
      <c r="G2043" s="2">
        <v>-5.4000000000000003E-3</v>
      </c>
      <c r="H2043">
        <f t="shared" si="62"/>
        <v>-5.4307116104868759E-3</v>
      </c>
      <c r="I2043">
        <f t="shared" si="63"/>
        <v>-5.4455115318413922E-3</v>
      </c>
    </row>
    <row r="2044" spans="1:9" x14ac:dyDescent="0.75">
      <c r="A2044" s="1">
        <v>42836</v>
      </c>
      <c r="B2044">
        <v>53.4</v>
      </c>
      <c r="C2044">
        <v>53.13</v>
      </c>
      <c r="D2044">
        <v>53.45</v>
      </c>
      <c r="E2044">
        <v>52.7</v>
      </c>
      <c r="F2044" t="s">
        <v>1911</v>
      </c>
      <c r="G2044" s="2">
        <v>6.0000000000000001E-3</v>
      </c>
      <c r="H2044">
        <f t="shared" si="62"/>
        <v>6.0286360211002313E-3</v>
      </c>
      <c r="I2044">
        <f t="shared" si="63"/>
        <v>6.0105365021423229E-3</v>
      </c>
    </row>
    <row r="2045" spans="1:9" x14ac:dyDescent="0.75">
      <c r="A2045" s="1">
        <v>42835</v>
      </c>
      <c r="B2045">
        <v>53.08</v>
      </c>
      <c r="C2045">
        <v>52.31</v>
      </c>
      <c r="D2045">
        <v>53.18</v>
      </c>
      <c r="E2045">
        <v>52.29</v>
      </c>
      <c r="F2045" t="s">
        <v>1912</v>
      </c>
      <c r="G2045" s="2">
        <v>1.61E-2</v>
      </c>
      <c r="H2045">
        <f t="shared" si="62"/>
        <v>1.6079632465543572E-2</v>
      </c>
      <c r="I2045">
        <f t="shared" si="63"/>
        <v>1.5951724495831161E-2</v>
      </c>
    </row>
    <row r="2046" spans="1:9" x14ac:dyDescent="0.75">
      <c r="A2046" s="1">
        <v>42832</v>
      </c>
      <c r="B2046">
        <v>52.24</v>
      </c>
      <c r="C2046">
        <v>51.7</v>
      </c>
      <c r="D2046">
        <v>52.94</v>
      </c>
      <c r="E2046">
        <v>51.49</v>
      </c>
      <c r="F2046" t="s">
        <v>1913</v>
      </c>
      <c r="G2046" s="2">
        <v>1.04E-2</v>
      </c>
      <c r="H2046">
        <f t="shared" si="62"/>
        <v>1.0444874274661491E-2</v>
      </c>
      <c r="I2046">
        <f t="shared" si="63"/>
        <v>1.039070345379212E-2</v>
      </c>
    </row>
    <row r="2047" spans="1:9" x14ac:dyDescent="0.75">
      <c r="A2047" s="1">
        <v>42831</v>
      </c>
      <c r="B2047">
        <v>51.7</v>
      </c>
      <c r="C2047">
        <v>50.8</v>
      </c>
      <c r="D2047">
        <v>51.82</v>
      </c>
      <c r="E2047">
        <v>50.77</v>
      </c>
      <c r="F2047" t="s">
        <v>1914</v>
      </c>
      <c r="G2047" s="2">
        <v>1.0800000000000001E-2</v>
      </c>
      <c r="H2047">
        <f t="shared" si="62"/>
        <v>1.0752688172043095E-2</v>
      </c>
      <c r="I2047">
        <f t="shared" si="63"/>
        <v>1.069528911674795E-2</v>
      </c>
    </row>
    <row r="2048" spans="1:9" x14ac:dyDescent="0.75">
      <c r="A2048" s="1">
        <v>42830</v>
      </c>
      <c r="B2048">
        <v>51.15</v>
      </c>
      <c r="C2048">
        <v>51.18</v>
      </c>
      <c r="D2048">
        <v>51.88</v>
      </c>
      <c r="E2048">
        <v>50.74</v>
      </c>
      <c r="F2048" t="s">
        <v>1915</v>
      </c>
      <c r="G2048" s="2">
        <v>2.3999999999999998E-3</v>
      </c>
      <c r="H2048">
        <f t="shared" si="62"/>
        <v>2.3515579071134124E-3</v>
      </c>
      <c r="I2048">
        <f t="shared" si="63"/>
        <v>2.3487973217553287E-3</v>
      </c>
    </row>
    <row r="2049" spans="1:9" x14ac:dyDescent="0.75">
      <c r="A2049" s="1">
        <v>42829</v>
      </c>
      <c r="B2049">
        <v>51.03</v>
      </c>
      <c r="C2049">
        <v>50.24</v>
      </c>
      <c r="D2049">
        <v>51.3</v>
      </c>
      <c r="E2049">
        <v>49.88</v>
      </c>
      <c r="F2049" t="s">
        <v>1916</v>
      </c>
      <c r="G2049" s="2">
        <v>1.5699999999999999E-2</v>
      </c>
      <c r="H2049">
        <f t="shared" si="62"/>
        <v>1.5724522292993613E-2</v>
      </c>
      <c r="I2049">
        <f t="shared" si="63"/>
        <v>1.5602172915936812E-2</v>
      </c>
    </row>
    <row r="2050" spans="1:9" x14ac:dyDescent="0.75">
      <c r="A2050" s="1">
        <v>42828</v>
      </c>
      <c r="B2050">
        <v>50.24</v>
      </c>
      <c r="C2050">
        <v>50.69</v>
      </c>
      <c r="D2050">
        <v>50.83</v>
      </c>
      <c r="E2050">
        <v>50.12</v>
      </c>
      <c r="F2050" t="s">
        <v>1917</v>
      </c>
      <c r="G2050" s="2">
        <v>-7.1000000000000004E-3</v>
      </c>
      <c r="H2050">
        <f t="shared" si="62"/>
        <v>-7.1146245059288422E-3</v>
      </c>
      <c r="I2050">
        <f t="shared" si="63"/>
        <v>-7.1400541334765821E-3</v>
      </c>
    </row>
    <row r="2051" spans="1:9" x14ac:dyDescent="0.75">
      <c r="A2051" s="1">
        <v>42825</v>
      </c>
      <c r="B2051">
        <v>50.6</v>
      </c>
      <c r="C2051">
        <v>50.32</v>
      </c>
      <c r="D2051">
        <v>50.85</v>
      </c>
      <c r="E2051">
        <v>49.9</v>
      </c>
      <c r="F2051" t="s">
        <v>1918</v>
      </c>
      <c r="G2051" s="2">
        <v>5.0000000000000001E-3</v>
      </c>
      <c r="H2051">
        <f t="shared" ref="H2051:H2114" si="64">(B2051-B2052)/B2052</f>
        <v>4.9652432969215492E-3</v>
      </c>
      <c r="I2051">
        <f t="shared" ref="I2051:I2114" si="65">LN(B2051/B2052)</f>
        <v>4.9529571288486167E-3</v>
      </c>
    </row>
    <row r="2052" spans="1:9" x14ac:dyDescent="0.75">
      <c r="A2052" s="1">
        <v>42824</v>
      </c>
      <c r="B2052">
        <v>50.35</v>
      </c>
      <c r="C2052">
        <v>49.6</v>
      </c>
      <c r="D2052">
        <v>50.47</v>
      </c>
      <c r="E2052">
        <v>49.27</v>
      </c>
      <c r="F2052" t="s">
        <v>1919</v>
      </c>
      <c r="G2052" s="2">
        <v>1.7000000000000001E-2</v>
      </c>
      <c r="H2052">
        <f t="shared" si="64"/>
        <v>1.6966269440517136E-2</v>
      </c>
      <c r="I2052">
        <f t="shared" si="65"/>
        <v>1.6823949791239596E-2</v>
      </c>
    </row>
    <row r="2053" spans="1:9" x14ac:dyDescent="0.75">
      <c r="A2053" s="1">
        <v>42823</v>
      </c>
      <c r="B2053">
        <v>49.51</v>
      </c>
      <c r="C2053">
        <v>48.47</v>
      </c>
      <c r="D2053">
        <v>49.63</v>
      </c>
      <c r="E2053">
        <v>48.38</v>
      </c>
      <c r="F2053" t="s">
        <v>1920</v>
      </c>
      <c r="G2053" s="2">
        <v>2.3599999999999999E-2</v>
      </c>
      <c r="H2053">
        <f t="shared" si="64"/>
        <v>2.3568327475708098E-2</v>
      </c>
      <c r="I2053">
        <f t="shared" si="65"/>
        <v>2.3294882538439907E-2</v>
      </c>
    </row>
    <row r="2054" spans="1:9" x14ac:dyDescent="0.75">
      <c r="A2054" s="1">
        <v>42822</v>
      </c>
      <c r="B2054">
        <v>48.37</v>
      </c>
      <c r="C2054">
        <v>47.89</v>
      </c>
      <c r="D2054">
        <v>48.74</v>
      </c>
      <c r="E2054">
        <v>47.8</v>
      </c>
      <c r="F2054" t="s">
        <v>1921</v>
      </c>
      <c r="G2054" s="2">
        <v>1.34E-2</v>
      </c>
      <c r="H2054">
        <f t="shared" si="64"/>
        <v>1.3408757594804119E-2</v>
      </c>
      <c r="I2054">
        <f t="shared" si="65"/>
        <v>1.3319655817086624E-2</v>
      </c>
    </row>
    <row r="2055" spans="1:9" x14ac:dyDescent="0.75">
      <c r="A2055" s="1">
        <v>42821</v>
      </c>
      <c r="B2055">
        <v>47.73</v>
      </c>
      <c r="C2055">
        <v>48.12</v>
      </c>
      <c r="D2055">
        <v>48.28</v>
      </c>
      <c r="E2055">
        <v>47.08</v>
      </c>
      <c r="F2055" t="s">
        <v>1922</v>
      </c>
      <c r="G2055" s="2">
        <v>-5.0000000000000001E-3</v>
      </c>
      <c r="H2055">
        <f t="shared" si="64"/>
        <v>-5.0031269543465082E-3</v>
      </c>
      <c r="I2055">
        <f t="shared" si="65"/>
        <v>-5.0156844961673566E-3</v>
      </c>
    </row>
    <row r="2056" spans="1:9" x14ac:dyDescent="0.75">
      <c r="A2056" s="1">
        <v>42818</v>
      </c>
      <c r="B2056">
        <v>47.97</v>
      </c>
      <c r="C2056">
        <v>47.67</v>
      </c>
      <c r="D2056">
        <v>48.2</v>
      </c>
      <c r="E2056">
        <v>47.54</v>
      </c>
      <c r="F2056" t="s">
        <v>1923</v>
      </c>
      <c r="G2056" s="2">
        <v>5.7000000000000002E-3</v>
      </c>
      <c r="H2056">
        <f t="shared" si="64"/>
        <v>5.6603773584904824E-3</v>
      </c>
      <c r="I2056">
        <f t="shared" si="65"/>
        <v>5.6444176196769101E-3</v>
      </c>
    </row>
    <row r="2057" spans="1:9" x14ac:dyDescent="0.75">
      <c r="A2057" s="1">
        <v>42817</v>
      </c>
      <c r="B2057">
        <v>47.7</v>
      </c>
      <c r="C2057">
        <v>48.15</v>
      </c>
      <c r="D2057">
        <v>48.48</v>
      </c>
      <c r="E2057">
        <v>47.58</v>
      </c>
      <c r="F2057" t="s">
        <v>1924</v>
      </c>
      <c r="G2057" s="2">
        <v>-7.1000000000000004E-3</v>
      </c>
      <c r="H2057">
        <f t="shared" si="64"/>
        <v>-7.0774354704412224E-3</v>
      </c>
      <c r="I2057">
        <f t="shared" si="65"/>
        <v>-7.1025993174872216E-3</v>
      </c>
    </row>
    <row r="2058" spans="1:9" x14ac:dyDescent="0.75">
      <c r="A2058" s="1">
        <v>42816</v>
      </c>
      <c r="B2058">
        <v>48.04</v>
      </c>
      <c r="C2058">
        <v>48.16</v>
      </c>
      <c r="D2058">
        <v>48.32</v>
      </c>
      <c r="E2058">
        <v>47.01</v>
      </c>
      <c r="F2058" t="s">
        <v>1925</v>
      </c>
      <c r="G2058" s="2">
        <v>1.4800000000000001E-2</v>
      </c>
      <c r="H2058">
        <f t="shared" si="64"/>
        <v>1.478664976763827E-2</v>
      </c>
      <c r="I2058">
        <f t="shared" si="65"/>
        <v>1.4678393125944883E-2</v>
      </c>
    </row>
    <row r="2059" spans="1:9" x14ac:dyDescent="0.75">
      <c r="A2059" s="1">
        <v>42815</v>
      </c>
      <c r="B2059">
        <v>47.34</v>
      </c>
      <c r="C2059">
        <v>47.93</v>
      </c>
      <c r="D2059">
        <v>48.73</v>
      </c>
      <c r="E2059">
        <v>47.23</v>
      </c>
      <c r="F2059" t="s">
        <v>1926</v>
      </c>
      <c r="G2059" s="2">
        <v>-1.8200000000000001E-2</v>
      </c>
      <c r="H2059">
        <f t="shared" si="64"/>
        <v>-1.8249688925756853E-2</v>
      </c>
      <c r="I2059">
        <f t="shared" si="65"/>
        <v>-1.8418268667187012E-2</v>
      </c>
    </row>
    <row r="2060" spans="1:9" x14ac:dyDescent="0.75">
      <c r="A2060" s="1">
        <v>42814</v>
      </c>
      <c r="B2060">
        <v>48.22</v>
      </c>
      <c r="C2060">
        <v>48.7</v>
      </c>
      <c r="D2060">
        <v>48.74</v>
      </c>
      <c r="E2060">
        <v>47.84</v>
      </c>
      <c r="F2060" t="s">
        <v>1927</v>
      </c>
      <c r="G2060" s="2">
        <v>-1.15E-2</v>
      </c>
      <c r="H2060">
        <f t="shared" si="64"/>
        <v>-1.1480114801148057E-2</v>
      </c>
      <c r="I2060">
        <f t="shared" si="65"/>
        <v>-1.15465200347493E-2</v>
      </c>
    </row>
    <row r="2061" spans="1:9" x14ac:dyDescent="0.75">
      <c r="A2061" s="1">
        <v>42811</v>
      </c>
      <c r="B2061">
        <v>48.78</v>
      </c>
      <c r="C2061">
        <v>48.79</v>
      </c>
      <c r="D2061">
        <v>49.2</v>
      </c>
      <c r="E2061">
        <v>48.6</v>
      </c>
      <c r="F2061" t="s">
        <v>1928</v>
      </c>
      <c r="G2061" s="2">
        <v>5.9999999999999995E-4</v>
      </c>
      <c r="H2061">
        <f t="shared" si="64"/>
        <v>6.1538461538463872E-4</v>
      </c>
      <c r="I2061">
        <f t="shared" si="65"/>
        <v>6.1519534391810983E-4</v>
      </c>
    </row>
    <row r="2062" spans="1:9" x14ac:dyDescent="0.75">
      <c r="A2062" s="1">
        <v>42810</v>
      </c>
      <c r="B2062">
        <v>48.75</v>
      </c>
      <c r="C2062">
        <v>49.01</v>
      </c>
      <c r="D2062">
        <v>49.62</v>
      </c>
      <c r="E2062">
        <v>48.45</v>
      </c>
      <c r="F2062" t="s">
        <v>1929</v>
      </c>
      <c r="G2062" s="2">
        <v>-2.3E-3</v>
      </c>
      <c r="H2062">
        <f t="shared" si="64"/>
        <v>-2.2513303315595465E-3</v>
      </c>
      <c r="I2062">
        <f t="shared" si="65"/>
        <v>-2.2538683857382218E-3</v>
      </c>
    </row>
    <row r="2063" spans="1:9" x14ac:dyDescent="0.75">
      <c r="A2063" s="1">
        <v>42809</v>
      </c>
      <c r="B2063">
        <v>48.86</v>
      </c>
      <c r="C2063">
        <v>48.76</v>
      </c>
      <c r="D2063">
        <v>49.04</v>
      </c>
      <c r="E2063">
        <v>48.16</v>
      </c>
      <c r="F2063" t="s">
        <v>1930</v>
      </c>
      <c r="G2063" s="2">
        <v>2.3900000000000001E-2</v>
      </c>
      <c r="H2063">
        <f t="shared" si="64"/>
        <v>2.3889354568315185E-2</v>
      </c>
      <c r="I2063">
        <f t="shared" si="65"/>
        <v>2.3608468599879074E-2</v>
      </c>
    </row>
    <row r="2064" spans="1:9" x14ac:dyDescent="0.75">
      <c r="A2064" s="1">
        <v>42808</v>
      </c>
      <c r="B2064">
        <v>47.72</v>
      </c>
      <c r="C2064">
        <v>48.45</v>
      </c>
      <c r="D2064">
        <v>48.79</v>
      </c>
      <c r="E2064">
        <v>47.09</v>
      </c>
      <c r="F2064" t="s">
        <v>1931</v>
      </c>
      <c r="G2064" s="2">
        <v>-1.4E-2</v>
      </c>
      <c r="H2064">
        <f t="shared" si="64"/>
        <v>-1.4049586776859498E-2</v>
      </c>
      <c r="I2064">
        <f t="shared" si="65"/>
        <v>-1.4149216492870679E-2</v>
      </c>
    </row>
    <row r="2065" spans="1:9" x14ac:dyDescent="0.75">
      <c r="A2065" s="1">
        <v>42807</v>
      </c>
      <c r="B2065">
        <v>48.4</v>
      </c>
      <c r="C2065">
        <v>48.45</v>
      </c>
      <c r="D2065">
        <v>48.68</v>
      </c>
      <c r="E2065">
        <v>47.9</v>
      </c>
      <c r="F2065" t="s">
        <v>1932</v>
      </c>
      <c r="G2065" s="2">
        <v>-1.9E-3</v>
      </c>
      <c r="H2065">
        <f t="shared" si="64"/>
        <v>-1.8560527943906663E-3</v>
      </c>
      <c r="I2065">
        <f t="shared" si="65"/>
        <v>-1.8577773946750074E-3</v>
      </c>
    </row>
    <row r="2066" spans="1:9" x14ac:dyDescent="0.75">
      <c r="A2066" s="1">
        <v>42804</v>
      </c>
      <c r="B2066">
        <v>48.49</v>
      </c>
      <c r="C2066">
        <v>49.61</v>
      </c>
      <c r="D2066">
        <v>50.11</v>
      </c>
      <c r="E2066">
        <v>48.31</v>
      </c>
      <c r="F2066" t="s">
        <v>1933</v>
      </c>
      <c r="G2066" s="2">
        <v>-1.6E-2</v>
      </c>
      <c r="H2066">
        <f t="shared" si="64"/>
        <v>-1.6030844155844139E-2</v>
      </c>
      <c r="I2066">
        <f t="shared" si="65"/>
        <v>-1.6160728108003376E-2</v>
      </c>
    </row>
    <row r="2067" spans="1:9" x14ac:dyDescent="0.75">
      <c r="A2067" s="1">
        <v>42803</v>
      </c>
      <c r="B2067">
        <v>49.28</v>
      </c>
      <c r="C2067">
        <v>50.22</v>
      </c>
      <c r="D2067">
        <v>50.84</v>
      </c>
      <c r="E2067">
        <v>48.59</v>
      </c>
      <c r="F2067" t="s">
        <v>1934</v>
      </c>
      <c r="G2067" s="2">
        <v>-1.9900000000000001E-2</v>
      </c>
      <c r="H2067">
        <f t="shared" si="64"/>
        <v>-1.9888623707239459E-2</v>
      </c>
      <c r="I2067">
        <f t="shared" si="65"/>
        <v>-2.0089064496782303E-2</v>
      </c>
    </row>
    <row r="2068" spans="1:9" x14ac:dyDescent="0.75">
      <c r="A2068" s="1">
        <v>42802</v>
      </c>
      <c r="B2068">
        <v>50.28</v>
      </c>
      <c r="C2068">
        <v>52.79</v>
      </c>
      <c r="D2068">
        <v>52.92</v>
      </c>
      <c r="E2068">
        <v>50.05</v>
      </c>
      <c r="F2068" t="s">
        <v>1935</v>
      </c>
      <c r="G2068" s="2">
        <v>-5.3800000000000001E-2</v>
      </c>
      <c r="H2068">
        <f t="shared" si="64"/>
        <v>-5.3820097854723359E-2</v>
      </c>
      <c r="I2068">
        <f t="shared" si="65"/>
        <v>-5.5322556609620814E-2</v>
      </c>
    </row>
    <row r="2069" spans="1:9" x14ac:dyDescent="0.75">
      <c r="A2069" s="1">
        <v>42801</v>
      </c>
      <c r="B2069">
        <v>53.14</v>
      </c>
      <c r="C2069">
        <v>53.17</v>
      </c>
      <c r="D2069">
        <v>53.8</v>
      </c>
      <c r="E2069">
        <v>52.71</v>
      </c>
      <c r="F2069" t="s">
        <v>1936</v>
      </c>
      <c r="G2069" s="2">
        <v>-1.1000000000000001E-3</v>
      </c>
      <c r="H2069">
        <f t="shared" si="64"/>
        <v>-1.1278195488722232E-3</v>
      </c>
      <c r="I2069">
        <f t="shared" si="65"/>
        <v>-1.1284560159312731E-3</v>
      </c>
    </row>
    <row r="2070" spans="1:9" x14ac:dyDescent="0.75">
      <c r="A2070" s="1">
        <v>42800</v>
      </c>
      <c r="B2070">
        <v>53.2</v>
      </c>
      <c r="C2070">
        <v>53.19</v>
      </c>
      <c r="D2070">
        <v>53.56</v>
      </c>
      <c r="E2070">
        <v>52.76</v>
      </c>
      <c r="F2070" t="s">
        <v>1937</v>
      </c>
      <c r="G2070" s="2">
        <v>-2.3999999999999998E-3</v>
      </c>
      <c r="H2070">
        <f t="shared" si="64"/>
        <v>-2.4376523532719943E-3</v>
      </c>
      <c r="I2070">
        <f t="shared" si="65"/>
        <v>-2.4406282649120461E-3</v>
      </c>
    </row>
    <row r="2071" spans="1:9" x14ac:dyDescent="0.75">
      <c r="A2071" s="1">
        <v>42797</v>
      </c>
      <c r="B2071">
        <v>53.33</v>
      </c>
      <c r="C2071">
        <v>52.58</v>
      </c>
      <c r="D2071">
        <v>53.39</v>
      </c>
      <c r="E2071">
        <v>52.55</v>
      </c>
      <c r="F2071" t="s">
        <v>1938</v>
      </c>
      <c r="G2071" s="2">
        <v>1.37E-2</v>
      </c>
      <c r="H2071">
        <f t="shared" si="64"/>
        <v>1.3685611100551205E-2</v>
      </c>
      <c r="I2071">
        <f t="shared" si="65"/>
        <v>1.3592808869794982E-2</v>
      </c>
    </row>
    <row r="2072" spans="1:9" x14ac:dyDescent="0.75">
      <c r="A2072" s="1">
        <v>42796</v>
      </c>
      <c r="B2072">
        <v>52.61</v>
      </c>
      <c r="C2072">
        <v>53.69</v>
      </c>
      <c r="D2072">
        <v>53.8</v>
      </c>
      <c r="E2072">
        <v>52.54</v>
      </c>
      <c r="F2072" t="s">
        <v>1939</v>
      </c>
      <c r="G2072" s="2">
        <v>-2.2700000000000001E-2</v>
      </c>
      <c r="H2072">
        <f t="shared" si="64"/>
        <v>-2.2663942039754765E-2</v>
      </c>
      <c r="I2072">
        <f t="shared" si="65"/>
        <v>-2.2924716830150016E-2</v>
      </c>
    </row>
    <row r="2073" spans="1:9" x14ac:dyDescent="0.75">
      <c r="A2073" s="1">
        <v>42795</v>
      </c>
      <c r="B2073">
        <v>53.83</v>
      </c>
      <c r="C2073">
        <v>53.95</v>
      </c>
      <c r="D2073">
        <v>54.44</v>
      </c>
      <c r="E2073">
        <v>53.63</v>
      </c>
      <c r="F2073" t="s">
        <v>1940</v>
      </c>
      <c r="G2073" s="2">
        <v>-3.3E-3</v>
      </c>
      <c r="H2073">
        <f t="shared" si="64"/>
        <v>-3.3327161636733885E-3</v>
      </c>
      <c r="I2073">
        <f t="shared" si="65"/>
        <v>-3.3382820319338151E-3</v>
      </c>
    </row>
    <row r="2074" spans="1:9" x14ac:dyDescent="0.75">
      <c r="A2074" s="1">
        <v>42794</v>
      </c>
      <c r="B2074">
        <v>54.01</v>
      </c>
      <c r="C2074">
        <v>54.04</v>
      </c>
      <c r="D2074">
        <v>54.23</v>
      </c>
      <c r="E2074">
        <v>53.18</v>
      </c>
      <c r="F2074" t="s">
        <v>1941</v>
      </c>
      <c r="G2074" s="2">
        <v>-6.9999999999999999E-4</v>
      </c>
      <c r="H2074">
        <f t="shared" si="64"/>
        <v>-7.4005550416279646E-4</v>
      </c>
      <c r="I2074">
        <f t="shared" si="65"/>
        <v>-7.4032948041750154E-4</v>
      </c>
    </row>
    <row r="2075" spans="1:9" x14ac:dyDescent="0.75">
      <c r="A2075" s="1">
        <v>42793</v>
      </c>
      <c r="B2075">
        <v>54.05</v>
      </c>
      <c r="C2075">
        <v>54.02</v>
      </c>
      <c r="D2075">
        <v>54.61</v>
      </c>
      <c r="E2075">
        <v>53.94</v>
      </c>
      <c r="F2075" t="s">
        <v>1942</v>
      </c>
      <c r="G2075" s="2">
        <v>1.1000000000000001E-3</v>
      </c>
      <c r="H2075">
        <f t="shared" si="64"/>
        <v>1.1113169105388993E-3</v>
      </c>
      <c r="I2075">
        <f t="shared" si="65"/>
        <v>1.1106998550216894E-3</v>
      </c>
    </row>
    <row r="2076" spans="1:9" x14ac:dyDescent="0.75">
      <c r="A2076" s="1">
        <v>42790</v>
      </c>
      <c r="B2076">
        <v>53.99</v>
      </c>
      <c r="C2076">
        <v>54.33</v>
      </c>
      <c r="D2076">
        <v>54.51</v>
      </c>
      <c r="E2076">
        <v>53.76</v>
      </c>
      <c r="F2076" t="s">
        <v>1943</v>
      </c>
      <c r="G2076" s="2">
        <v>-8.3999999999999995E-3</v>
      </c>
      <c r="H2076">
        <f t="shared" si="64"/>
        <v>-8.448117539026646E-3</v>
      </c>
      <c r="I2076">
        <f t="shared" si="65"/>
        <v>-8.4840051487738693E-3</v>
      </c>
    </row>
    <row r="2077" spans="1:9" x14ac:dyDescent="0.75">
      <c r="A2077" s="1">
        <v>42789</v>
      </c>
      <c r="B2077">
        <v>54.45</v>
      </c>
      <c r="C2077">
        <v>53.91</v>
      </c>
      <c r="D2077">
        <v>54.94</v>
      </c>
      <c r="E2077">
        <v>53.87</v>
      </c>
      <c r="F2077" t="s">
        <v>1944</v>
      </c>
      <c r="G2077" s="2">
        <v>1.6E-2</v>
      </c>
      <c r="H2077">
        <f t="shared" si="64"/>
        <v>1.6047770106363116E-2</v>
      </c>
      <c r="I2077">
        <f t="shared" si="65"/>
        <v>1.5920365872210511E-2</v>
      </c>
    </row>
    <row r="2078" spans="1:9" x14ac:dyDescent="0.75">
      <c r="A2078" s="1">
        <v>42788</v>
      </c>
      <c r="B2078">
        <v>53.59</v>
      </c>
      <c r="C2078">
        <v>54.26</v>
      </c>
      <c r="D2078">
        <v>54.6</v>
      </c>
      <c r="E2078">
        <v>53.35</v>
      </c>
      <c r="F2078" t="s">
        <v>1945</v>
      </c>
      <c r="G2078" s="2">
        <v>-8.6999999999999994E-3</v>
      </c>
      <c r="H2078">
        <f t="shared" si="64"/>
        <v>-8.6940436551979066E-3</v>
      </c>
      <c r="I2078">
        <f t="shared" si="65"/>
        <v>-8.7320573415426116E-3</v>
      </c>
    </row>
    <row r="2079" spans="1:9" x14ac:dyDescent="0.75">
      <c r="A2079" s="1">
        <v>42787</v>
      </c>
      <c r="B2079">
        <v>54.06</v>
      </c>
      <c r="C2079">
        <v>53.48</v>
      </c>
      <c r="D2079">
        <v>54.68</v>
      </c>
      <c r="E2079">
        <v>53.35</v>
      </c>
      <c r="F2079" t="s">
        <v>1946</v>
      </c>
      <c r="G2079" s="2">
        <v>1.6999999999999999E-3</v>
      </c>
      <c r="H2079">
        <f t="shared" si="64"/>
        <v>1.6675931072818865E-3</v>
      </c>
      <c r="I2079">
        <f t="shared" si="65"/>
        <v>1.6662042177501145E-3</v>
      </c>
    </row>
    <row r="2080" spans="1:9" x14ac:dyDescent="0.75">
      <c r="A2080" s="1">
        <v>42786</v>
      </c>
      <c r="B2080">
        <v>53.97</v>
      </c>
      <c r="C2080">
        <v>53.78</v>
      </c>
      <c r="D2080">
        <v>54.24</v>
      </c>
      <c r="E2080">
        <v>53.73</v>
      </c>
      <c r="G2080" s="2">
        <v>3.3E-3</v>
      </c>
      <c r="H2080">
        <f t="shared" si="64"/>
        <v>3.3463469046291078E-3</v>
      </c>
      <c r="I2080">
        <f t="shared" si="65"/>
        <v>3.3407603454002062E-3</v>
      </c>
    </row>
    <row r="2081" spans="1:9" x14ac:dyDescent="0.75">
      <c r="A2081" s="1">
        <v>42785</v>
      </c>
      <c r="B2081">
        <v>53.79</v>
      </c>
      <c r="C2081">
        <v>53.86</v>
      </c>
      <c r="D2081">
        <v>53.96</v>
      </c>
      <c r="E2081">
        <v>53.78</v>
      </c>
      <c r="G2081" s="2">
        <v>7.3000000000000001E-3</v>
      </c>
      <c r="H2081">
        <f t="shared" si="64"/>
        <v>7.3033707865168647E-3</v>
      </c>
      <c r="I2081">
        <f t="shared" si="65"/>
        <v>7.2768303190020754E-3</v>
      </c>
    </row>
    <row r="2082" spans="1:9" x14ac:dyDescent="0.75">
      <c r="A2082" s="1">
        <v>42783</v>
      </c>
      <c r="B2082">
        <v>53.4</v>
      </c>
      <c r="C2082">
        <v>53.47</v>
      </c>
      <c r="D2082">
        <v>53.52</v>
      </c>
      <c r="E2082">
        <v>52.88</v>
      </c>
      <c r="F2082" t="s">
        <v>1371</v>
      </c>
      <c r="G2082" s="2">
        <v>6.9999999999999999E-4</v>
      </c>
      <c r="H2082">
        <f t="shared" si="64"/>
        <v>7.4962518740628089E-4</v>
      </c>
      <c r="I2082">
        <f t="shared" si="65"/>
        <v>7.493443587807578E-4</v>
      </c>
    </row>
    <row r="2083" spans="1:9" x14ac:dyDescent="0.75">
      <c r="A2083" s="1">
        <v>42782</v>
      </c>
      <c r="B2083">
        <v>53.36</v>
      </c>
      <c r="C2083">
        <v>53.01</v>
      </c>
      <c r="D2083">
        <v>53.59</v>
      </c>
      <c r="E2083">
        <v>52.68</v>
      </c>
      <c r="F2083" t="s">
        <v>1947</v>
      </c>
      <c r="G2083" s="2">
        <v>4.7000000000000002E-3</v>
      </c>
      <c r="H2083">
        <f t="shared" si="64"/>
        <v>4.7072114479382414E-3</v>
      </c>
      <c r="I2083">
        <f t="shared" si="65"/>
        <v>4.6961671730605357E-3</v>
      </c>
    </row>
    <row r="2084" spans="1:9" x14ac:dyDescent="0.75">
      <c r="A2084" s="1">
        <v>42781</v>
      </c>
      <c r="B2084">
        <v>53.11</v>
      </c>
      <c r="C2084">
        <v>53</v>
      </c>
      <c r="D2084">
        <v>53.51</v>
      </c>
      <c r="E2084">
        <v>52.73</v>
      </c>
      <c r="F2084" t="s">
        <v>1948</v>
      </c>
      <c r="G2084" s="2">
        <v>-1.6999999999999999E-3</v>
      </c>
      <c r="H2084">
        <f t="shared" si="64"/>
        <v>-1.6917293233083346E-3</v>
      </c>
      <c r="I2084">
        <f t="shared" si="65"/>
        <v>-1.6931619132909417E-3</v>
      </c>
    </row>
    <row r="2085" spans="1:9" x14ac:dyDescent="0.75">
      <c r="A2085" s="1">
        <v>42780</v>
      </c>
      <c r="B2085">
        <v>53.2</v>
      </c>
      <c r="C2085">
        <v>52.91</v>
      </c>
      <c r="D2085">
        <v>53.72</v>
      </c>
      <c r="E2085">
        <v>52.86</v>
      </c>
      <c r="F2085" t="s">
        <v>1949</v>
      </c>
      <c r="G2085" s="2">
        <v>5.1000000000000004E-3</v>
      </c>
      <c r="H2085">
        <f t="shared" si="64"/>
        <v>5.1010768940110167E-3</v>
      </c>
      <c r="I2085">
        <f t="shared" si="65"/>
        <v>5.0881104777025146E-3</v>
      </c>
    </row>
    <row r="2086" spans="1:9" x14ac:dyDescent="0.75">
      <c r="A2086" s="1">
        <v>42779</v>
      </c>
      <c r="B2086">
        <v>52.93</v>
      </c>
      <c r="C2086">
        <v>53.8</v>
      </c>
      <c r="D2086">
        <v>53.95</v>
      </c>
      <c r="E2086">
        <v>52.77</v>
      </c>
      <c r="F2086" t="s">
        <v>1950</v>
      </c>
      <c r="G2086" s="2">
        <v>-1.7299999999999999E-2</v>
      </c>
      <c r="H2086">
        <f t="shared" si="64"/>
        <v>-1.7266988488674334E-2</v>
      </c>
      <c r="I2086">
        <f t="shared" si="65"/>
        <v>-1.7417801513556687E-2</v>
      </c>
    </row>
    <row r="2087" spans="1:9" x14ac:dyDescent="0.75">
      <c r="A2087" s="1">
        <v>42776</v>
      </c>
      <c r="B2087">
        <v>53.86</v>
      </c>
      <c r="C2087">
        <v>53.15</v>
      </c>
      <c r="D2087">
        <v>54.13</v>
      </c>
      <c r="E2087">
        <v>52.9</v>
      </c>
      <c r="F2087" t="s">
        <v>1951</v>
      </c>
      <c r="G2087" s="2">
        <v>1.6199999999999999E-2</v>
      </c>
      <c r="H2087">
        <f t="shared" si="64"/>
        <v>1.6226415094339613E-2</v>
      </c>
      <c r="I2087">
        <f t="shared" si="65"/>
        <v>1.6096173831331034E-2</v>
      </c>
    </row>
    <row r="2088" spans="1:9" x14ac:dyDescent="0.75">
      <c r="A2088" s="1">
        <v>42775</v>
      </c>
      <c r="B2088">
        <v>53</v>
      </c>
      <c r="C2088">
        <v>52.37</v>
      </c>
      <c r="D2088">
        <v>53.21</v>
      </c>
      <c r="E2088">
        <v>52.37</v>
      </c>
      <c r="F2088" t="s">
        <v>1952</v>
      </c>
      <c r="G2088" s="2">
        <v>1.26E-2</v>
      </c>
      <c r="H2088">
        <f t="shared" si="64"/>
        <v>1.2609858616736655E-2</v>
      </c>
      <c r="I2088">
        <f t="shared" si="65"/>
        <v>1.2531016450122005E-2</v>
      </c>
    </row>
    <row r="2089" spans="1:9" x14ac:dyDescent="0.75">
      <c r="A2089" s="1">
        <v>42774</v>
      </c>
      <c r="B2089">
        <v>52.34</v>
      </c>
      <c r="C2089">
        <v>51.64</v>
      </c>
      <c r="D2089">
        <v>52.67</v>
      </c>
      <c r="E2089">
        <v>51.22</v>
      </c>
      <c r="F2089" t="s">
        <v>1953</v>
      </c>
      <c r="G2089" s="2">
        <v>3.3E-3</v>
      </c>
      <c r="H2089">
        <f t="shared" si="64"/>
        <v>3.2585777266628656E-3</v>
      </c>
      <c r="I2089">
        <f t="shared" si="65"/>
        <v>3.2532800676985476E-3</v>
      </c>
    </row>
    <row r="2090" spans="1:9" x14ac:dyDescent="0.75">
      <c r="A2090" s="1">
        <v>42773</v>
      </c>
      <c r="B2090">
        <v>52.17</v>
      </c>
      <c r="C2090">
        <v>53.14</v>
      </c>
      <c r="D2090">
        <v>53.24</v>
      </c>
      <c r="E2090">
        <v>51.63</v>
      </c>
      <c r="F2090" t="s">
        <v>1954</v>
      </c>
      <c r="G2090" s="2">
        <v>-1.5800000000000002E-2</v>
      </c>
      <c r="H2090">
        <f t="shared" si="64"/>
        <v>-1.5846066779852789E-2</v>
      </c>
      <c r="I2090">
        <f t="shared" si="65"/>
        <v>-1.5972957965413294E-2</v>
      </c>
    </row>
    <row r="2091" spans="1:9" x14ac:dyDescent="0.75">
      <c r="A2091" s="1">
        <v>42772</v>
      </c>
      <c r="B2091">
        <v>53.01</v>
      </c>
      <c r="C2091">
        <v>53.81</v>
      </c>
      <c r="D2091">
        <v>54.13</v>
      </c>
      <c r="E2091">
        <v>52.91</v>
      </c>
      <c r="F2091" t="s">
        <v>1955</v>
      </c>
      <c r="G2091" s="2">
        <v>-1.52E-2</v>
      </c>
      <c r="H2091">
        <f t="shared" si="64"/>
        <v>-1.5233141370982729E-2</v>
      </c>
      <c r="I2091">
        <f t="shared" si="65"/>
        <v>-1.5350357573151218E-2</v>
      </c>
    </row>
    <row r="2092" spans="1:9" x14ac:dyDescent="0.75">
      <c r="A2092" s="1">
        <v>42769</v>
      </c>
      <c r="B2092">
        <v>53.83</v>
      </c>
      <c r="C2092">
        <v>53.68</v>
      </c>
      <c r="D2092">
        <v>54.22</v>
      </c>
      <c r="E2092">
        <v>53.4</v>
      </c>
      <c r="F2092" t="s">
        <v>1956</v>
      </c>
      <c r="G2092" s="2">
        <v>5.4000000000000003E-3</v>
      </c>
      <c r="H2092">
        <f t="shared" si="64"/>
        <v>5.416511019798266E-3</v>
      </c>
      <c r="I2092">
        <f t="shared" si="65"/>
        <v>5.4018944806595226E-3</v>
      </c>
    </row>
    <row r="2093" spans="1:9" x14ac:dyDescent="0.75">
      <c r="A2093" s="1">
        <v>42768</v>
      </c>
      <c r="B2093">
        <v>53.54</v>
      </c>
      <c r="C2093">
        <v>53.57</v>
      </c>
      <c r="D2093">
        <v>54.34</v>
      </c>
      <c r="E2093">
        <v>53.35</v>
      </c>
      <c r="F2093" t="s">
        <v>1957</v>
      </c>
      <c r="G2093" s="2">
        <v>-6.3E-3</v>
      </c>
      <c r="H2093">
        <f t="shared" si="64"/>
        <v>-6.3103192279139455E-3</v>
      </c>
      <c r="I2093">
        <f t="shared" si="65"/>
        <v>-6.3303134499568224E-3</v>
      </c>
    </row>
    <row r="2094" spans="1:9" x14ac:dyDescent="0.75">
      <c r="A2094" s="1">
        <v>42767</v>
      </c>
      <c r="B2094">
        <v>53.88</v>
      </c>
      <c r="C2094">
        <v>52.76</v>
      </c>
      <c r="D2094">
        <v>53.91</v>
      </c>
      <c r="E2094">
        <v>52.64</v>
      </c>
      <c r="F2094" t="s">
        <v>1958</v>
      </c>
      <c r="G2094" s="2">
        <v>2.0299999999999999E-2</v>
      </c>
      <c r="H2094">
        <f t="shared" si="64"/>
        <v>2.0261314145048292E-2</v>
      </c>
      <c r="I2094">
        <f t="shared" si="65"/>
        <v>2.0058784823321438E-2</v>
      </c>
    </row>
    <row r="2095" spans="1:9" x14ac:dyDescent="0.75">
      <c r="A2095" s="1">
        <v>42766</v>
      </c>
      <c r="B2095">
        <v>52.81</v>
      </c>
      <c r="C2095">
        <v>52.6</v>
      </c>
      <c r="D2095">
        <v>53.56</v>
      </c>
      <c r="E2095">
        <v>52.24</v>
      </c>
      <c r="F2095" t="s">
        <v>1959</v>
      </c>
      <c r="G2095" s="2">
        <v>3.3999999999999998E-3</v>
      </c>
      <c r="H2095">
        <f t="shared" si="64"/>
        <v>3.420102603078087E-3</v>
      </c>
      <c r="I2095">
        <f t="shared" si="65"/>
        <v>3.41426735315412E-3</v>
      </c>
    </row>
    <row r="2096" spans="1:9" x14ac:dyDescent="0.75">
      <c r="A2096" s="1">
        <v>42765</v>
      </c>
      <c r="B2096">
        <v>52.63</v>
      </c>
      <c r="C2096">
        <v>53.15</v>
      </c>
      <c r="D2096">
        <v>53.46</v>
      </c>
      <c r="E2096">
        <v>52.41</v>
      </c>
      <c r="F2096" t="s">
        <v>1960</v>
      </c>
      <c r="G2096" s="2">
        <v>-1.0200000000000001E-2</v>
      </c>
      <c r="H2096">
        <f t="shared" si="64"/>
        <v>-1.0156103065638501E-2</v>
      </c>
      <c r="I2096">
        <f t="shared" si="65"/>
        <v>-1.0208028150559526E-2</v>
      </c>
    </row>
    <row r="2097" spans="1:9" x14ac:dyDescent="0.75">
      <c r="A2097" s="1">
        <v>42762</v>
      </c>
      <c r="B2097">
        <v>53.17</v>
      </c>
      <c r="C2097">
        <v>53.74</v>
      </c>
      <c r="D2097">
        <v>54.08</v>
      </c>
      <c r="E2097">
        <v>52.58</v>
      </c>
      <c r="F2097" t="s">
        <v>1961</v>
      </c>
      <c r="G2097" s="2">
        <v>-1.1299999999999999E-2</v>
      </c>
      <c r="H2097">
        <f t="shared" si="64"/>
        <v>-1.1342506507995526E-2</v>
      </c>
      <c r="I2097">
        <f t="shared" si="65"/>
        <v>-1.1407323324471468E-2</v>
      </c>
    </row>
    <row r="2098" spans="1:9" x14ac:dyDescent="0.75">
      <c r="A2098" s="1">
        <v>42761</v>
      </c>
      <c r="B2098">
        <v>53.78</v>
      </c>
      <c r="C2098">
        <v>52.96</v>
      </c>
      <c r="D2098">
        <v>54.06</v>
      </c>
      <c r="E2098">
        <v>52.79</v>
      </c>
      <c r="F2098" t="s">
        <v>1962</v>
      </c>
      <c r="G2098" s="2">
        <v>1.95E-2</v>
      </c>
      <c r="H2098">
        <f t="shared" si="64"/>
        <v>1.9526066350710924E-2</v>
      </c>
      <c r="I2098">
        <f t="shared" si="65"/>
        <v>1.9337878484542693E-2</v>
      </c>
    </row>
    <row r="2099" spans="1:9" x14ac:dyDescent="0.75">
      <c r="A2099" s="1">
        <v>42760</v>
      </c>
      <c r="B2099">
        <v>52.75</v>
      </c>
      <c r="C2099">
        <v>52.95</v>
      </c>
      <c r="D2099">
        <v>53.47</v>
      </c>
      <c r="E2099">
        <v>52.56</v>
      </c>
      <c r="F2099" t="s">
        <v>1963</v>
      </c>
      <c r="G2099" s="2">
        <v>-8.0999999999999996E-3</v>
      </c>
      <c r="H2099">
        <f t="shared" si="64"/>
        <v>-8.0857465212485838E-3</v>
      </c>
      <c r="I2099">
        <f t="shared" si="65"/>
        <v>-8.1186134586978924E-3</v>
      </c>
    </row>
    <row r="2100" spans="1:9" x14ac:dyDescent="0.75">
      <c r="A2100" s="1">
        <v>42759</v>
      </c>
      <c r="B2100">
        <v>53.18</v>
      </c>
      <c r="C2100">
        <v>52.86</v>
      </c>
      <c r="D2100">
        <v>53.56</v>
      </c>
      <c r="E2100">
        <v>52.67</v>
      </c>
      <c r="F2100" t="s">
        <v>1964</v>
      </c>
      <c r="G2100" s="2">
        <v>8.2000000000000007E-3</v>
      </c>
      <c r="H2100">
        <f t="shared" si="64"/>
        <v>8.1516587677725062E-3</v>
      </c>
      <c r="I2100">
        <f t="shared" si="65"/>
        <v>8.1186134586979392E-3</v>
      </c>
    </row>
    <row r="2101" spans="1:9" x14ac:dyDescent="0.75">
      <c r="A2101" s="1">
        <v>42758</v>
      </c>
      <c r="B2101">
        <v>52.75</v>
      </c>
      <c r="C2101">
        <v>53.33</v>
      </c>
      <c r="D2101">
        <v>53.47</v>
      </c>
      <c r="E2101">
        <v>52.21</v>
      </c>
      <c r="F2101" t="s">
        <v>1965</v>
      </c>
      <c r="G2101" s="2">
        <v>6.3E-3</v>
      </c>
      <c r="H2101">
        <f t="shared" si="64"/>
        <v>6.2953071346813867E-3</v>
      </c>
      <c r="I2101">
        <f t="shared" si="65"/>
        <v>6.2755744609155799E-3</v>
      </c>
    </row>
    <row r="2102" spans="1:9" x14ac:dyDescent="0.75">
      <c r="A2102" s="1">
        <v>42755</v>
      </c>
      <c r="B2102">
        <v>52.42</v>
      </c>
      <c r="C2102">
        <v>51.45</v>
      </c>
      <c r="D2102">
        <v>52.9</v>
      </c>
      <c r="E2102">
        <v>51.39</v>
      </c>
      <c r="F2102" t="s">
        <v>1966</v>
      </c>
      <c r="G2102" s="2">
        <v>2.0400000000000001E-2</v>
      </c>
      <c r="H2102">
        <f t="shared" si="64"/>
        <v>2.0439945493478769E-2</v>
      </c>
      <c r="I2102">
        <f t="shared" si="65"/>
        <v>2.0233853416083827E-2</v>
      </c>
    </row>
    <row r="2103" spans="1:9" x14ac:dyDescent="0.75">
      <c r="A2103" s="1">
        <v>42754</v>
      </c>
      <c r="B2103">
        <v>51.37</v>
      </c>
      <c r="C2103">
        <v>51.39</v>
      </c>
      <c r="D2103">
        <v>51.87</v>
      </c>
      <c r="E2103">
        <v>51.02</v>
      </c>
      <c r="F2103" t="s">
        <v>1967</v>
      </c>
      <c r="G2103" s="2">
        <v>5.7000000000000002E-3</v>
      </c>
      <c r="H2103">
        <f t="shared" si="64"/>
        <v>5.6773688332028022E-3</v>
      </c>
      <c r="I2103">
        <f t="shared" si="65"/>
        <v>5.6613133148379268E-3</v>
      </c>
    </row>
    <row r="2104" spans="1:9" x14ac:dyDescent="0.75">
      <c r="A2104" s="1">
        <v>42753</v>
      </c>
      <c r="B2104">
        <v>51.08</v>
      </c>
      <c r="C2104">
        <v>52.52</v>
      </c>
      <c r="D2104">
        <v>52.79</v>
      </c>
      <c r="E2104">
        <v>50.91</v>
      </c>
      <c r="F2104" t="s">
        <v>1968</v>
      </c>
      <c r="G2104" s="2">
        <v>-2.6700000000000002E-2</v>
      </c>
      <c r="H2104">
        <f t="shared" si="64"/>
        <v>-2.6676829268292658E-2</v>
      </c>
      <c r="I2104">
        <f t="shared" si="65"/>
        <v>-2.7039113471494999E-2</v>
      </c>
    </row>
    <row r="2105" spans="1:9" x14ac:dyDescent="0.75">
      <c r="A2105" s="1">
        <v>42752</v>
      </c>
      <c r="B2105">
        <v>52.48</v>
      </c>
      <c r="C2105">
        <v>52.55</v>
      </c>
      <c r="D2105">
        <v>53.52</v>
      </c>
      <c r="E2105">
        <v>52.12</v>
      </c>
      <c r="F2105" t="s">
        <v>1969</v>
      </c>
      <c r="G2105" s="2">
        <v>-8.0000000000000004E-4</v>
      </c>
      <c r="H2105">
        <f t="shared" si="64"/>
        <v>-7.6161462300088068E-4</v>
      </c>
      <c r="I2105">
        <f t="shared" si="65"/>
        <v>-7.6190479876191359E-4</v>
      </c>
    </row>
    <row r="2106" spans="1:9" x14ac:dyDescent="0.75">
      <c r="A2106" s="1">
        <v>42751</v>
      </c>
      <c r="B2106">
        <v>52.52</v>
      </c>
      <c r="C2106">
        <v>52.46</v>
      </c>
      <c r="D2106">
        <v>52.72</v>
      </c>
      <c r="E2106">
        <v>52.13</v>
      </c>
      <c r="G2106" s="2">
        <v>1.2999999999999999E-3</v>
      </c>
      <c r="H2106">
        <f t="shared" si="64"/>
        <v>1.3346043851286994E-3</v>
      </c>
      <c r="I2106">
        <f t="shared" si="65"/>
        <v>1.3337145922893412E-3</v>
      </c>
    </row>
    <row r="2107" spans="1:9" x14ac:dyDescent="0.75">
      <c r="A2107" s="1">
        <v>42750</v>
      </c>
      <c r="B2107">
        <v>52.45</v>
      </c>
      <c r="C2107">
        <v>52.53</v>
      </c>
      <c r="D2107">
        <v>52.56</v>
      </c>
      <c r="E2107">
        <v>52.39</v>
      </c>
      <c r="G2107" s="2">
        <v>1.5E-3</v>
      </c>
      <c r="H2107">
        <f t="shared" si="64"/>
        <v>1.5275921329006188E-3</v>
      </c>
      <c r="I2107">
        <f t="shared" si="65"/>
        <v>1.526426550909898E-3</v>
      </c>
    </row>
    <row r="2108" spans="1:9" x14ac:dyDescent="0.75">
      <c r="A2108" s="1">
        <v>42748</v>
      </c>
      <c r="B2108">
        <v>52.37</v>
      </c>
      <c r="C2108">
        <v>53.05</v>
      </c>
      <c r="D2108">
        <v>53.17</v>
      </c>
      <c r="E2108">
        <v>52.27</v>
      </c>
      <c r="F2108" t="s">
        <v>1970</v>
      </c>
      <c r="G2108" s="2">
        <v>-1.21E-2</v>
      </c>
      <c r="H2108">
        <f t="shared" si="64"/>
        <v>-1.2073193737030761E-2</v>
      </c>
      <c r="I2108">
        <f t="shared" si="65"/>
        <v>-1.214666670831841E-2</v>
      </c>
    </row>
    <row r="2109" spans="1:9" x14ac:dyDescent="0.75">
      <c r="A2109" s="1">
        <v>42747</v>
      </c>
      <c r="B2109">
        <v>53.01</v>
      </c>
      <c r="C2109">
        <v>52.37</v>
      </c>
      <c r="D2109">
        <v>53.5</v>
      </c>
      <c r="E2109">
        <v>52.12</v>
      </c>
      <c r="F2109" t="s">
        <v>1971</v>
      </c>
      <c r="G2109" s="2">
        <v>1.4500000000000001E-2</v>
      </c>
      <c r="H2109">
        <f t="shared" si="64"/>
        <v>1.4545454545454507E-2</v>
      </c>
      <c r="I2109">
        <f t="shared" si="65"/>
        <v>1.4440684154794209E-2</v>
      </c>
    </row>
    <row r="2110" spans="1:9" x14ac:dyDescent="0.75">
      <c r="A2110" s="1">
        <v>42746</v>
      </c>
      <c r="B2110">
        <v>52.25</v>
      </c>
      <c r="C2110">
        <v>50.81</v>
      </c>
      <c r="D2110">
        <v>52.78</v>
      </c>
      <c r="E2110">
        <v>50.75</v>
      </c>
      <c r="F2110" t="s">
        <v>1972</v>
      </c>
      <c r="G2110" s="2">
        <v>2.81E-2</v>
      </c>
      <c r="H2110">
        <f t="shared" si="64"/>
        <v>2.8138528138528133E-2</v>
      </c>
      <c r="I2110">
        <f t="shared" si="65"/>
        <v>2.774991295290246E-2</v>
      </c>
    </row>
    <row r="2111" spans="1:9" x14ac:dyDescent="0.75">
      <c r="A2111" s="1">
        <v>42745</v>
      </c>
      <c r="B2111">
        <v>50.82</v>
      </c>
      <c r="C2111">
        <v>51.83</v>
      </c>
      <c r="D2111">
        <v>52.37</v>
      </c>
      <c r="E2111">
        <v>50.71</v>
      </c>
      <c r="F2111" t="s">
        <v>1973</v>
      </c>
      <c r="G2111" s="2">
        <v>-2.1899999999999999E-2</v>
      </c>
      <c r="H2111">
        <f t="shared" si="64"/>
        <v>-2.1939953810623566E-2</v>
      </c>
      <c r="I2111">
        <f t="shared" si="65"/>
        <v>-2.218421391038073E-2</v>
      </c>
    </row>
    <row r="2112" spans="1:9" x14ac:dyDescent="0.75">
      <c r="A2112" s="1">
        <v>42744</v>
      </c>
      <c r="B2112">
        <v>51.96</v>
      </c>
      <c r="C2112">
        <v>53.75</v>
      </c>
      <c r="D2112">
        <v>53.83</v>
      </c>
      <c r="E2112">
        <v>51.76</v>
      </c>
      <c r="F2112" t="s">
        <v>1974</v>
      </c>
      <c r="G2112" s="2">
        <v>-3.7600000000000001E-2</v>
      </c>
      <c r="H2112">
        <f t="shared" si="64"/>
        <v>-3.7599555473235804E-2</v>
      </c>
      <c r="I2112">
        <f t="shared" si="65"/>
        <v>-3.8324652427796826E-2</v>
      </c>
    </row>
    <row r="2113" spans="1:9" x14ac:dyDescent="0.75">
      <c r="A2113" s="1">
        <v>42741</v>
      </c>
      <c r="B2113">
        <v>53.99</v>
      </c>
      <c r="C2113">
        <v>53.73</v>
      </c>
      <c r="D2113">
        <v>54.32</v>
      </c>
      <c r="E2113">
        <v>53.32</v>
      </c>
      <c r="F2113" t="s">
        <v>1975</v>
      </c>
      <c r="G2113" s="2">
        <v>4.3E-3</v>
      </c>
      <c r="H2113">
        <f t="shared" si="64"/>
        <v>4.2782738095238837E-3</v>
      </c>
      <c r="I2113">
        <f t="shared" si="65"/>
        <v>4.2691480153016458E-3</v>
      </c>
    </row>
    <row r="2114" spans="1:9" x14ac:dyDescent="0.75">
      <c r="A2114" s="1">
        <v>42740</v>
      </c>
      <c r="B2114">
        <v>53.76</v>
      </c>
      <c r="C2114">
        <v>53.39</v>
      </c>
      <c r="D2114">
        <v>54.12</v>
      </c>
      <c r="E2114">
        <v>52.79</v>
      </c>
      <c r="F2114" t="s">
        <v>1976</v>
      </c>
      <c r="G2114" s="2">
        <v>9.4000000000000004E-3</v>
      </c>
      <c r="H2114">
        <f t="shared" si="64"/>
        <v>9.3879083740142696E-3</v>
      </c>
      <c r="I2114">
        <f t="shared" si="65"/>
        <v>9.3441158291079265E-3</v>
      </c>
    </row>
    <row r="2115" spans="1:9" x14ac:dyDescent="0.75">
      <c r="A2115" s="1">
        <v>42739</v>
      </c>
      <c r="B2115">
        <v>53.26</v>
      </c>
      <c r="C2115">
        <v>52.49</v>
      </c>
      <c r="D2115">
        <v>53.43</v>
      </c>
      <c r="E2115">
        <v>52.15</v>
      </c>
      <c r="F2115" t="s">
        <v>1977</v>
      </c>
      <c r="G2115" s="2">
        <v>1.78E-2</v>
      </c>
      <c r="H2115">
        <f t="shared" ref="H2115:H2178" si="66">(B2115-B2116)/B2116</f>
        <v>1.7771832600802593E-2</v>
      </c>
      <c r="I2115">
        <f t="shared" ref="I2115:I2178" si="67">LN(B2115/B2116)</f>
        <v>1.7615760001669634E-2</v>
      </c>
    </row>
    <row r="2116" spans="1:9" x14ac:dyDescent="0.75">
      <c r="A2116" s="1">
        <v>42738</v>
      </c>
      <c r="B2116">
        <v>52.33</v>
      </c>
      <c r="C2116">
        <v>54.2</v>
      </c>
      <c r="D2116">
        <v>55.24</v>
      </c>
      <c r="E2116">
        <v>52.11</v>
      </c>
      <c r="F2116" t="s">
        <v>1978</v>
      </c>
      <c r="G2116" s="2">
        <v>-3.15E-2</v>
      </c>
      <c r="H2116">
        <f t="shared" si="66"/>
        <v>-3.1464001480658949E-2</v>
      </c>
      <c r="I2116">
        <f t="shared" si="67"/>
        <v>-3.1969627471858039E-2</v>
      </c>
    </row>
    <row r="2117" spans="1:9" x14ac:dyDescent="0.75">
      <c r="A2117" s="1">
        <v>42737</v>
      </c>
      <c r="B2117">
        <v>54.03</v>
      </c>
      <c r="C2117">
        <v>54.09</v>
      </c>
      <c r="D2117">
        <v>54.18</v>
      </c>
      <c r="E2117">
        <v>54.01</v>
      </c>
      <c r="G2117" s="2">
        <v>5.7999999999999996E-3</v>
      </c>
      <c r="H2117">
        <f t="shared" si="66"/>
        <v>5.7706626954579726E-3</v>
      </c>
      <c r="I2117">
        <f t="shared" si="67"/>
        <v>5.7540762009375421E-3</v>
      </c>
    </row>
    <row r="2118" spans="1:9" x14ac:dyDescent="0.75">
      <c r="A2118" s="1">
        <v>42734</v>
      </c>
      <c r="B2118">
        <v>53.72</v>
      </c>
      <c r="C2118">
        <v>53.87</v>
      </c>
      <c r="D2118">
        <v>54.09</v>
      </c>
      <c r="E2118">
        <v>53.41</v>
      </c>
      <c r="F2118" t="s">
        <v>1979</v>
      </c>
      <c r="G2118" s="2">
        <v>-8.9999999999999998E-4</v>
      </c>
      <c r="H2118">
        <f t="shared" si="66"/>
        <v>-9.2988655384051066E-4</v>
      </c>
      <c r="I2118">
        <f t="shared" si="67"/>
        <v>-9.3031916654997984E-4</v>
      </c>
    </row>
    <row r="2119" spans="1:9" x14ac:dyDescent="0.75">
      <c r="A2119" s="1">
        <v>42733</v>
      </c>
      <c r="B2119">
        <v>53.77</v>
      </c>
      <c r="C2119">
        <v>53.66</v>
      </c>
      <c r="D2119">
        <v>54.21</v>
      </c>
      <c r="E2119">
        <v>53.46</v>
      </c>
      <c r="F2119" t="s">
        <v>1980</v>
      </c>
      <c r="G2119" s="2">
        <v>-5.4000000000000003E-3</v>
      </c>
      <c r="H2119">
        <f t="shared" si="66"/>
        <v>-5.3644099149093441E-3</v>
      </c>
      <c r="I2119">
        <f t="shared" si="67"/>
        <v>-5.3788500267148553E-3</v>
      </c>
    </row>
    <row r="2120" spans="1:9" x14ac:dyDescent="0.75">
      <c r="A2120" s="1">
        <v>42732</v>
      </c>
      <c r="B2120">
        <v>54.06</v>
      </c>
      <c r="C2120">
        <v>53.93</v>
      </c>
      <c r="D2120">
        <v>54.37</v>
      </c>
      <c r="E2120">
        <v>53.56</v>
      </c>
      <c r="F2120" t="s">
        <v>1981</v>
      </c>
      <c r="G2120" s="2">
        <v>3.0000000000000001E-3</v>
      </c>
      <c r="H2120">
        <f t="shared" si="66"/>
        <v>2.968460111317323E-3</v>
      </c>
      <c r="I2120">
        <f t="shared" si="67"/>
        <v>2.9640629333501727E-3</v>
      </c>
    </row>
    <row r="2121" spans="1:9" x14ac:dyDescent="0.75">
      <c r="A2121" s="1">
        <v>42731</v>
      </c>
      <c r="B2121">
        <v>53.9</v>
      </c>
      <c r="C2121">
        <v>53.29</v>
      </c>
      <c r="D2121">
        <v>54.1</v>
      </c>
      <c r="E2121">
        <v>53.03</v>
      </c>
      <c r="F2121" t="s">
        <v>1982</v>
      </c>
      <c r="G2121" s="2">
        <v>1.3299999999999999E-2</v>
      </c>
      <c r="H2121">
        <f t="shared" si="66"/>
        <v>1.3348373754465142E-2</v>
      </c>
      <c r="I2121">
        <f t="shared" si="67"/>
        <v>1.3260069160725203E-2</v>
      </c>
    </row>
    <row r="2122" spans="1:9" x14ac:dyDescent="0.75">
      <c r="A2122" s="1">
        <v>42730</v>
      </c>
      <c r="B2122">
        <v>53.19</v>
      </c>
      <c r="C2122">
        <v>53.33</v>
      </c>
      <c r="D2122">
        <v>53.34</v>
      </c>
      <c r="E2122">
        <v>53.14</v>
      </c>
      <c r="G2122" s="2">
        <v>3.2000000000000002E-3</v>
      </c>
      <c r="H2122">
        <f t="shared" si="66"/>
        <v>3.2063372312333949E-3</v>
      </c>
      <c r="I2122">
        <f t="shared" si="67"/>
        <v>3.2012078933466603E-3</v>
      </c>
    </row>
    <row r="2123" spans="1:9" x14ac:dyDescent="0.75">
      <c r="A2123" s="1">
        <v>42727</v>
      </c>
      <c r="B2123">
        <v>53.02</v>
      </c>
      <c r="C2123">
        <v>52.68</v>
      </c>
      <c r="D2123">
        <v>53.28</v>
      </c>
      <c r="E2123">
        <v>52.26</v>
      </c>
      <c r="F2123" t="s">
        <v>1983</v>
      </c>
      <c r="G2123" s="2">
        <v>1.2999999999999999E-3</v>
      </c>
      <c r="H2123">
        <f t="shared" si="66"/>
        <v>1.3220018885741318E-3</v>
      </c>
      <c r="I2123">
        <f t="shared" si="67"/>
        <v>1.3211288134641203E-3</v>
      </c>
    </row>
    <row r="2124" spans="1:9" x14ac:dyDescent="0.75">
      <c r="A2124" s="1">
        <v>42726</v>
      </c>
      <c r="B2124">
        <v>52.95</v>
      </c>
      <c r="C2124">
        <v>52.52</v>
      </c>
      <c r="D2124">
        <v>53.19</v>
      </c>
      <c r="E2124">
        <v>52.08</v>
      </c>
      <c r="F2124" t="s">
        <v>1984</v>
      </c>
      <c r="G2124" s="2">
        <v>8.8000000000000005E-3</v>
      </c>
      <c r="H2124">
        <f t="shared" si="66"/>
        <v>8.7635740140979395E-3</v>
      </c>
      <c r="I2124">
        <f t="shared" si="67"/>
        <v>8.7253967832070217E-3</v>
      </c>
    </row>
    <row r="2125" spans="1:9" x14ac:dyDescent="0.75">
      <c r="A2125" s="1">
        <v>42725</v>
      </c>
      <c r="B2125">
        <v>52.49</v>
      </c>
      <c r="C2125">
        <v>53.56</v>
      </c>
      <c r="D2125">
        <v>53.79</v>
      </c>
      <c r="E2125">
        <v>52.32</v>
      </c>
      <c r="F2125" t="s">
        <v>1985</v>
      </c>
      <c r="G2125" s="2">
        <v>5.0000000000000001E-3</v>
      </c>
      <c r="H2125">
        <f t="shared" si="66"/>
        <v>4.9779820026805499E-3</v>
      </c>
      <c r="I2125">
        <f t="shared" si="67"/>
        <v>4.9656328160011028E-3</v>
      </c>
    </row>
    <row r="2126" spans="1:9" x14ac:dyDescent="0.75">
      <c r="A2126" s="1">
        <v>42724</v>
      </c>
      <c r="B2126">
        <v>52.23</v>
      </c>
      <c r="C2126">
        <v>52.11</v>
      </c>
      <c r="D2126">
        <v>52.7</v>
      </c>
      <c r="E2126">
        <v>51.85</v>
      </c>
      <c r="F2126" t="s">
        <v>1986</v>
      </c>
      <c r="G2126" s="2">
        <v>2.0999999999999999E-3</v>
      </c>
      <c r="H2126">
        <f t="shared" si="66"/>
        <v>2.110514198004594E-3</v>
      </c>
      <c r="I2126">
        <f t="shared" si="67"/>
        <v>2.108290191563068E-3</v>
      </c>
    </row>
    <row r="2127" spans="1:9" x14ac:dyDescent="0.75">
      <c r="A2127" s="1">
        <v>42723</v>
      </c>
      <c r="B2127">
        <v>52.12</v>
      </c>
      <c r="C2127">
        <v>52.15</v>
      </c>
      <c r="D2127">
        <v>52.52</v>
      </c>
      <c r="E2127">
        <v>51.51</v>
      </c>
      <c r="F2127" t="s">
        <v>1987</v>
      </c>
      <c r="G2127" s="2">
        <v>4.1999999999999997E-3</v>
      </c>
      <c r="H2127">
        <f t="shared" si="66"/>
        <v>4.2389210019267605E-3</v>
      </c>
      <c r="I2127">
        <f t="shared" si="67"/>
        <v>4.2299620848013199E-3</v>
      </c>
    </row>
    <row r="2128" spans="1:9" x14ac:dyDescent="0.75">
      <c r="A2128" s="1">
        <v>42720</v>
      </c>
      <c r="B2128">
        <v>51.9</v>
      </c>
      <c r="C2128">
        <v>51.1</v>
      </c>
      <c r="D2128">
        <v>52.08</v>
      </c>
      <c r="E2128">
        <v>50.5</v>
      </c>
      <c r="F2128" t="s">
        <v>1988</v>
      </c>
      <c r="G2128" s="2">
        <v>1.9599999999999999E-2</v>
      </c>
      <c r="H2128">
        <f t="shared" si="66"/>
        <v>1.9646365422396856E-2</v>
      </c>
      <c r="I2128">
        <f t="shared" si="67"/>
        <v>1.9455866615365879E-2</v>
      </c>
    </row>
    <row r="2129" spans="1:9" x14ac:dyDescent="0.75">
      <c r="A2129" s="1">
        <v>42719</v>
      </c>
      <c r="B2129">
        <v>50.9</v>
      </c>
      <c r="C2129">
        <v>50.79</v>
      </c>
      <c r="D2129">
        <v>51.48</v>
      </c>
      <c r="E2129">
        <v>49.95</v>
      </c>
      <c r="F2129" t="s">
        <v>1989</v>
      </c>
      <c r="G2129" s="2">
        <v>-2.7000000000000001E-3</v>
      </c>
      <c r="H2129">
        <f t="shared" si="66"/>
        <v>-2.7429467084639611E-3</v>
      </c>
      <c r="I2129">
        <f t="shared" si="67"/>
        <v>-2.7467154800574103E-3</v>
      </c>
    </row>
    <row r="2130" spans="1:9" x14ac:dyDescent="0.75">
      <c r="A2130" s="1">
        <v>42718</v>
      </c>
      <c r="B2130">
        <v>51.04</v>
      </c>
      <c r="C2130">
        <v>52.45</v>
      </c>
      <c r="D2130">
        <v>52.78</v>
      </c>
      <c r="E2130">
        <v>50.67</v>
      </c>
      <c r="F2130" t="s">
        <v>1990</v>
      </c>
      <c r="G2130" s="2">
        <v>-3.6600000000000001E-2</v>
      </c>
      <c r="H2130">
        <f t="shared" si="66"/>
        <v>-3.6617591543978818E-2</v>
      </c>
      <c r="I2130">
        <f t="shared" si="67"/>
        <v>-3.7304844807389152E-2</v>
      </c>
    </row>
    <row r="2131" spans="1:9" x14ac:dyDescent="0.75">
      <c r="A2131" s="1">
        <v>42717</v>
      </c>
      <c r="B2131">
        <v>52.98</v>
      </c>
      <c r="C2131">
        <v>52.51</v>
      </c>
      <c r="D2131">
        <v>53.41</v>
      </c>
      <c r="E2131">
        <v>52.35</v>
      </c>
      <c r="F2131" t="s">
        <v>1991</v>
      </c>
      <c r="G2131" s="2">
        <v>2.8E-3</v>
      </c>
      <c r="H2131">
        <f t="shared" si="66"/>
        <v>2.8392958546280254E-3</v>
      </c>
      <c r="I2131">
        <f t="shared" si="67"/>
        <v>2.8352726676990746E-3</v>
      </c>
    </row>
    <row r="2132" spans="1:9" x14ac:dyDescent="0.75">
      <c r="A2132" s="1">
        <v>42716</v>
      </c>
      <c r="B2132">
        <v>52.83</v>
      </c>
      <c r="C2132">
        <v>52.58</v>
      </c>
      <c r="D2132">
        <v>54.51</v>
      </c>
      <c r="E2132">
        <v>52.18</v>
      </c>
      <c r="F2132" t="s">
        <v>1992</v>
      </c>
      <c r="G2132" s="2">
        <v>2.58E-2</v>
      </c>
      <c r="H2132">
        <f t="shared" si="66"/>
        <v>2.5825242718446568E-2</v>
      </c>
      <c r="I2132">
        <f t="shared" si="67"/>
        <v>2.549740350653406E-2</v>
      </c>
    </row>
    <row r="2133" spans="1:9" x14ac:dyDescent="0.75">
      <c r="A2133" s="1">
        <v>42713</v>
      </c>
      <c r="B2133">
        <v>51.5</v>
      </c>
      <c r="C2133">
        <v>50.92</v>
      </c>
      <c r="D2133">
        <v>51.66</v>
      </c>
      <c r="E2133">
        <v>50.86</v>
      </c>
      <c r="F2133" t="s">
        <v>1993</v>
      </c>
      <c r="G2133" s="2">
        <v>1.2999999999999999E-2</v>
      </c>
      <c r="H2133">
        <f t="shared" si="66"/>
        <v>1.2981904012588445E-2</v>
      </c>
      <c r="I2133">
        <f t="shared" si="67"/>
        <v>1.2898361348437123E-2</v>
      </c>
    </row>
    <row r="2134" spans="1:9" x14ac:dyDescent="0.75">
      <c r="A2134" s="1">
        <v>42712</v>
      </c>
      <c r="B2134">
        <v>50.84</v>
      </c>
      <c r="C2134">
        <v>49.88</v>
      </c>
      <c r="D2134">
        <v>50.98</v>
      </c>
      <c r="E2134">
        <v>49.61</v>
      </c>
      <c r="F2134" t="s">
        <v>1994</v>
      </c>
      <c r="G2134" s="2">
        <v>2.1499999999999998E-2</v>
      </c>
      <c r="H2134">
        <f t="shared" si="66"/>
        <v>2.149889491661644E-2</v>
      </c>
      <c r="I2134">
        <f t="shared" si="67"/>
        <v>2.1271053450790438E-2</v>
      </c>
    </row>
    <row r="2135" spans="1:9" x14ac:dyDescent="0.75">
      <c r="A2135" s="1">
        <v>42711</v>
      </c>
      <c r="B2135">
        <v>49.77</v>
      </c>
      <c r="C2135">
        <v>50.93</v>
      </c>
      <c r="D2135">
        <v>51.2</v>
      </c>
      <c r="E2135">
        <v>49.72</v>
      </c>
      <c r="F2135" t="s">
        <v>1995</v>
      </c>
      <c r="G2135" s="2">
        <v>-2.2800000000000001E-2</v>
      </c>
      <c r="H2135">
        <f t="shared" si="66"/>
        <v>-2.2776359709405E-2</v>
      </c>
      <c r="I2135">
        <f t="shared" si="67"/>
        <v>-2.3039748026050313E-2</v>
      </c>
    </row>
    <row r="2136" spans="1:9" x14ac:dyDescent="0.75">
      <c r="A2136" s="1">
        <v>42710</v>
      </c>
      <c r="B2136">
        <v>50.93</v>
      </c>
      <c r="C2136">
        <v>50.97</v>
      </c>
      <c r="D2136">
        <v>51.6</v>
      </c>
      <c r="E2136">
        <v>50.28</v>
      </c>
      <c r="F2136" t="s">
        <v>1996</v>
      </c>
      <c r="G2136" s="2">
        <v>-1.66E-2</v>
      </c>
      <c r="H2136">
        <f t="shared" si="66"/>
        <v>-1.6605522301602615E-2</v>
      </c>
      <c r="I2136">
        <f t="shared" si="67"/>
        <v>-1.6744939539286834E-2</v>
      </c>
    </row>
    <row r="2137" spans="1:9" x14ac:dyDescent="0.75">
      <c r="A2137" s="1">
        <v>42709</v>
      </c>
      <c r="B2137">
        <v>51.79</v>
      </c>
      <c r="C2137">
        <v>51.46</v>
      </c>
      <c r="D2137">
        <v>52.42</v>
      </c>
      <c r="E2137">
        <v>50.93</v>
      </c>
      <c r="F2137" t="s">
        <v>1997</v>
      </c>
      <c r="G2137" s="2">
        <v>2.0999999999999999E-3</v>
      </c>
      <c r="H2137">
        <f t="shared" si="66"/>
        <v>2.1284829721362119E-3</v>
      </c>
      <c r="I2137">
        <f t="shared" si="67"/>
        <v>2.1262209614536531E-3</v>
      </c>
    </row>
    <row r="2138" spans="1:9" x14ac:dyDescent="0.75">
      <c r="A2138" s="1">
        <v>42706</v>
      </c>
      <c r="B2138">
        <v>51.68</v>
      </c>
      <c r="C2138">
        <v>51.01</v>
      </c>
      <c r="D2138">
        <v>51.73</v>
      </c>
      <c r="E2138">
        <v>50.18</v>
      </c>
      <c r="F2138" t="s">
        <v>1998</v>
      </c>
      <c r="G2138" s="2">
        <v>1.21E-2</v>
      </c>
      <c r="H2138">
        <f t="shared" si="66"/>
        <v>1.2142577359968614E-2</v>
      </c>
      <c r="I2138">
        <f t="shared" si="67"/>
        <v>1.2069447661008577E-2</v>
      </c>
    </row>
    <row r="2139" spans="1:9" x14ac:dyDescent="0.75">
      <c r="A2139" s="1">
        <v>42705</v>
      </c>
      <c r="B2139">
        <v>51.06</v>
      </c>
      <c r="C2139">
        <v>49.07</v>
      </c>
      <c r="D2139">
        <v>51.8</v>
      </c>
      <c r="E2139">
        <v>48.98</v>
      </c>
      <c r="F2139" t="s">
        <v>1999</v>
      </c>
      <c r="G2139" s="2">
        <v>3.2800000000000003E-2</v>
      </c>
      <c r="H2139">
        <f t="shared" si="66"/>
        <v>3.2766990291262232E-2</v>
      </c>
      <c r="I2139">
        <f t="shared" si="67"/>
        <v>3.2241598663902478E-2</v>
      </c>
    </row>
    <row r="2140" spans="1:9" x14ac:dyDescent="0.75">
      <c r="A2140" s="1">
        <v>42704</v>
      </c>
      <c r="B2140">
        <v>49.44</v>
      </c>
      <c r="C2140">
        <v>45.24</v>
      </c>
      <c r="D2140">
        <v>49.9</v>
      </c>
      <c r="E2140">
        <v>45.22</v>
      </c>
      <c r="F2140" t="s">
        <v>2000</v>
      </c>
      <c r="G2140" s="2">
        <v>9.3100000000000002E-2</v>
      </c>
      <c r="H2140">
        <f t="shared" si="66"/>
        <v>9.3079814282555851E-2</v>
      </c>
      <c r="I2140">
        <f t="shared" si="67"/>
        <v>8.8999229659683668E-2</v>
      </c>
    </row>
    <row r="2141" spans="1:9" x14ac:dyDescent="0.75">
      <c r="A2141" s="1">
        <v>42703</v>
      </c>
      <c r="B2141">
        <v>45.23</v>
      </c>
      <c r="C2141">
        <v>46.88</v>
      </c>
      <c r="D2141">
        <v>46.98</v>
      </c>
      <c r="E2141">
        <v>44.82</v>
      </c>
      <c r="F2141" t="s">
        <v>2001</v>
      </c>
      <c r="G2141" s="2">
        <v>-3.9300000000000002E-2</v>
      </c>
      <c r="H2141">
        <f t="shared" si="66"/>
        <v>-3.9294817332200541E-2</v>
      </c>
      <c r="I2141">
        <f t="shared" si="67"/>
        <v>-4.0087698902324199E-2</v>
      </c>
    </row>
    <row r="2142" spans="1:9" x14ac:dyDescent="0.75">
      <c r="A2142" s="1">
        <v>42702</v>
      </c>
      <c r="B2142">
        <v>47.08</v>
      </c>
      <c r="C2142">
        <v>45.43</v>
      </c>
      <c r="D2142">
        <v>47.65</v>
      </c>
      <c r="E2142">
        <v>45.14</v>
      </c>
      <c r="F2142" t="s">
        <v>2002</v>
      </c>
      <c r="G2142" s="2">
        <v>2.2100000000000002E-2</v>
      </c>
      <c r="H2142">
        <f t="shared" si="66"/>
        <v>2.2145028224055494E-2</v>
      </c>
      <c r="I2142">
        <f t="shared" si="67"/>
        <v>2.1903387999536651E-2</v>
      </c>
    </row>
    <row r="2143" spans="1:9" x14ac:dyDescent="0.75">
      <c r="A2143" s="1">
        <v>42699</v>
      </c>
      <c r="B2143">
        <v>46.06</v>
      </c>
      <c r="C2143">
        <v>47.97</v>
      </c>
      <c r="D2143">
        <v>48.26</v>
      </c>
      <c r="E2143">
        <v>45.88</v>
      </c>
      <c r="F2143" t="s">
        <v>2003</v>
      </c>
      <c r="G2143" s="2">
        <v>-0.04</v>
      </c>
      <c r="H2143">
        <f t="shared" si="66"/>
        <v>-4.0016673614005724E-2</v>
      </c>
      <c r="I2143">
        <f t="shared" si="67"/>
        <v>-4.0839363019009277E-2</v>
      </c>
    </row>
    <row r="2144" spans="1:9" x14ac:dyDescent="0.75">
      <c r="A2144" s="1">
        <v>42698</v>
      </c>
      <c r="B2144">
        <v>47.98</v>
      </c>
      <c r="C2144">
        <v>48.03</v>
      </c>
      <c r="D2144">
        <v>48.26</v>
      </c>
      <c r="E2144">
        <v>47.8</v>
      </c>
      <c r="G2144" s="2">
        <v>4.0000000000000002E-4</v>
      </c>
      <c r="H2144">
        <f t="shared" si="66"/>
        <v>4.1701417848198543E-4</v>
      </c>
      <c r="I2144">
        <f t="shared" si="67"/>
        <v>4.1692725223500696E-4</v>
      </c>
    </row>
    <row r="2145" spans="1:9" x14ac:dyDescent="0.75">
      <c r="A2145" s="1">
        <v>42697</v>
      </c>
      <c r="B2145">
        <v>47.96</v>
      </c>
      <c r="C2145">
        <v>47.94</v>
      </c>
      <c r="D2145">
        <v>48.43</v>
      </c>
      <c r="E2145">
        <v>47.4</v>
      </c>
      <c r="F2145" t="s">
        <v>2004</v>
      </c>
      <c r="G2145" s="2">
        <v>-1.5E-3</v>
      </c>
      <c r="H2145">
        <f t="shared" si="66"/>
        <v>-1.4574224443056481E-3</v>
      </c>
      <c r="I2145">
        <f t="shared" si="67"/>
        <v>-1.4584855174195614E-3</v>
      </c>
    </row>
    <row r="2146" spans="1:9" x14ac:dyDescent="0.75">
      <c r="A2146" s="1">
        <v>42696</v>
      </c>
      <c r="B2146">
        <v>48.03</v>
      </c>
      <c r="C2146">
        <v>48.37</v>
      </c>
      <c r="D2146">
        <v>49.2</v>
      </c>
      <c r="E2146">
        <v>47.17</v>
      </c>
      <c r="F2146" t="s">
        <v>2005</v>
      </c>
      <c r="G2146" s="2">
        <v>1.14E-2</v>
      </c>
      <c r="H2146">
        <f t="shared" si="66"/>
        <v>1.137081490840175E-2</v>
      </c>
      <c r="I2146">
        <f t="shared" si="67"/>
        <v>1.1306653115702519E-2</v>
      </c>
    </row>
    <row r="2147" spans="1:9" x14ac:dyDescent="0.75">
      <c r="A2147" s="1">
        <v>42695</v>
      </c>
      <c r="B2147">
        <v>47.49</v>
      </c>
      <c r="C2147">
        <v>45.83</v>
      </c>
      <c r="D2147">
        <v>47.8</v>
      </c>
      <c r="E2147">
        <v>45.77</v>
      </c>
      <c r="F2147" t="s">
        <v>2006</v>
      </c>
      <c r="G2147" s="2">
        <v>3.9399999999999998E-2</v>
      </c>
      <c r="H2147">
        <f t="shared" si="66"/>
        <v>3.9395929087327738E-2</v>
      </c>
      <c r="I2147">
        <f t="shared" si="67"/>
        <v>3.8639706985850494E-2</v>
      </c>
    </row>
    <row r="2148" spans="1:9" x14ac:dyDescent="0.75">
      <c r="A2148" s="1">
        <v>42692</v>
      </c>
      <c r="B2148">
        <v>45.69</v>
      </c>
      <c r="C2148">
        <v>44.93</v>
      </c>
      <c r="D2148">
        <v>45.77</v>
      </c>
      <c r="E2148">
        <v>44.55</v>
      </c>
      <c r="F2148" t="s">
        <v>2007</v>
      </c>
      <c r="G2148" s="2">
        <v>5.8999999999999999E-3</v>
      </c>
      <c r="H2148">
        <f t="shared" si="66"/>
        <v>5.9445178335534128E-3</v>
      </c>
      <c r="I2148">
        <f t="shared" si="67"/>
        <v>5.9269188977675458E-3</v>
      </c>
    </row>
    <row r="2149" spans="1:9" x14ac:dyDescent="0.75">
      <c r="A2149" s="1">
        <v>42691</v>
      </c>
      <c r="B2149">
        <v>45.42</v>
      </c>
      <c r="C2149">
        <v>45.37</v>
      </c>
      <c r="D2149">
        <v>46.58</v>
      </c>
      <c r="E2149">
        <v>44.88</v>
      </c>
      <c r="F2149" t="s">
        <v>2008</v>
      </c>
      <c r="G2149" s="2">
        <v>-3.3E-3</v>
      </c>
      <c r="H2149">
        <f t="shared" si="66"/>
        <v>-3.291639236339666E-3</v>
      </c>
      <c r="I2149">
        <f t="shared" si="67"/>
        <v>-3.2970685983787561E-3</v>
      </c>
    </row>
    <row r="2150" spans="1:9" x14ac:dyDescent="0.75">
      <c r="A2150" s="1">
        <v>42690</v>
      </c>
      <c r="B2150">
        <v>45.57</v>
      </c>
      <c r="C2150">
        <v>45.77</v>
      </c>
      <c r="D2150">
        <v>46.41</v>
      </c>
      <c r="E2150">
        <v>45.03</v>
      </c>
      <c r="F2150" t="s">
        <v>2009</v>
      </c>
      <c r="G2150" s="2">
        <v>-5.1999999999999998E-3</v>
      </c>
      <c r="H2150">
        <f t="shared" si="66"/>
        <v>-5.239030779305872E-3</v>
      </c>
      <c r="I2150">
        <f t="shared" si="67"/>
        <v>-5.252802622859625E-3</v>
      </c>
    </row>
    <row r="2151" spans="1:9" x14ac:dyDescent="0.75">
      <c r="A2151" s="1">
        <v>42689</v>
      </c>
      <c r="B2151">
        <v>45.81</v>
      </c>
      <c r="C2151">
        <v>43.76</v>
      </c>
      <c r="D2151">
        <v>46.09</v>
      </c>
      <c r="E2151">
        <v>43.55</v>
      </c>
      <c r="F2151" t="s">
        <v>2010</v>
      </c>
      <c r="G2151" s="2">
        <v>5.7500000000000002E-2</v>
      </c>
      <c r="H2151">
        <f t="shared" si="66"/>
        <v>5.747922437673135E-2</v>
      </c>
      <c r="I2151">
        <f t="shared" si="67"/>
        <v>5.5887985765860848E-2</v>
      </c>
    </row>
    <row r="2152" spans="1:9" x14ac:dyDescent="0.75">
      <c r="A2152" s="1">
        <v>42688</v>
      </c>
      <c r="B2152">
        <v>43.32</v>
      </c>
      <c r="C2152">
        <v>43.2</v>
      </c>
      <c r="D2152">
        <v>43.81</v>
      </c>
      <c r="E2152">
        <v>42.2</v>
      </c>
      <c r="F2152" t="s">
        <v>2011</v>
      </c>
      <c r="G2152" s="2">
        <v>-2.0999999999999999E-3</v>
      </c>
      <c r="H2152">
        <f t="shared" si="66"/>
        <v>-2.0732550103661901E-3</v>
      </c>
      <c r="I2152">
        <f t="shared" si="67"/>
        <v>-2.0754071787121957E-3</v>
      </c>
    </row>
    <row r="2153" spans="1:9" x14ac:dyDescent="0.75">
      <c r="A2153" s="1">
        <v>42685</v>
      </c>
      <c r="B2153">
        <v>43.41</v>
      </c>
      <c r="C2153">
        <v>44.35</v>
      </c>
      <c r="D2153">
        <v>44.63</v>
      </c>
      <c r="E2153">
        <v>43.03</v>
      </c>
      <c r="F2153" t="s">
        <v>2012</v>
      </c>
      <c r="G2153" s="2">
        <v>-2.8000000000000001E-2</v>
      </c>
      <c r="H2153">
        <f t="shared" si="66"/>
        <v>-2.7989252127183162E-2</v>
      </c>
      <c r="I2153">
        <f t="shared" si="67"/>
        <v>-2.8388417100509645E-2</v>
      </c>
    </row>
    <row r="2154" spans="1:9" x14ac:dyDescent="0.75">
      <c r="A2154" s="1">
        <v>42684</v>
      </c>
      <c r="B2154">
        <v>44.66</v>
      </c>
      <c r="C2154">
        <v>45.31</v>
      </c>
      <c r="D2154">
        <v>45.64</v>
      </c>
      <c r="E2154">
        <v>44.25</v>
      </c>
      <c r="F2154" t="s">
        <v>2013</v>
      </c>
      <c r="G2154" s="2">
        <v>-1.35E-2</v>
      </c>
      <c r="H2154">
        <f t="shared" si="66"/>
        <v>-1.3474707311685586E-2</v>
      </c>
      <c r="I2154">
        <f t="shared" si="67"/>
        <v>-1.3566315035855503E-2</v>
      </c>
    </row>
    <row r="2155" spans="1:9" x14ac:dyDescent="0.75">
      <c r="A2155" s="1">
        <v>42683</v>
      </c>
      <c r="B2155">
        <v>45.27</v>
      </c>
      <c r="C2155">
        <v>44.82</v>
      </c>
      <c r="D2155">
        <v>45.95</v>
      </c>
      <c r="E2155">
        <v>43.07</v>
      </c>
      <c r="F2155" t="s">
        <v>2014</v>
      </c>
      <c r="G2155" s="2">
        <v>6.4000000000000003E-3</v>
      </c>
      <c r="H2155">
        <f t="shared" si="66"/>
        <v>6.4473099155181474E-3</v>
      </c>
      <c r="I2155">
        <f t="shared" si="67"/>
        <v>6.4266149166978164E-3</v>
      </c>
    </row>
    <row r="2156" spans="1:9" x14ac:dyDescent="0.75">
      <c r="A2156" s="1">
        <v>42682</v>
      </c>
      <c r="B2156">
        <v>44.98</v>
      </c>
      <c r="C2156">
        <v>44.97</v>
      </c>
      <c r="D2156">
        <v>45.39</v>
      </c>
      <c r="E2156">
        <v>44.41</v>
      </c>
      <c r="F2156" t="s">
        <v>2015</v>
      </c>
      <c r="G2156" s="2">
        <v>2E-3</v>
      </c>
      <c r="H2156">
        <f t="shared" si="66"/>
        <v>2.004900868790294E-3</v>
      </c>
      <c r="I2156">
        <f t="shared" si="67"/>
        <v>2.0028937373288459E-3</v>
      </c>
    </row>
    <row r="2157" spans="1:9" x14ac:dyDescent="0.75">
      <c r="A2157" s="1">
        <v>42681</v>
      </c>
      <c r="B2157">
        <v>44.89</v>
      </c>
      <c r="C2157">
        <v>44.45</v>
      </c>
      <c r="D2157">
        <v>45.01</v>
      </c>
      <c r="E2157">
        <v>44.11</v>
      </c>
      <c r="F2157" t="s">
        <v>2016</v>
      </c>
      <c r="G2157" s="2">
        <v>1.8599999999999998E-2</v>
      </c>
      <c r="H2157">
        <f t="shared" si="66"/>
        <v>1.8606761969593835E-2</v>
      </c>
      <c r="I2157">
        <f t="shared" si="67"/>
        <v>1.8435773939945062E-2</v>
      </c>
    </row>
    <row r="2158" spans="1:9" x14ac:dyDescent="0.75">
      <c r="A2158" s="1">
        <v>42678</v>
      </c>
      <c r="B2158">
        <v>44.07</v>
      </c>
      <c r="C2158">
        <v>44.63</v>
      </c>
      <c r="D2158">
        <v>44.87</v>
      </c>
      <c r="E2158">
        <v>43.57</v>
      </c>
      <c r="F2158" t="s">
        <v>2017</v>
      </c>
      <c r="G2158" s="2">
        <v>-1.32E-2</v>
      </c>
      <c r="H2158">
        <f t="shared" si="66"/>
        <v>-1.3210927004030371E-2</v>
      </c>
      <c r="I2158">
        <f t="shared" si="67"/>
        <v>-1.3298967558116107E-2</v>
      </c>
    </row>
    <row r="2159" spans="1:9" x14ac:dyDescent="0.75">
      <c r="A2159" s="1">
        <v>42677</v>
      </c>
      <c r="B2159">
        <v>44.66</v>
      </c>
      <c r="C2159">
        <v>45.48</v>
      </c>
      <c r="D2159">
        <v>45.9</v>
      </c>
      <c r="E2159">
        <v>44.37</v>
      </c>
      <c r="F2159" t="s">
        <v>2018</v>
      </c>
      <c r="G2159" s="2">
        <v>-1.4999999999999999E-2</v>
      </c>
      <c r="H2159">
        <f t="shared" si="66"/>
        <v>-1.4997794441993974E-2</v>
      </c>
      <c r="I2159">
        <f t="shared" si="67"/>
        <v>-1.5111398667371302E-2</v>
      </c>
    </row>
    <row r="2160" spans="1:9" x14ac:dyDescent="0.75">
      <c r="A2160" s="1">
        <v>42676</v>
      </c>
      <c r="B2160">
        <v>45.34</v>
      </c>
      <c r="C2160">
        <v>46.32</v>
      </c>
      <c r="D2160">
        <v>46.47</v>
      </c>
      <c r="E2160">
        <v>44.96</v>
      </c>
      <c r="F2160" t="s">
        <v>2019</v>
      </c>
      <c r="G2160" s="2">
        <v>-2.8500000000000001E-2</v>
      </c>
      <c r="H2160">
        <f t="shared" si="66"/>
        <v>-2.8497964431112025E-2</v>
      </c>
      <c r="I2160">
        <f t="shared" si="67"/>
        <v>-2.8911914882341318E-2</v>
      </c>
    </row>
    <row r="2161" spans="1:9" x14ac:dyDescent="0.75">
      <c r="A2161" s="1">
        <v>42675</v>
      </c>
      <c r="B2161">
        <v>46.67</v>
      </c>
      <c r="C2161">
        <v>46.77</v>
      </c>
      <c r="D2161">
        <v>47.35</v>
      </c>
      <c r="E2161">
        <v>46.2</v>
      </c>
      <c r="F2161" t="s">
        <v>2020</v>
      </c>
      <c r="G2161" s="2">
        <v>-4.1000000000000003E-3</v>
      </c>
      <c r="H2161">
        <f t="shared" si="66"/>
        <v>-4.0546308151941466E-3</v>
      </c>
      <c r="I2161">
        <f t="shared" si="67"/>
        <v>-4.0628731179253551E-3</v>
      </c>
    </row>
    <row r="2162" spans="1:9" x14ac:dyDescent="0.75">
      <c r="A2162" s="1">
        <v>42674</v>
      </c>
      <c r="B2162">
        <v>46.86</v>
      </c>
      <c r="C2162">
        <v>48.25</v>
      </c>
      <c r="D2162">
        <v>48.74</v>
      </c>
      <c r="E2162">
        <v>46.63</v>
      </c>
      <c r="F2162" t="s">
        <v>2021</v>
      </c>
      <c r="G2162" s="2">
        <v>-3.78E-2</v>
      </c>
      <c r="H2162">
        <f t="shared" si="66"/>
        <v>-3.7782340862423068E-2</v>
      </c>
      <c r="I2162">
        <f t="shared" si="67"/>
        <v>-3.8514597008894556E-2</v>
      </c>
    </row>
    <row r="2163" spans="1:9" x14ac:dyDescent="0.75">
      <c r="A2163" s="1">
        <v>42671</v>
      </c>
      <c r="B2163">
        <v>48.7</v>
      </c>
      <c r="C2163">
        <v>49.61</v>
      </c>
      <c r="D2163">
        <v>49.81</v>
      </c>
      <c r="E2163">
        <v>48.42</v>
      </c>
      <c r="F2163" t="s">
        <v>2022</v>
      </c>
      <c r="G2163" s="2">
        <v>-2.0500000000000001E-2</v>
      </c>
      <c r="H2163">
        <f t="shared" si="66"/>
        <v>-2.0514883346741675E-2</v>
      </c>
      <c r="I2163">
        <f t="shared" si="67"/>
        <v>-2.0728236553966176E-2</v>
      </c>
    </row>
    <row r="2164" spans="1:9" x14ac:dyDescent="0.75">
      <c r="A2164" s="1">
        <v>42670</v>
      </c>
      <c r="B2164">
        <v>49.72</v>
      </c>
      <c r="C2164">
        <v>49.22</v>
      </c>
      <c r="D2164">
        <v>50.06</v>
      </c>
      <c r="E2164">
        <v>49</v>
      </c>
      <c r="F2164" t="s">
        <v>2023</v>
      </c>
      <c r="G2164" s="2">
        <v>1.0999999999999999E-2</v>
      </c>
      <c r="H2164">
        <f t="shared" si="66"/>
        <v>1.0980073200487986E-2</v>
      </c>
      <c r="I2164">
        <f t="shared" si="67"/>
        <v>1.0920229854463738E-2</v>
      </c>
    </row>
    <row r="2165" spans="1:9" x14ac:dyDescent="0.75">
      <c r="A2165" s="1">
        <v>42669</v>
      </c>
      <c r="B2165">
        <v>49.18</v>
      </c>
      <c r="C2165">
        <v>49.31</v>
      </c>
      <c r="D2165">
        <v>50.1</v>
      </c>
      <c r="E2165">
        <v>48.87</v>
      </c>
      <c r="F2165" t="s">
        <v>2024</v>
      </c>
      <c r="G2165" s="2">
        <v>-1.5599999999999999E-2</v>
      </c>
      <c r="H2165">
        <f t="shared" si="66"/>
        <v>-1.5612489991993618E-2</v>
      </c>
      <c r="I2165">
        <f t="shared" si="67"/>
        <v>-1.573564846933043E-2</v>
      </c>
    </row>
    <row r="2166" spans="1:9" x14ac:dyDescent="0.75">
      <c r="A2166" s="1">
        <v>42668</v>
      </c>
      <c r="B2166">
        <v>49.96</v>
      </c>
      <c r="C2166">
        <v>50.49</v>
      </c>
      <c r="D2166">
        <v>50.93</v>
      </c>
      <c r="E2166">
        <v>49.27</v>
      </c>
      <c r="F2166" t="s">
        <v>2025</v>
      </c>
      <c r="G2166" s="2">
        <v>-1.11E-2</v>
      </c>
      <c r="H2166">
        <f t="shared" si="66"/>
        <v>-1.1084718923198778E-2</v>
      </c>
      <c r="I2166">
        <f t="shared" si="67"/>
        <v>-1.1146612224913434E-2</v>
      </c>
    </row>
    <row r="2167" spans="1:9" x14ac:dyDescent="0.75">
      <c r="A2167" s="1">
        <v>42667</v>
      </c>
      <c r="B2167">
        <v>50.52</v>
      </c>
      <c r="C2167">
        <v>50.85</v>
      </c>
      <c r="D2167">
        <v>50.98</v>
      </c>
      <c r="E2167">
        <v>49.62</v>
      </c>
      <c r="F2167" t="s">
        <v>2026</v>
      </c>
      <c r="G2167" s="2">
        <v>-6.4999999999999997E-3</v>
      </c>
      <c r="H2167">
        <f t="shared" si="66"/>
        <v>-6.4896755162241549E-3</v>
      </c>
      <c r="I2167">
        <f t="shared" si="67"/>
        <v>-6.5108250122785562E-3</v>
      </c>
    </row>
    <row r="2168" spans="1:9" x14ac:dyDescent="0.75">
      <c r="A2168" s="1">
        <v>42664</v>
      </c>
      <c r="B2168">
        <v>50.85</v>
      </c>
      <c r="C2168">
        <v>50.66</v>
      </c>
      <c r="D2168">
        <v>51.02</v>
      </c>
      <c r="E2168">
        <v>50.21</v>
      </c>
      <c r="F2168" t="s">
        <v>2027</v>
      </c>
      <c r="G2168" s="2">
        <v>8.3000000000000001E-3</v>
      </c>
      <c r="H2168">
        <f t="shared" si="66"/>
        <v>8.3283759666865301E-3</v>
      </c>
      <c r="I2168">
        <f t="shared" si="67"/>
        <v>8.2938864059350931E-3</v>
      </c>
    </row>
    <row r="2169" spans="1:9" x14ac:dyDescent="0.75">
      <c r="A2169" s="1">
        <v>42663</v>
      </c>
      <c r="B2169">
        <v>50.43</v>
      </c>
      <c r="C2169">
        <v>51.4</v>
      </c>
      <c r="D2169">
        <v>51.58</v>
      </c>
      <c r="E2169">
        <v>50.25</v>
      </c>
      <c r="F2169" t="s">
        <v>2028</v>
      </c>
      <c r="G2169" s="2">
        <v>-2.2700000000000001E-2</v>
      </c>
      <c r="H2169">
        <f t="shared" si="66"/>
        <v>-2.2674418604651195E-2</v>
      </c>
      <c r="I2169">
        <f t="shared" si="67"/>
        <v>-2.2935436398883204E-2</v>
      </c>
    </row>
    <row r="2170" spans="1:9" x14ac:dyDescent="0.75">
      <c r="A2170" s="1">
        <v>42662</v>
      </c>
      <c r="B2170">
        <v>51.6</v>
      </c>
      <c r="C2170">
        <v>50.77</v>
      </c>
      <c r="D2170">
        <v>51.93</v>
      </c>
      <c r="E2170">
        <v>50.69</v>
      </c>
      <c r="F2170" t="s">
        <v>2029</v>
      </c>
      <c r="G2170" s="2">
        <v>2.5999999999999999E-2</v>
      </c>
      <c r="H2170">
        <f t="shared" si="66"/>
        <v>2.6048916285543892E-2</v>
      </c>
      <c r="I2170">
        <f t="shared" si="67"/>
        <v>2.5715422303643765E-2</v>
      </c>
    </row>
    <row r="2171" spans="1:9" x14ac:dyDescent="0.75">
      <c r="A2171" s="1">
        <v>42661</v>
      </c>
      <c r="B2171">
        <v>50.29</v>
      </c>
      <c r="C2171">
        <v>50.04</v>
      </c>
      <c r="D2171">
        <v>50.78</v>
      </c>
      <c r="E2171">
        <v>49.76</v>
      </c>
      <c r="F2171" t="s">
        <v>2030</v>
      </c>
      <c r="G2171" s="2">
        <v>7.0000000000000001E-3</v>
      </c>
      <c r="H2171">
        <f t="shared" si="66"/>
        <v>7.008410092110561E-3</v>
      </c>
      <c r="I2171">
        <f t="shared" si="67"/>
        <v>6.9839653322463155E-3</v>
      </c>
    </row>
    <row r="2172" spans="1:9" x14ac:dyDescent="0.75">
      <c r="A2172" s="1">
        <v>42660</v>
      </c>
      <c r="B2172">
        <v>49.94</v>
      </c>
      <c r="C2172">
        <v>50.23</v>
      </c>
      <c r="D2172">
        <v>50.58</v>
      </c>
      <c r="E2172">
        <v>49.47</v>
      </c>
      <c r="F2172" t="s">
        <v>2031</v>
      </c>
      <c r="G2172" s="2">
        <v>-8.0999999999999996E-3</v>
      </c>
      <c r="H2172">
        <f t="shared" si="66"/>
        <v>-8.1429990069514131E-3</v>
      </c>
      <c r="I2172">
        <f t="shared" si="67"/>
        <v>-8.1763343129441675E-3</v>
      </c>
    </row>
    <row r="2173" spans="1:9" x14ac:dyDescent="0.75">
      <c r="A2173" s="1">
        <v>42657</v>
      </c>
      <c r="B2173">
        <v>50.35</v>
      </c>
      <c r="C2173">
        <v>50.58</v>
      </c>
      <c r="D2173">
        <v>51.14</v>
      </c>
      <c r="E2173">
        <v>49.9</v>
      </c>
      <c r="F2173" t="s">
        <v>2032</v>
      </c>
      <c r="G2173" s="2">
        <v>-1.8E-3</v>
      </c>
      <c r="H2173">
        <f t="shared" si="66"/>
        <v>-1.7842981760506802E-3</v>
      </c>
      <c r="I2173">
        <f t="shared" si="67"/>
        <v>-1.7858919321473907E-3</v>
      </c>
    </row>
    <row r="2174" spans="1:9" x14ac:dyDescent="0.75">
      <c r="A2174" s="1">
        <v>42656</v>
      </c>
      <c r="B2174">
        <v>50.44</v>
      </c>
      <c r="C2174">
        <v>50</v>
      </c>
      <c r="D2174">
        <v>50.59</v>
      </c>
      <c r="E2174">
        <v>49.36</v>
      </c>
      <c r="F2174" t="s">
        <v>2033</v>
      </c>
      <c r="G2174" s="2">
        <v>5.1999999999999998E-3</v>
      </c>
      <c r="H2174">
        <f t="shared" si="66"/>
        <v>5.1813471502590277E-3</v>
      </c>
      <c r="I2174">
        <f t="shared" si="67"/>
        <v>5.1679701584425976E-3</v>
      </c>
    </row>
    <row r="2175" spans="1:9" x14ac:dyDescent="0.75">
      <c r="A2175" s="1">
        <v>42655</v>
      </c>
      <c r="B2175">
        <v>50.18</v>
      </c>
      <c r="C2175">
        <v>50.84</v>
      </c>
      <c r="D2175">
        <v>51.17</v>
      </c>
      <c r="E2175">
        <v>49.89</v>
      </c>
      <c r="F2175" t="s">
        <v>2034</v>
      </c>
      <c r="G2175" s="2">
        <v>-1.2E-2</v>
      </c>
      <c r="H2175">
        <f t="shared" si="66"/>
        <v>-1.2010238235873192E-2</v>
      </c>
      <c r="I2175">
        <f t="shared" si="67"/>
        <v>-1.2082943874877423E-2</v>
      </c>
    </row>
    <row r="2176" spans="1:9" x14ac:dyDescent="0.75">
      <c r="A2176" s="1">
        <v>42654</v>
      </c>
      <c r="B2176">
        <v>50.79</v>
      </c>
      <c r="C2176">
        <v>51.1</v>
      </c>
      <c r="D2176">
        <v>51.54</v>
      </c>
      <c r="E2176">
        <v>50.39</v>
      </c>
      <c r="F2176" t="s">
        <v>2035</v>
      </c>
      <c r="G2176" s="2">
        <v>-1.09E-2</v>
      </c>
      <c r="H2176">
        <f t="shared" si="66"/>
        <v>-1.0905550146056519E-2</v>
      </c>
      <c r="I2176">
        <f t="shared" si="67"/>
        <v>-1.0965451561413665E-2</v>
      </c>
    </row>
    <row r="2177" spans="1:9" x14ac:dyDescent="0.75">
      <c r="A2177" s="1">
        <v>42653</v>
      </c>
      <c r="B2177">
        <v>51.35</v>
      </c>
      <c r="C2177">
        <v>49.57</v>
      </c>
      <c r="D2177">
        <v>51.6</v>
      </c>
      <c r="E2177">
        <v>49.15</v>
      </c>
      <c r="F2177" t="s">
        <v>2036</v>
      </c>
      <c r="G2177" s="2">
        <v>3.09E-2</v>
      </c>
      <c r="H2177">
        <f t="shared" si="66"/>
        <v>3.0917486448504297E-2</v>
      </c>
      <c r="I2177">
        <f t="shared" si="67"/>
        <v>3.0449169289375133E-2</v>
      </c>
    </row>
    <row r="2178" spans="1:9" x14ac:dyDescent="0.75">
      <c r="A2178" s="1">
        <v>42650</v>
      </c>
      <c r="B2178">
        <v>49.81</v>
      </c>
      <c r="C2178">
        <v>50.59</v>
      </c>
      <c r="D2178">
        <v>50.74</v>
      </c>
      <c r="E2178">
        <v>49.4</v>
      </c>
      <c r="F2178" t="s">
        <v>2037</v>
      </c>
      <c r="G2178" s="2">
        <v>-1.2500000000000001E-2</v>
      </c>
      <c r="H2178">
        <f t="shared" si="66"/>
        <v>-1.2490087232355184E-2</v>
      </c>
      <c r="I2178">
        <f t="shared" si="67"/>
        <v>-1.2568744011526746E-2</v>
      </c>
    </row>
    <row r="2179" spans="1:9" x14ac:dyDescent="0.75">
      <c r="A2179" s="1">
        <v>42649</v>
      </c>
      <c r="B2179">
        <v>50.44</v>
      </c>
      <c r="C2179">
        <v>49.65</v>
      </c>
      <c r="D2179">
        <v>50.63</v>
      </c>
      <c r="E2179">
        <v>49.33</v>
      </c>
      <c r="F2179" t="s">
        <v>2038</v>
      </c>
      <c r="G2179" s="2">
        <v>1.2200000000000001E-2</v>
      </c>
      <c r="H2179">
        <f t="shared" ref="H2179:H2242" si="68">(B2179-B2180)/B2180</f>
        <v>1.2241621513144681E-2</v>
      </c>
      <c r="I2179">
        <f t="shared" ref="I2179:I2242" si="69">LN(B2179/B2180)</f>
        <v>1.2167298803405596E-2</v>
      </c>
    </row>
    <row r="2180" spans="1:9" x14ac:dyDescent="0.75">
      <c r="A2180" s="1">
        <v>42648</v>
      </c>
      <c r="B2180">
        <v>49.83</v>
      </c>
      <c r="C2180">
        <v>49.26</v>
      </c>
      <c r="D2180">
        <v>49.97</v>
      </c>
      <c r="E2180">
        <v>49.1</v>
      </c>
      <c r="F2180" t="s">
        <v>2039</v>
      </c>
      <c r="G2180" s="2">
        <v>2.3400000000000001E-2</v>
      </c>
      <c r="H2180">
        <f t="shared" si="68"/>
        <v>2.3413431916204572E-2</v>
      </c>
      <c r="I2180">
        <f t="shared" si="69"/>
        <v>2.3143542098703587E-2</v>
      </c>
    </row>
    <row r="2181" spans="1:9" x14ac:dyDescent="0.75">
      <c r="A2181" s="1">
        <v>42647</v>
      </c>
      <c r="B2181">
        <v>48.69</v>
      </c>
      <c r="C2181">
        <v>48.65</v>
      </c>
      <c r="D2181">
        <v>49.26</v>
      </c>
      <c r="E2181">
        <v>48.26</v>
      </c>
      <c r="F2181" t="s">
        <v>2040</v>
      </c>
      <c r="G2181" s="2">
        <v>-2.5000000000000001E-3</v>
      </c>
      <c r="H2181">
        <f t="shared" si="68"/>
        <v>-2.4585125998771674E-3</v>
      </c>
      <c r="I2181">
        <f t="shared" si="69"/>
        <v>-2.4615397044466833E-3</v>
      </c>
    </row>
    <row r="2182" spans="1:9" x14ac:dyDescent="0.75">
      <c r="A2182" s="1">
        <v>42646</v>
      </c>
      <c r="B2182">
        <v>48.81</v>
      </c>
      <c r="C2182">
        <v>48.04</v>
      </c>
      <c r="D2182">
        <v>49.02</v>
      </c>
      <c r="E2182">
        <v>47.78</v>
      </c>
      <c r="F2182" t="s">
        <v>2041</v>
      </c>
      <c r="G2182" s="2">
        <v>1.18E-2</v>
      </c>
      <c r="H2182">
        <f t="shared" si="68"/>
        <v>1.1815920398009955E-2</v>
      </c>
      <c r="I2182">
        <f t="shared" si="69"/>
        <v>1.1746657480126108E-2</v>
      </c>
    </row>
    <row r="2183" spans="1:9" x14ac:dyDescent="0.75">
      <c r="A2183" s="1">
        <v>42643</v>
      </c>
      <c r="B2183">
        <v>48.24</v>
      </c>
      <c r="C2183">
        <v>47.76</v>
      </c>
      <c r="D2183">
        <v>48.3</v>
      </c>
      <c r="E2183">
        <v>47.04</v>
      </c>
      <c r="F2183" t="s">
        <v>1582</v>
      </c>
      <c r="G2183" s="2">
        <v>8.6E-3</v>
      </c>
      <c r="H2183">
        <f t="shared" si="68"/>
        <v>8.5720259251516554E-3</v>
      </c>
      <c r="I2183">
        <f t="shared" si="69"/>
        <v>8.5354947267245063E-3</v>
      </c>
    </row>
    <row r="2184" spans="1:9" x14ac:dyDescent="0.75">
      <c r="A2184" s="1">
        <v>42642</v>
      </c>
      <c r="B2184">
        <v>47.83</v>
      </c>
      <c r="C2184">
        <v>47.2</v>
      </c>
      <c r="D2184">
        <v>48.32</v>
      </c>
      <c r="E2184">
        <v>46.6</v>
      </c>
      <c r="F2184" t="s">
        <v>2042</v>
      </c>
      <c r="G2184" s="2">
        <v>1.66E-2</v>
      </c>
      <c r="H2184">
        <f t="shared" si="68"/>
        <v>1.657810839532415E-2</v>
      </c>
      <c r="I2184">
        <f t="shared" si="69"/>
        <v>1.6442191660817011E-2</v>
      </c>
    </row>
    <row r="2185" spans="1:9" x14ac:dyDescent="0.75">
      <c r="A2185" s="1">
        <v>42641</v>
      </c>
      <c r="B2185">
        <v>47.05</v>
      </c>
      <c r="C2185">
        <v>44.96</v>
      </c>
      <c r="D2185">
        <v>47.45</v>
      </c>
      <c r="E2185">
        <v>44.35</v>
      </c>
      <c r="F2185" t="s">
        <v>2043</v>
      </c>
      <c r="G2185" s="2">
        <v>5.33E-2</v>
      </c>
      <c r="H2185">
        <f t="shared" si="68"/>
        <v>5.3279605999552171E-2</v>
      </c>
      <c r="I2185">
        <f t="shared" si="69"/>
        <v>5.1908730667361236E-2</v>
      </c>
    </row>
    <row r="2186" spans="1:9" x14ac:dyDescent="0.75">
      <c r="A2186" s="1">
        <v>42640</v>
      </c>
      <c r="B2186">
        <v>44.67</v>
      </c>
      <c r="C2186">
        <v>45.62</v>
      </c>
      <c r="D2186">
        <v>45.96</v>
      </c>
      <c r="E2186">
        <v>44.19</v>
      </c>
      <c r="F2186" t="s">
        <v>2044</v>
      </c>
      <c r="G2186" s="2">
        <v>-2.7400000000000001E-2</v>
      </c>
      <c r="H2186">
        <f t="shared" si="68"/>
        <v>-2.7433050293925496E-2</v>
      </c>
      <c r="I2186">
        <f t="shared" si="69"/>
        <v>-2.7816362973674739E-2</v>
      </c>
    </row>
    <row r="2187" spans="1:9" x14ac:dyDescent="0.75">
      <c r="A2187" s="1">
        <v>42639</v>
      </c>
      <c r="B2187">
        <v>45.93</v>
      </c>
      <c r="C2187">
        <v>44.62</v>
      </c>
      <c r="D2187">
        <v>46.2</v>
      </c>
      <c r="E2187">
        <v>44.43</v>
      </c>
      <c r="F2187" t="s">
        <v>2045</v>
      </c>
      <c r="G2187" s="2">
        <v>3.2599999999999997E-2</v>
      </c>
      <c r="H2187">
        <f t="shared" si="68"/>
        <v>3.259892086330942E-2</v>
      </c>
      <c r="I2187">
        <f t="shared" si="69"/>
        <v>3.2078848395375295E-2</v>
      </c>
    </row>
    <row r="2188" spans="1:9" x14ac:dyDescent="0.75">
      <c r="A2188" s="1">
        <v>42636</v>
      </c>
      <c r="B2188">
        <v>44.48</v>
      </c>
      <c r="C2188">
        <v>46.07</v>
      </c>
      <c r="D2188">
        <v>46.55</v>
      </c>
      <c r="E2188">
        <v>44.22</v>
      </c>
      <c r="F2188" t="s">
        <v>2046</v>
      </c>
      <c r="G2188" s="2">
        <v>-3.9699999999999999E-2</v>
      </c>
      <c r="H2188">
        <f t="shared" si="68"/>
        <v>-3.972366148531959E-2</v>
      </c>
      <c r="I2188">
        <f t="shared" si="69"/>
        <v>-4.0534183322412938E-2</v>
      </c>
    </row>
    <row r="2189" spans="1:9" x14ac:dyDescent="0.75">
      <c r="A2189" s="1">
        <v>42635</v>
      </c>
      <c r="B2189">
        <v>46.32</v>
      </c>
      <c r="C2189">
        <v>45.62</v>
      </c>
      <c r="D2189">
        <v>46.52</v>
      </c>
      <c r="E2189">
        <v>45.52</v>
      </c>
      <c r="F2189" t="s">
        <v>2047</v>
      </c>
      <c r="G2189" s="2">
        <v>2.1600000000000001E-2</v>
      </c>
      <c r="H2189">
        <f t="shared" si="68"/>
        <v>2.1614468460520442E-2</v>
      </c>
      <c r="I2189">
        <f t="shared" si="69"/>
        <v>2.1384188185356756E-2</v>
      </c>
    </row>
    <row r="2190" spans="1:9" x14ac:dyDescent="0.75">
      <c r="A2190" s="1">
        <v>42634</v>
      </c>
      <c r="B2190">
        <v>45.34</v>
      </c>
      <c r="C2190">
        <v>44.5</v>
      </c>
      <c r="D2190">
        <v>45.65</v>
      </c>
      <c r="E2190">
        <v>44.5</v>
      </c>
      <c r="F2190" t="s">
        <v>2048</v>
      </c>
      <c r="G2190" s="2">
        <v>4.3700000000000003E-2</v>
      </c>
      <c r="H2190">
        <f t="shared" si="68"/>
        <v>4.3738489871086687E-2</v>
      </c>
      <c r="I2190">
        <f t="shared" si="69"/>
        <v>4.2808969453703015E-2</v>
      </c>
    </row>
    <row r="2191" spans="1:9" x14ac:dyDescent="0.75">
      <c r="A2191" s="1">
        <v>42633</v>
      </c>
      <c r="B2191">
        <v>43.44</v>
      </c>
      <c r="C2191">
        <v>43.13</v>
      </c>
      <c r="D2191">
        <v>44.05</v>
      </c>
      <c r="E2191">
        <v>42.55</v>
      </c>
      <c r="F2191" t="s">
        <v>2049</v>
      </c>
      <c r="G2191" s="2">
        <v>3.2000000000000002E-3</v>
      </c>
      <c r="H2191">
        <f t="shared" si="68"/>
        <v>3.2332563510392744E-3</v>
      </c>
      <c r="I2191">
        <f t="shared" si="69"/>
        <v>3.228040617235901E-3</v>
      </c>
    </row>
    <row r="2192" spans="1:9" x14ac:dyDescent="0.75">
      <c r="A2192" s="1">
        <v>42632</v>
      </c>
      <c r="B2192">
        <v>43.3</v>
      </c>
      <c r="C2192">
        <v>43.18</v>
      </c>
      <c r="D2192">
        <v>44.15</v>
      </c>
      <c r="E2192">
        <v>43.12</v>
      </c>
      <c r="F2192" t="s">
        <v>2050</v>
      </c>
      <c r="G2192" s="2">
        <v>6.3E-3</v>
      </c>
      <c r="H2192">
        <f t="shared" si="68"/>
        <v>6.2746920752962121E-3</v>
      </c>
      <c r="I2192">
        <f t="shared" si="69"/>
        <v>6.2550881579358847E-3</v>
      </c>
    </row>
    <row r="2193" spans="1:9" x14ac:dyDescent="0.75">
      <c r="A2193" s="1">
        <v>42629</v>
      </c>
      <c r="B2193">
        <v>43.03</v>
      </c>
      <c r="C2193">
        <v>43.71</v>
      </c>
      <c r="D2193">
        <v>43.75</v>
      </c>
      <c r="E2193">
        <v>42.74</v>
      </c>
      <c r="F2193" t="s">
        <v>2051</v>
      </c>
      <c r="G2193" s="2">
        <v>-0.02</v>
      </c>
      <c r="H2193">
        <f t="shared" si="68"/>
        <v>-2.0040992940104658E-2</v>
      </c>
      <c r="I2193">
        <f t="shared" si="69"/>
        <v>-2.0244537723117687E-2</v>
      </c>
    </row>
    <row r="2194" spans="1:9" x14ac:dyDescent="0.75">
      <c r="A2194" s="1">
        <v>42628</v>
      </c>
      <c r="B2194">
        <v>43.91</v>
      </c>
      <c r="C2194">
        <v>43.7</v>
      </c>
      <c r="D2194">
        <v>44.34</v>
      </c>
      <c r="E2194">
        <v>43.26</v>
      </c>
      <c r="F2194" t="s">
        <v>2052</v>
      </c>
      <c r="G2194" s="2">
        <v>7.6E-3</v>
      </c>
      <c r="H2194">
        <f t="shared" si="68"/>
        <v>7.572280862781053E-3</v>
      </c>
      <c r="I2194">
        <f t="shared" si="69"/>
        <v>7.5437550571521138E-3</v>
      </c>
    </row>
    <row r="2195" spans="1:9" x14ac:dyDescent="0.75">
      <c r="A2195" s="1">
        <v>42627</v>
      </c>
      <c r="B2195">
        <v>43.58</v>
      </c>
      <c r="C2195">
        <v>45</v>
      </c>
      <c r="D2195">
        <v>45.33</v>
      </c>
      <c r="E2195">
        <v>43.42</v>
      </c>
      <c r="F2195" t="s">
        <v>2053</v>
      </c>
      <c r="G2195" s="2">
        <v>-2.9399999999999999E-2</v>
      </c>
      <c r="H2195">
        <f t="shared" si="68"/>
        <v>-2.9398663697104685E-2</v>
      </c>
      <c r="I2195">
        <f t="shared" si="69"/>
        <v>-2.9839465231734759E-2</v>
      </c>
    </row>
    <row r="2196" spans="1:9" x14ac:dyDescent="0.75">
      <c r="A2196" s="1">
        <v>42626</v>
      </c>
      <c r="B2196">
        <v>44.9</v>
      </c>
      <c r="C2196">
        <v>46.06</v>
      </c>
      <c r="D2196">
        <v>46.13</v>
      </c>
      <c r="E2196">
        <v>44.77</v>
      </c>
      <c r="F2196" t="s">
        <v>2054</v>
      </c>
      <c r="G2196" s="2">
        <v>-0.03</v>
      </c>
      <c r="H2196">
        <f t="shared" si="68"/>
        <v>-3.0028083819399452E-2</v>
      </c>
      <c r="I2196">
        <f t="shared" si="69"/>
        <v>-3.0488160294970593E-2</v>
      </c>
    </row>
    <row r="2197" spans="1:9" x14ac:dyDescent="0.75">
      <c r="A2197" s="1">
        <v>42625</v>
      </c>
      <c r="B2197">
        <v>46.29</v>
      </c>
      <c r="C2197">
        <v>45.57</v>
      </c>
      <c r="D2197">
        <v>46.51</v>
      </c>
      <c r="E2197">
        <v>44.72</v>
      </c>
      <c r="F2197" t="s">
        <v>2055</v>
      </c>
      <c r="G2197" s="2">
        <v>8.8999999999999999E-3</v>
      </c>
      <c r="H2197">
        <f t="shared" si="68"/>
        <v>8.9363557105491837E-3</v>
      </c>
      <c r="I2197">
        <f t="shared" si="69"/>
        <v>8.8966627820092556E-3</v>
      </c>
    </row>
    <row r="2198" spans="1:9" x14ac:dyDescent="0.75">
      <c r="A2198" s="1">
        <v>42622</v>
      </c>
      <c r="B2198">
        <v>45.88</v>
      </c>
      <c r="C2198">
        <v>47.36</v>
      </c>
      <c r="D2198">
        <v>47.36</v>
      </c>
      <c r="E2198">
        <v>45.56</v>
      </c>
      <c r="F2198" t="s">
        <v>2056</v>
      </c>
      <c r="G2198" s="2">
        <v>-3.6499999999999998E-2</v>
      </c>
      <c r="H2198">
        <f t="shared" si="68"/>
        <v>-3.6539269214615602E-2</v>
      </c>
      <c r="I2198">
        <f t="shared" si="69"/>
        <v>-3.7223548797546656E-2</v>
      </c>
    </row>
    <row r="2199" spans="1:9" x14ac:dyDescent="0.75">
      <c r="A2199" s="1">
        <v>42621</v>
      </c>
      <c r="B2199">
        <v>47.62</v>
      </c>
      <c r="C2199">
        <v>46.12</v>
      </c>
      <c r="D2199">
        <v>47.75</v>
      </c>
      <c r="E2199">
        <v>45.77</v>
      </c>
      <c r="F2199" t="s">
        <v>2057</v>
      </c>
      <c r="G2199" s="2">
        <v>4.6600000000000003E-2</v>
      </c>
      <c r="H2199">
        <f t="shared" si="68"/>
        <v>4.6593406593406536E-2</v>
      </c>
      <c r="I2199">
        <f t="shared" si="69"/>
        <v>4.5540515101812E-2</v>
      </c>
    </row>
    <row r="2200" spans="1:9" x14ac:dyDescent="0.75">
      <c r="A2200" s="1">
        <v>42620</v>
      </c>
      <c r="B2200">
        <v>45.5</v>
      </c>
      <c r="C2200">
        <v>44.85</v>
      </c>
      <c r="D2200">
        <v>46.17</v>
      </c>
      <c r="E2200">
        <v>44.55</v>
      </c>
      <c r="F2200" t="s">
        <v>2058</v>
      </c>
      <c r="G2200" s="2">
        <v>1.49E-2</v>
      </c>
      <c r="H2200">
        <f t="shared" si="68"/>
        <v>1.4945349096587145E-2</v>
      </c>
      <c r="I2200">
        <f t="shared" si="69"/>
        <v>1.4834767789556676E-2</v>
      </c>
    </row>
    <row r="2201" spans="1:9" x14ac:dyDescent="0.75">
      <c r="A2201" s="1">
        <v>42619</v>
      </c>
      <c r="B2201">
        <v>44.83</v>
      </c>
      <c r="C2201">
        <v>44.15</v>
      </c>
      <c r="D2201">
        <v>46.53</v>
      </c>
      <c r="E2201">
        <v>43.84</v>
      </c>
      <c r="F2201" t="s">
        <v>2059</v>
      </c>
      <c r="G2201" s="2">
        <v>-5.3E-3</v>
      </c>
      <c r="H2201">
        <f t="shared" si="68"/>
        <v>-5.3250499223430657E-3</v>
      </c>
      <c r="I2201">
        <f t="shared" si="69"/>
        <v>-5.3392785352088194E-3</v>
      </c>
    </row>
    <row r="2202" spans="1:9" x14ac:dyDescent="0.75">
      <c r="A2202" s="1">
        <v>42618</v>
      </c>
      <c r="B2202">
        <v>45.07</v>
      </c>
      <c r="C2202">
        <v>44.12</v>
      </c>
      <c r="D2202">
        <v>46.53</v>
      </c>
      <c r="E2202">
        <v>44.07</v>
      </c>
      <c r="G2202" s="2">
        <v>2.18E-2</v>
      </c>
      <c r="H2202">
        <f t="shared" si="68"/>
        <v>2.1763772387213803E-2</v>
      </c>
      <c r="I2202">
        <f t="shared" si="69"/>
        <v>2.1530322585708483E-2</v>
      </c>
    </row>
    <row r="2203" spans="1:9" x14ac:dyDescent="0.75">
      <c r="A2203" s="1">
        <v>42617</v>
      </c>
      <c r="B2203">
        <v>44.11</v>
      </c>
      <c r="C2203">
        <v>44.15</v>
      </c>
      <c r="D2203">
        <v>44.38</v>
      </c>
      <c r="E2203">
        <v>44.1</v>
      </c>
      <c r="G2203" s="2">
        <v>-7.4000000000000003E-3</v>
      </c>
      <c r="H2203">
        <f t="shared" si="68"/>
        <v>-7.4257425742573881E-3</v>
      </c>
      <c r="I2203">
        <f t="shared" si="69"/>
        <v>-7.4534506545808907E-3</v>
      </c>
    </row>
    <row r="2204" spans="1:9" x14ac:dyDescent="0.75">
      <c r="A2204" s="1">
        <v>42615</v>
      </c>
      <c r="B2204">
        <v>44.44</v>
      </c>
      <c r="C2204">
        <v>43.55</v>
      </c>
      <c r="D2204">
        <v>44.67</v>
      </c>
      <c r="E2204">
        <v>43.16</v>
      </c>
      <c r="F2204" t="s">
        <v>2060</v>
      </c>
      <c r="G2204" s="2">
        <v>2.9700000000000001E-2</v>
      </c>
      <c r="H2204">
        <f t="shared" si="68"/>
        <v>2.9657089898053782E-2</v>
      </c>
      <c r="I2204">
        <f t="shared" si="69"/>
        <v>2.9225824381495295E-2</v>
      </c>
    </row>
    <row r="2205" spans="1:9" x14ac:dyDescent="0.75">
      <c r="A2205" s="1">
        <v>42614</v>
      </c>
      <c r="B2205">
        <v>43.16</v>
      </c>
      <c r="C2205">
        <v>44.85</v>
      </c>
      <c r="D2205">
        <v>45.08</v>
      </c>
      <c r="E2205">
        <v>43</v>
      </c>
      <c r="F2205" t="s">
        <v>2061</v>
      </c>
      <c r="G2205" s="2">
        <v>-3.4500000000000003E-2</v>
      </c>
      <c r="H2205">
        <f t="shared" si="68"/>
        <v>-3.445190156599566E-2</v>
      </c>
      <c r="I2205">
        <f t="shared" si="69"/>
        <v>-3.5059361229589366E-2</v>
      </c>
    </row>
    <row r="2206" spans="1:9" x14ac:dyDescent="0.75">
      <c r="A2206" s="1">
        <v>42613</v>
      </c>
      <c r="B2206">
        <v>44.7</v>
      </c>
      <c r="C2206">
        <v>46.24</v>
      </c>
      <c r="D2206">
        <v>46.41</v>
      </c>
      <c r="E2206">
        <v>44.51</v>
      </c>
      <c r="F2206" t="s">
        <v>2062</v>
      </c>
      <c r="G2206" s="2">
        <v>-3.56E-2</v>
      </c>
      <c r="H2206">
        <f t="shared" si="68"/>
        <v>-3.5598705501618089E-2</v>
      </c>
      <c r="I2206">
        <f t="shared" si="69"/>
        <v>-3.6247790392341037E-2</v>
      </c>
    </row>
    <row r="2207" spans="1:9" x14ac:dyDescent="0.75">
      <c r="A2207" s="1">
        <v>42612</v>
      </c>
      <c r="B2207">
        <v>46.35</v>
      </c>
      <c r="C2207">
        <v>46.98</v>
      </c>
      <c r="D2207">
        <v>47.49</v>
      </c>
      <c r="E2207">
        <v>46.21</v>
      </c>
      <c r="F2207" t="s">
        <v>2063</v>
      </c>
      <c r="G2207" s="2">
        <v>-1.34E-2</v>
      </c>
      <c r="H2207">
        <f t="shared" si="68"/>
        <v>-1.3409961685823658E-2</v>
      </c>
      <c r="I2207">
        <f t="shared" si="69"/>
        <v>-1.3500687218902463E-2</v>
      </c>
    </row>
    <row r="2208" spans="1:9" x14ac:dyDescent="0.75">
      <c r="A2208" s="1">
        <v>42611</v>
      </c>
      <c r="B2208">
        <v>46.98</v>
      </c>
      <c r="C2208">
        <v>47.22</v>
      </c>
      <c r="D2208">
        <v>47.28</v>
      </c>
      <c r="E2208">
        <v>46.62</v>
      </c>
      <c r="F2208" t="s">
        <v>2064</v>
      </c>
      <c r="G2208" s="2">
        <v>-1.3899999999999999E-2</v>
      </c>
      <c r="H2208">
        <f t="shared" si="68"/>
        <v>-1.3853904282115947E-2</v>
      </c>
      <c r="I2208">
        <f t="shared" si="69"/>
        <v>-1.3950765256332723E-2</v>
      </c>
    </row>
    <row r="2209" spans="1:9" x14ac:dyDescent="0.75">
      <c r="A2209" s="1">
        <v>42608</v>
      </c>
      <c r="B2209">
        <v>47.64</v>
      </c>
      <c r="C2209">
        <v>47.37</v>
      </c>
      <c r="D2209">
        <v>48.46</v>
      </c>
      <c r="E2209">
        <v>46.94</v>
      </c>
      <c r="F2209" t="s">
        <v>2065</v>
      </c>
      <c r="G2209" s="2">
        <v>6.4999999999999997E-3</v>
      </c>
      <c r="H2209">
        <f t="shared" si="68"/>
        <v>6.5497570251426638E-3</v>
      </c>
      <c r="I2209">
        <f t="shared" si="69"/>
        <v>6.5284005689428331E-3</v>
      </c>
    </row>
    <row r="2210" spans="1:9" x14ac:dyDescent="0.75">
      <c r="A2210" s="1">
        <v>42607</v>
      </c>
      <c r="B2210">
        <v>47.33</v>
      </c>
      <c r="C2210">
        <v>46.8</v>
      </c>
      <c r="D2210">
        <v>47.46</v>
      </c>
      <c r="E2210">
        <v>46.42</v>
      </c>
      <c r="F2210" t="s">
        <v>2066</v>
      </c>
      <c r="G2210" s="2">
        <v>1.2E-2</v>
      </c>
      <c r="H2210">
        <f t="shared" si="68"/>
        <v>1.1973487278169662E-2</v>
      </c>
      <c r="I2210">
        <f t="shared" si="69"/>
        <v>1.1902372180361612E-2</v>
      </c>
    </row>
    <row r="2211" spans="1:9" x14ac:dyDescent="0.75">
      <c r="A2211" s="1">
        <v>42606</v>
      </c>
      <c r="B2211">
        <v>46.77</v>
      </c>
      <c r="C2211">
        <v>47.59</v>
      </c>
      <c r="D2211">
        <v>47.74</v>
      </c>
      <c r="E2211">
        <v>46.45</v>
      </c>
      <c r="F2211" t="s">
        <v>2067</v>
      </c>
      <c r="G2211" s="2">
        <v>-2.7699999999999999E-2</v>
      </c>
      <c r="H2211">
        <f t="shared" si="68"/>
        <v>-2.7650727650727614E-2</v>
      </c>
      <c r="I2211">
        <f t="shared" si="69"/>
        <v>-2.8040205373920626E-2</v>
      </c>
    </row>
    <row r="2212" spans="1:9" x14ac:dyDescent="0.75">
      <c r="A2212" s="1">
        <v>42605</v>
      </c>
      <c r="B2212">
        <v>48.1</v>
      </c>
      <c r="C2212">
        <v>47.39</v>
      </c>
      <c r="D2212">
        <v>48.32</v>
      </c>
      <c r="E2212">
        <v>46.59</v>
      </c>
      <c r="F2212" t="s">
        <v>2068</v>
      </c>
      <c r="G2212" s="2">
        <v>2.23E-2</v>
      </c>
      <c r="H2212">
        <f t="shared" si="68"/>
        <v>2.2316684378321027E-2</v>
      </c>
      <c r="I2212">
        <f t="shared" si="69"/>
        <v>2.2071311080327043E-2</v>
      </c>
    </row>
    <row r="2213" spans="1:9" x14ac:dyDescent="0.75">
      <c r="A2213" s="1">
        <v>42604</v>
      </c>
      <c r="B2213">
        <v>47.05</v>
      </c>
      <c r="C2213">
        <v>48.4</v>
      </c>
      <c r="D2213">
        <v>48.4</v>
      </c>
      <c r="E2213">
        <v>46.75</v>
      </c>
      <c r="F2213" t="s">
        <v>2069</v>
      </c>
      <c r="G2213" s="2">
        <v>-3.0300000000000001E-2</v>
      </c>
      <c r="H2213">
        <f t="shared" si="68"/>
        <v>-3.0296784830997649E-2</v>
      </c>
      <c r="I2213">
        <f t="shared" si="69"/>
        <v>-3.0765218044460842E-2</v>
      </c>
    </row>
    <row r="2214" spans="1:9" x14ac:dyDescent="0.75">
      <c r="A2214" s="1">
        <v>42601</v>
      </c>
      <c r="B2214">
        <v>48.52</v>
      </c>
      <c r="C2214">
        <v>48.33</v>
      </c>
      <c r="D2214">
        <v>48.75</v>
      </c>
      <c r="E2214">
        <v>47.93</v>
      </c>
      <c r="F2214" t="s">
        <v>2070</v>
      </c>
      <c r="G2214" s="2">
        <v>6.1999999999999998E-3</v>
      </c>
      <c r="H2214">
        <f t="shared" si="68"/>
        <v>6.2214848610535932E-3</v>
      </c>
      <c r="I2214">
        <f t="shared" si="69"/>
        <v>6.2022113228244469E-3</v>
      </c>
    </row>
    <row r="2215" spans="1:9" x14ac:dyDescent="0.75">
      <c r="A2215" s="1">
        <v>42600</v>
      </c>
      <c r="B2215">
        <v>48.22</v>
      </c>
      <c r="C2215">
        <v>46.9</v>
      </c>
      <c r="D2215">
        <v>48.38</v>
      </c>
      <c r="E2215">
        <v>46.63</v>
      </c>
      <c r="F2215" t="s">
        <v>759</v>
      </c>
      <c r="G2215" s="2">
        <v>3.0599999999999999E-2</v>
      </c>
      <c r="H2215">
        <f t="shared" si="68"/>
        <v>3.0562085915793968E-2</v>
      </c>
      <c r="I2215">
        <f t="shared" si="69"/>
        <v>3.0104367874900111E-2</v>
      </c>
    </row>
    <row r="2216" spans="1:9" x14ac:dyDescent="0.75">
      <c r="A2216" s="1">
        <v>42599</v>
      </c>
      <c r="B2216">
        <v>46.79</v>
      </c>
      <c r="C2216">
        <v>46.37</v>
      </c>
      <c r="D2216">
        <v>46.95</v>
      </c>
      <c r="E2216">
        <v>45.84</v>
      </c>
      <c r="F2216" t="s">
        <v>2071</v>
      </c>
      <c r="G2216" s="2">
        <v>4.4999999999999997E-3</v>
      </c>
      <c r="H2216">
        <f t="shared" si="68"/>
        <v>4.508372692142569E-3</v>
      </c>
      <c r="I2216">
        <f t="shared" si="69"/>
        <v>4.4982404219300904E-3</v>
      </c>
    </row>
    <row r="2217" spans="1:9" x14ac:dyDescent="0.75">
      <c r="A2217" s="1">
        <v>42598</v>
      </c>
      <c r="B2217">
        <v>46.58</v>
      </c>
      <c r="C2217">
        <v>45.59</v>
      </c>
      <c r="D2217">
        <v>46.73</v>
      </c>
      <c r="E2217">
        <v>45.34</v>
      </c>
      <c r="F2217" t="s">
        <v>2072</v>
      </c>
      <c r="G2217" s="2">
        <v>1.84E-2</v>
      </c>
      <c r="H2217">
        <f t="shared" si="68"/>
        <v>1.8364669873196245E-2</v>
      </c>
      <c r="I2217">
        <f t="shared" si="69"/>
        <v>1.8198075861559821E-2</v>
      </c>
    </row>
    <row r="2218" spans="1:9" x14ac:dyDescent="0.75">
      <c r="A2218" s="1">
        <v>42597</v>
      </c>
      <c r="B2218">
        <v>45.74</v>
      </c>
      <c r="C2218">
        <v>44.74</v>
      </c>
      <c r="D2218">
        <v>45.93</v>
      </c>
      <c r="E2218">
        <v>44.38</v>
      </c>
      <c r="F2218" t="s">
        <v>2073</v>
      </c>
      <c r="G2218" s="2">
        <v>2.81E-2</v>
      </c>
      <c r="H2218">
        <f t="shared" si="68"/>
        <v>2.8096201393571586E-2</v>
      </c>
      <c r="I2218">
        <f t="shared" si="69"/>
        <v>2.7708743776684572E-2</v>
      </c>
    </row>
    <row r="2219" spans="1:9" x14ac:dyDescent="0.75">
      <c r="A2219" s="1">
        <v>42594</v>
      </c>
      <c r="B2219">
        <v>44.49</v>
      </c>
      <c r="C2219">
        <v>43.46</v>
      </c>
      <c r="D2219">
        <v>44.78</v>
      </c>
      <c r="E2219">
        <v>43.31</v>
      </c>
      <c r="F2219" t="s">
        <v>2074</v>
      </c>
      <c r="G2219" s="2">
        <v>2.3E-2</v>
      </c>
      <c r="H2219">
        <f t="shared" si="68"/>
        <v>2.2993791676247412E-2</v>
      </c>
      <c r="I2219">
        <f t="shared" si="69"/>
        <v>2.2733418208403459E-2</v>
      </c>
    </row>
    <row r="2220" spans="1:9" x14ac:dyDescent="0.75">
      <c r="A2220" s="1">
        <v>42593</v>
      </c>
      <c r="B2220">
        <v>43.49</v>
      </c>
      <c r="C2220">
        <v>41.48</v>
      </c>
      <c r="D2220">
        <v>43.86</v>
      </c>
      <c r="E2220">
        <v>41.1</v>
      </c>
      <c r="F2220" t="s">
        <v>2075</v>
      </c>
      <c r="G2220" s="2">
        <v>4.2700000000000002E-2</v>
      </c>
      <c r="H2220">
        <f t="shared" si="68"/>
        <v>4.2675617357947761E-2</v>
      </c>
      <c r="I2220">
        <f t="shared" si="69"/>
        <v>4.1790118400693091E-2</v>
      </c>
    </row>
    <row r="2221" spans="1:9" x14ac:dyDescent="0.75">
      <c r="A2221" s="1">
        <v>42592</v>
      </c>
      <c r="B2221">
        <v>41.71</v>
      </c>
      <c r="C2221">
        <v>42.74</v>
      </c>
      <c r="D2221">
        <v>43.39</v>
      </c>
      <c r="E2221">
        <v>41.42</v>
      </c>
      <c r="F2221" t="s">
        <v>2076</v>
      </c>
      <c r="G2221" s="2">
        <v>-2.4799999999999999E-2</v>
      </c>
      <c r="H2221">
        <f t="shared" si="68"/>
        <v>-2.4783726911386538E-2</v>
      </c>
      <c r="I2221">
        <f t="shared" si="69"/>
        <v>-2.5096014029963424E-2</v>
      </c>
    </row>
    <row r="2222" spans="1:9" x14ac:dyDescent="0.75">
      <c r="A2222" s="1">
        <v>42591</v>
      </c>
      <c r="B2222">
        <v>42.77</v>
      </c>
      <c r="C2222">
        <v>42.83</v>
      </c>
      <c r="D2222">
        <v>43.52</v>
      </c>
      <c r="E2222">
        <v>42.47</v>
      </c>
      <c r="F2222" t="s">
        <v>2077</v>
      </c>
      <c r="G2222" s="2">
        <v>-5.7999999999999996E-3</v>
      </c>
      <c r="H2222">
        <f t="shared" si="68"/>
        <v>-5.8112505811250574E-3</v>
      </c>
      <c r="I2222">
        <f t="shared" si="69"/>
        <v>-5.8282016007667557E-3</v>
      </c>
    </row>
    <row r="2223" spans="1:9" x14ac:dyDescent="0.75">
      <c r="A2223" s="1">
        <v>42590</v>
      </c>
      <c r="B2223">
        <v>43.02</v>
      </c>
      <c r="C2223">
        <v>41.99</v>
      </c>
      <c r="D2223">
        <v>43.39</v>
      </c>
      <c r="E2223">
        <v>41.81</v>
      </c>
      <c r="F2223" t="s">
        <v>2078</v>
      </c>
      <c r="G2223" s="2">
        <v>2.92E-2</v>
      </c>
      <c r="H2223">
        <f t="shared" si="68"/>
        <v>2.9186602870813542E-2</v>
      </c>
      <c r="I2223">
        <f t="shared" si="69"/>
        <v>2.8768784308873606E-2</v>
      </c>
    </row>
    <row r="2224" spans="1:9" x14ac:dyDescent="0.75">
      <c r="A2224" s="1">
        <v>42587</v>
      </c>
      <c r="B2224">
        <v>41.8</v>
      </c>
      <c r="C2224">
        <v>41.84</v>
      </c>
      <c r="D2224">
        <v>42.1</v>
      </c>
      <c r="E2224">
        <v>41.06</v>
      </c>
      <c r="F2224" t="s">
        <v>2079</v>
      </c>
      <c r="G2224" s="2">
        <v>-3.0999999999999999E-3</v>
      </c>
      <c r="H2224">
        <f t="shared" si="68"/>
        <v>-3.1004054376342132E-3</v>
      </c>
      <c r="I2224">
        <f t="shared" si="69"/>
        <v>-3.1052216519607393E-3</v>
      </c>
    </row>
    <row r="2225" spans="1:9" x14ac:dyDescent="0.75">
      <c r="A2225" s="1">
        <v>42586</v>
      </c>
      <c r="B2225">
        <v>41.93</v>
      </c>
      <c r="C2225">
        <v>41.16</v>
      </c>
      <c r="D2225">
        <v>42.08</v>
      </c>
      <c r="E2225">
        <v>40.43</v>
      </c>
      <c r="F2225" t="s">
        <v>2080</v>
      </c>
      <c r="G2225" s="2">
        <v>2.69E-2</v>
      </c>
      <c r="H2225">
        <f t="shared" si="68"/>
        <v>2.6940974773450931E-2</v>
      </c>
      <c r="I2225">
        <f t="shared" si="69"/>
        <v>2.6584455851187024E-2</v>
      </c>
    </row>
    <row r="2226" spans="1:9" x14ac:dyDescent="0.75">
      <c r="A2226" s="1">
        <v>42585</v>
      </c>
      <c r="B2226">
        <v>40.83</v>
      </c>
      <c r="C2226">
        <v>39.700000000000003</v>
      </c>
      <c r="D2226">
        <v>41.2</v>
      </c>
      <c r="E2226">
        <v>39.19</v>
      </c>
      <c r="F2226" t="s">
        <v>2081</v>
      </c>
      <c r="G2226" s="2">
        <v>3.3399999999999999E-2</v>
      </c>
      <c r="H2226">
        <f t="shared" si="68"/>
        <v>3.3409263477600613E-2</v>
      </c>
      <c r="I2226">
        <f t="shared" si="69"/>
        <v>3.2863300908185067E-2</v>
      </c>
    </row>
    <row r="2227" spans="1:9" x14ac:dyDescent="0.75">
      <c r="A2227" s="1">
        <v>42584</v>
      </c>
      <c r="B2227">
        <v>39.51</v>
      </c>
      <c r="C2227">
        <v>40.08</v>
      </c>
      <c r="D2227">
        <v>40.909999999999997</v>
      </c>
      <c r="E2227">
        <v>39.26</v>
      </c>
      <c r="F2227" t="s">
        <v>2082</v>
      </c>
      <c r="G2227" s="2">
        <v>-1.37E-2</v>
      </c>
      <c r="H2227">
        <f t="shared" si="68"/>
        <v>-1.372940589116336E-2</v>
      </c>
      <c r="I2227">
        <f t="shared" si="69"/>
        <v>-1.3824525814372914E-2</v>
      </c>
    </row>
    <row r="2228" spans="1:9" x14ac:dyDescent="0.75">
      <c r="A2228" s="1">
        <v>42583</v>
      </c>
      <c r="B2228">
        <v>40.06</v>
      </c>
      <c r="C2228">
        <v>41.35</v>
      </c>
      <c r="D2228">
        <v>41.88</v>
      </c>
      <c r="E2228">
        <v>39.82</v>
      </c>
      <c r="F2228" t="s">
        <v>2083</v>
      </c>
      <c r="G2228" s="2">
        <v>-3.6999999999999998E-2</v>
      </c>
      <c r="H2228">
        <f t="shared" si="68"/>
        <v>-3.7019230769230749E-2</v>
      </c>
      <c r="I2228">
        <f t="shared" si="69"/>
        <v>-3.7721837029545381E-2</v>
      </c>
    </row>
    <row r="2229" spans="1:9" x14ac:dyDescent="0.75">
      <c r="A2229" s="1">
        <v>42580</v>
      </c>
      <c r="B2229">
        <v>41.6</v>
      </c>
      <c r="C2229">
        <v>41.12</v>
      </c>
      <c r="D2229">
        <v>41.67</v>
      </c>
      <c r="E2229">
        <v>40.57</v>
      </c>
      <c r="F2229" t="s">
        <v>2084</v>
      </c>
      <c r="G2229" s="2">
        <v>1.12E-2</v>
      </c>
      <c r="H2229">
        <f t="shared" si="68"/>
        <v>1.1181332036947031E-2</v>
      </c>
      <c r="I2229">
        <f t="shared" si="69"/>
        <v>1.1119283042406414E-2</v>
      </c>
    </row>
    <row r="2230" spans="1:9" x14ac:dyDescent="0.75">
      <c r="A2230" s="1">
        <v>42579</v>
      </c>
      <c r="B2230">
        <v>41.14</v>
      </c>
      <c r="C2230">
        <v>41.93</v>
      </c>
      <c r="D2230">
        <v>42.22</v>
      </c>
      <c r="E2230">
        <v>41.04</v>
      </c>
      <c r="F2230" t="s">
        <v>2085</v>
      </c>
      <c r="G2230" s="2">
        <v>-1.8599999999999998E-2</v>
      </c>
      <c r="H2230">
        <f t="shared" si="68"/>
        <v>-1.8606870229007661E-2</v>
      </c>
      <c r="I2230">
        <f t="shared" si="69"/>
        <v>-1.8782155787975624E-2</v>
      </c>
    </row>
    <row r="2231" spans="1:9" x14ac:dyDescent="0.75">
      <c r="A2231" s="1">
        <v>42578</v>
      </c>
      <c r="B2231">
        <v>41.92</v>
      </c>
      <c r="C2231">
        <v>42.66</v>
      </c>
      <c r="D2231">
        <v>43.2</v>
      </c>
      <c r="E2231">
        <v>41.68</v>
      </c>
      <c r="F2231" t="s">
        <v>2086</v>
      </c>
      <c r="G2231" s="2">
        <v>-2.3300000000000001E-2</v>
      </c>
      <c r="H2231">
        <f t="shared" si="68"/>
        <v>-2.3299161230195712E-2</v>
      </c>
      <c r="I2231">
        <f t="shared" si="69"/>
        <v>-2.3574877749710996E-2</v>
      </c>
    </row>
    <row r="2232" spans="1:9" x14ac:dyDescent="0.75">
      <c r="A2232" s="1">
        <v>42577</v>
      </c>
      <c r="B2232">
        <v>42.92</v>
      </c>
      <c r="C2232">
        <v>43.07</v>
      </c>
      <c r="D2232">
        <v>43.39</v>
      </c>
      <c r="E2232">
        <v>42.36</v>
      </c>
      <c r="F2232" t="s">
        <v>2087</v>
      </c>
      <c r="G2232" s="2">
        <v>-4.8999999999999998E-3</v>
      </c>
      <c r="H2232">
        <f t="shared" si="68"/>
        <v>-4.8690006955715475E-3</v>
      </c>
      <c r="I2232">
        <f t="shared" si="69"/>
        <v>-4.880892897254018E-3</v>
      </c>
    </row>
    <row r="2233" spans="1:9" x14ac:dyDescent="0.75">
      <c r="A2233" s="1">
        <v>42576</v>
      </c>
      <c r="B2233">
        <v>43.13</v>
      </c>
      <c r="C2233">
        <v>44.2</v>
      </c>
      <c r="D2233">
        <v>44.37</v>
      </c>
      <c r="E2233">
        <v>42.97</v>
      </c>
      <c r="F2233" t="s">
        <v>2088</v>
      </c>
      <c r="G2233" s="2">
        <v>-2.4E-2</v>
      </c>
      <c r="H2233">
        <f t="shared" si="68"/>
        <v>-2.3987327449649133E-2</v>
      </c>
      <c r="I2233">
        <f t="shared" si="69"/>
        <v>-2.4279708482896737E-2</v>
      </c>
    </row>
    <row r="2234" spans="1:9" x14ac:dyDescent="0.75">
      <c r="A2234" s="1">
        <v>42573</v>
      </c>
      <c r="B2234">
        <v>44.19</v>
      </c>
      <c r="C2234">
        <v>44.6</v>
      </c>
      <c r="D2234">
        <v>44.97</v>
      </c>
      <c r="E2234">
        <v>43.74</v>
      </c>
      <c r="F2234" t="s">
        <v>2089</v>
      </c>
      <c r="G2234" s="2">
        <v>-1.2500000000000001E-2</v>
      </c>
      <c r="H2234">
        <f t="shared" si="68"/>
        <v>-1.2513966480446979E-2</v>
      </c>
      <c r="I2234">
        <f t="shared" si="69"/>
        <v>-1.259292557821586E-2</v>
      </c>
    </row>
    <row r="2235" spans="1:9" x14ac:dyDescent="0.75">
      <c r="A2235" s="1">
        <v>42572</v>
      </c>
      <c r="B2235">
        <v>44.75</v>
      </c>
      <c r="C2235">
        <v>45.65</v>
      </c>
      <c r="D2235">
        <v>46.09</v>
      </c>
      <c r="E2235">
        <v>44.52</v>
      </c>
      <c r="F2235" t="s">
        <v>2090</v>
      </c>
      <c r="G2235" s="2">
        <v>-4.1999999999999997E-3</v>
      </c>
      <c r="H2235">
        <f t="shared" si="68"/>
        <v>-4.2278593680462337E-3</v>
      </c>
      <c r="I2235">
        <f t="shared" si="69"/>
        <v>-4.2368220363187105E-3</v>
      </c>
    </row>
    <row r="2236" spans="1:9" x14ac:dyDescent="0.75">
      <c r="A2236" s="1">
        <v>42571</v>
      </c>
      <c r="B2236">
        <v>44.94</v>
      </c>
      <c r="C2236">
        <v>44.59</v>
      </c>
      <c r="D2236">
        <v>45.25</v>
      </c>
      <c r="E2236">
        <v>43.69</v>
      </c>
      <c r="F2236" t="s">
        <v>2091</v>
      </c>
      <c r="G2236" s="2">
        <v>6.4999999999999997E-3</v>
      </c>
      <c r="H2236">
        <f t="shared" si="68"/>
        <v>6.4949608062709781E-3</v>
      </c>
      <c r="I2236">
        <f t="shared" si="69"/>
        <v>6.4739594346750499E-3</v>
      </c>
    </row>
    <row r="2237" spans="1:9" x14ac:dyDescent="0.75">
      <c r="A2237" s="1">
        <v>42570</v>
      </c>
      <c r="B2237">
        <v>44.65</v>
      </c>
      <c r="C2237">
        <v>45.23</v>
      </c>
      <c r="D2237">
        <v>45.67</v>
      </c>
      <c r="E2237">
        <v>44.53</v>
      </c>
      <c r="F2237" t="s">
        <v>2092</v>
      </c>
      <c r="G2237" s="2">
        <v>-1.2999999999999999E-2</v>
      </c>
      <c r="H2237">
        <f t="shared" si="68"/>
        <v>-1.3041556145004496E-2</v>
      </c>
      <c r="I2237">
        <f t="shared" si="69"/>
        <v>-1.3127343925411695E-2</v>
      </c>
    </row>
    <row r="2238" spans="1:9" x14ac:dyDescent="0.75">
      <c r="A2238" s="1">
        <v>42569</v>
      </c>
      <c r="B2238">
        <v>45.24</v>
      </c>
      <c r="C2238">
        <v>46.12</v>
      </c>
      <c r="D2238">
        <v>46.14</v>
      </c>
      <c r="E2238">
        <v>44.86</v>
      </c>
      <c r="F2238" t="s">
        <v>2093</v>
      </c>
      <c r="G2238" s="2">
        <v>-1.55E-2</v>
      </c>
      <c r="H2238">
        <f t="shared" si="68"/>
        <v>-1.5451577801958669E-2</v>
      </c>
      <c r="I2238">
        <f t="shared" si="69"/>
        <v>-1.5572197553776417E-2</v>
      </c>
    </row>
    <row r="2239" spans="1:9" x14ac:dyDescent="0.75">
      <c r="A2239" s="1">
        <v>42566</v>
      </c>
      <c r="B2239">
        <v>45.95</v>
      </c>
      <c r="C2239">
        <v>45.52</v>
      </c>
      <c r="D2239">
        <v>46.33</v>
      </c>
      <c r="E2239">
        <v>45.05</v>
      </c>
      <c r="F2239" t="s">
        <v>2094</v>
      </c>
      <c r="G2239" s="2">
        <v>5.8999999999999999E-3</v>
      </c>
      <c r="H2239">
        <f t="shared" si="68"/>
        <v>5.910683012259263E-3</v>
      </c>
      <c r="I2239">
        <f t="shared" si="69"/>
        <v>5.8932834539413611E-3</v>
      </c>
    </row>
    <row r="2240" spans="1:9" x14ac:dyDescent="0.75">
      <c r="A2240" s="1">
        <v>42565</v>
      </c>
      <c r="B2240">
        <v>45.68</v>
      </c>
      <c r="C2240">
        <v>45.14</v>
      </c>
      <c r="D2240">
        <v>45.8</v>
      </c>
      <c r="E2240">
        <v>44.95</v>
      </c>
      <c r="F2240" t="s">
        <v>2095</v>
      </c>
      <c r="G2240" s="2">
        <v>2.0799999999999999E-2</v>
      </c>
      <c r="H2240">
        <f t="shared" si="68"/>
        <v>2.0782122905027928E-2</v>
      </c>
      <c r="I2240">
        <f t="shared" si="69"/>
        <v>2.0569120626890477E-2</v>
      </c>
    </row>
    <row r="2241" spans="1:9" x14ac:dyDescent="0.75">
      <c r="A2241" s="1">
        <v>42564</v>
      </c>
      <c r="B2241">
        <v>44.75</v>
      </c>
      <c r="C2241">
        <v>46.58</v>
      </c>
      <c r="D2241">
        <v>46.71</v>
      </c>
      <c r="E2241">
        <v>44.56</v>
      </c>
      <c r="F2241" t="s">
        <v>2096</v>
      </c>
      <c r="G2241" s="2">
        <v>-4.3799999999999999E-2</v>
      </c>
      <c r="H2241">
        <f t="shared" si="68"/>
        <v>-4.3803418803418745E-2</v>
      </c>
      <c r="I2241">
        <f t="shared" si="69"/>
        <v>-4.4791758202736627E-2</v>
      </c>
    </row>
    <row r="2242" spans="1:9" x14ac:dyDescent="0.75">
      <c r="A2242" s="1">
        <v>42563</v>
      </c>
      <c r="B2242">
        <v>46.8</v>
      </c>
      <c r="C2242">
        <v>44.58</v>
      </c>
      <c r="D2242">
        <v>46.93</v>
      </c>
      <c r="E2242">
        <v>44.51</v>
      </c>
      <c r="F2242" t="s">
        <v>2097</v>
      </c>
      <c r="G2242" s="2">
        <v>4.5600000000000002E-2</v>
      </c>
      <c r="H2242">
        <f t="shared" si="68"/>
        <v>4.5576407506702395E-2</v>
      </c>
      <c r="I2242">
        <f t="shared" si="69"/>
        <v>4.4568319479876599E-2</v>
      </c>
    </row>
    <row r="2243" spans="1:9" x14ac:dyDescent="0.75">
      <c r="A2243" s="1">
        <v>42562</v>
      </c>
      <c r="B2243">
        <v>44.76</v>
      </c>
      <c r="C2243">
        <v>45.07</v>
      </c>
      <c r="D2243">
        <v>45.77</v>
      </c>
      <c r="E2243">
        <v>44.42</v>
      </c>
      <c r="F2243" t="s">
        <v>2098</v>
      </c>
      <c r="G2243" s="2">
        <v>-1.43E-2</v>
      </c>
      <c r="H2243">
        <f t="shared" ref="H2243:H2306" si="70">(B2243-B2244)/B2244</f>
        <v>-1.4314027747192218E-2</v>
      </c>
      <c r="I2243">
        <f t="shared" ref="I2243:I2306" si="71">LN(B2243/B2244)</f>
        <v>-1.4417461666135287E-2</v>
      </c>
    </row>
    <row r="2244" spans="1:9" x14ac:dyDescent="0.75">
      <c r="A2244" s="1">
        <v>42559</v>
      </c>
      <c r="B2244">
        <v>45.41</v>
      </c>
      <c r="C2244">
        <v>45.19</v>
      </c>
      <c r="D2244">
        <v>45.97</v>
      </c>
      <c r="E2244">
        <v>44.77</v>
      </c>
      <c r="F2244" t="s">
        <v>2099</v>
      </c>
      <c r="G2244" s="2">
        <v>6.0000000000000001E-3</v>
      </c>
      <c r="H2244">
        <f t="shared" si="70"/>
        <v>5.9813912272927783E-3</v>
      </c>
      <c r="I2244">
        <f t="shared" si="71"/>
        <v>5.9635737204700567E-3</v>
      </c>
    </row>
    <row r="2245" spans="1:9" x14ac:dyDescent="0.75">
      <c r="A2245" s="1">
        <v>42558</v>
      </c>
      <c r="B2245">
        <v>45.14</v>
      </c>
      <c r="C2245">
        <v>47.88</v>
      </c>
      <c r="D2245">
        <v>48.25</v>
      </c>
      <c r="E2245">
        <v>44.87</v>
      </c>
      <c r="F2245" t="s">
        <v>2100</v>
      </c>
      <c r="G2245" s="2">
        <v>-4.8300000000000003E-2</v>
      </c>
      <c r="H2245">
        <f t="shared" si="70"/>
        <v>-4.828167826270291E-2</v>
      </c>
      <c r="I2245">
        <f t="shared" si="71"/>
        <v>-4.9486168500100687E-2</v>
      </c>
    </row>
    <row r="2246" spans="1:9" x14ac:dyDescent="0.75">
      <c r="A2246" s="1">
        <v>42557</v>
      </c>
      <c r="B2246">
        <v>47.43</v>
      </c>
      <c r="C2246">
        <v>46.83</v>
      </c>
      <c r="D2246">
        <v>47.95</v>
      </c>
      <c r="E2246">
        <v>45.92</v>
      </c>
      <c r="F2246" t="s">
        <v>2101</v>
      </c>
      <c r="G2246" s="2">
        <v>1.78E-2</v>
      </c>
      <c r="H2246">
        <f t="shared" si="70"/>
        <v>1.7811158798283225E-2</v>
      </c>
      <c r="I2246">
        <f t="shared" si="71"/>
        <v>1.76543987578901E-2</v>
      </c>
    </row>
    <row r="2247" spans="1:9" x14ac:dyDescent="0.75">
      <c r="A2247" s="1">
        <v>42556</v>
      </c>
      <c r="B2247">
        <v>46.6</v>
      </c>
      <c r="C2247">
        <v>49.11</v>
      </c>
      <c r="D2247">
        <v>49.35</v>
      </c>
      <c r="E2247">
        <v>46.33</v>
      </c>
      <c r="F2247" t="s">
        <v>2102</v>
      </c>
      <c r="G2247" s="2">
        <v>-4.2099999999999999E-2</v>
      </c>
      <c r="H2247">
        <f t="shared" si="70"/>
        <v>-4.2137718396711148E-2</v>
      </c>
      <c r="I2247">
        <f t="shared" si="71"/>
        <v>-4.305126750041377E-2</v>
      </c>
    </row>
    <row r="2248" spans="1:9" x14ac:dyDescent="0.75">
      <c r="A2248" s="1">
        <v>42555</v>
      </c>
      <c r="B2248">
        <v>48.65</v>
      </c>
      <c r="C2248">
        <v>49.01</v>
      </c>
      <c r="D2248">
        <v>49.35</v>
      </c>
      <c r="E2248">
        <v>48.54</v>
      </c>
      <c r="G2248" s="2">
        <v>-7.3000000000000001E-3</v>
      </c>
      <c r="H2248">
        <f t="shared" si="70"/>
        <v>-7.3454397061824004E-3</v>
      </c>
      <c r="I2248">
        <f t="shared" si="71"/>
        <v>-7.3725502894420505E-3</v>
      </c>
    </row>
    <row r="2249" spans="1:9" x14ac:dyDescent="0.75">
      <c r="A2249" s="1">
        <v>42554</v>
      </c>
      <c r="B2249">
        <v>49.01</v>
      </c>
      <c r="C2249">
        <v>49.14</v>
      </c>
      <c r="D2249">
        <v>49.22</v>
      </c>
      <c r="E2249">
        <v>48.94</v>
      </c>
      <c r="G2249" s="2">
        <v>4.0000000000000002E-4</v>
      </c>
      <c r="H2249">
        <f t="shared" si="70"/>
        <v>4.0824658093480343E-4</v>
      </c>
      <c r="I2249">
        <f t="shared" si="71"/>
        <v>4.0816327097255691E-4</v>
      </c>
    </row>
    <row r="2250" spans="1:9" x14ac:dyDescent="0.75">
      <c r="A2250" s="1">
        <v>42552</v>
      </c>
      <c r="B2250">
        <v>48.99</v>
      </c>
      <c r="C2250">
        <v>48.38</v>
      </c>
      <c r="D2250">
        <v>49.3</v>
      </c>
      <c r="E2250">
        <v>47.9</v>
      </c>
      <c r="F2250" t="s">
        <v>2103</v>
      </c>
      <c r="G2250" s="2">
        <v>1.37E-2</v>
      </c>
      <c r="H2250">
        <f t="shared" si="70"/>
        <v>1.365611421477351E-2</v>
      </c>
      <c r="I2250">
        <f t="shared" si="71"/>
        <v>1.3563709793490829E-2</v>
      </c>
    </row>
    <row r="2251" spans="1:9" x14ac:dyDescent="0.75">
      <c r="A2251" s="1">
        <v>42551</v>
      </c>
      <c r="B2251">
        <v>48.33</v>
      </c>
      <c r="C2251">
        <v>49.55</v>
      </c>
      <c r="D2251">
        <v>49.62</v>
      </c>
      <c r="E2251">
        <v>48.17</v>
      </c>
      <c r="F2251" t="s">
        <v>2104</v>
      </c>
      <c r="G2251" s="2">
        <v>-3.1099999999999999E-2</v>
      </c>
      <c r="H2251">
        <f t="shared" si="70"/>
        <v>-3.1074578989575063E-2</v>
      </c>
      <c r="I2251">
        <f t="shared" si="71"/>
        <v>-3.1567634954843132E-2</v>
      </c>
    </row>
    <row r="2252" spans="1:9" x14ac:dyDescent="0.75">
      <c r="A2252" s="1">
        <v>42550</v>
      </c>
      <c r="B2252">
        <v>49.88</v>
      </c>
      <c r="C2252">
        <v>48.06</v>
      </c>
      <c r="D2252">
        <v>50</v>
      </c>
      <c r="E2252">
        <v>47.98</v>
      </c>
      <c r="F2252" t="s">
        <v>2105</v>
      </c>
      <c r="G2252" s="2">
        <v>4.24E-2</v>
      </c>
      <c r="H2252">
        <f t="shared" si="70"/>
        <v>4.2424242424242448E-2</v>
      </c>
      <c r="I2252">
        <f t="shared" si="71"/>
        <v>4.1549002912872481E-2</v>
      </c>
    </row>
    <row r="2253" spans="1:9" x14ac:dyDescent="0.75">
      <c r="A2253" s="1">
        <v>42549</v>
      </c>
      <c r="B2253">
        <v>47.85</v>
      </c>
      <c r="C2253">
        <v>46.59</v>
      </c>
      <c r="D2253">
        <v>48.18</v>
      </c>
      <c r="E2253">
        <v>46.54</v>
      </c>
      <c r="F2253" t="s">
        <v>2106</v>
      </c>
      <c r="G2253" s="2">
        <v>3.2800000000000003E-2</v>
      </c>
      <c r="H2253">
        <f t="shared" si="70"/>
        <v>3.2808115691776454E-2</v>
      </c>
      <c r="I2253">
        <f t="shared" si="71"/>
        <v>3.2281418470406421E-2</v>
      </c>
    </row>
    <row r="2254" spans="1:9" x14ac:dyDescent="0.75">
      <c r="A2254" s="1">
        <v>42548</v>
      </c>
      <c r="B2254">
        <v>46.33</v>
      </c>
      <c r="C2254">
        <v>47.81</v>
      </c>
      <c r="D2254">
        <v>47.96</v>
      </c>
      <c r="E2254">
        <v>45.83</v>
      </c>
      <c r="F2254" t="s">
        <v>2107</v>
      </c>
      <c r="G2254" s="2">
        <v>-2.75E-2</v>
      </c>
      <c r="H2254">
        <f t="shared" si="70"/>
        <v>-2.7497900923593666E-2</v>
      </c>
      <c r="I2254">
        <f t="shared" si="71"/>
        <v>-2.7883045058542458E-2</v>
      </c>
    </row>
    <row r="2255" spans="1:9" x14ac:dyDescent="0.75">
      <c r="A2255" s="1">
        <v>42545</v>
      </c>
      <c r="B2255">
        <v>47.64</v>
      </c>
      <c r="C2255">
        <v>50.3</v>
      </c>
      <c r="D2255">
        <v>50.45</v>
      </c>
      <c r="E2255">
        <v>46.7</v>
      </c>
      <c r="F2255" t="s">
        <v>2108</v>
      </c>
      <c r="G2255" s="2">
        <v>-4.9299999999999997E-2</v>
      </c>
      <c r="H2255">
        <f t="shared" si="70"/>
        <v>-4.9291558571143465E-2</v>
      </c>
      <c r="I2255">
        <f t="shared" si="71"/>
        <v>-5.0547844484533859E-2</v>
      </c>
    </row>
    <row r="2256" spans="1:9" x14ac:dyDescent="0.75">
      <c r="A2256" s="1">
        <v>42544</v>
      </c>
      <c r="B2256">
        <v>50.11</v>
      </c>
      <c r="C2256">
        <v>49.08</v>
      </c>
      <c r="D2256">
        <v>50.23</v>
      </c>
      <c r="E2256">
        <v>49.08</v>
      </c>
      <c r="F2256" t="s">
        <v>2109</v>
      </c>
      <c r="G2256" s="2">
        <v>1.9900000000000001E-2</v>
      </c>
      <c r="H2256">
        <f t="shared" si="70"/>
        <v>1.9947079177691774E-2</v>
      </c>
      <c r="I2256">
        <f t="shared" si="71"/>
        <v>1.9750742791076248E-2</v>
      </c>
    </row>
    <row r="2257" spans="1:9" x14ac:dyDescent="0.75">
      <c r="A2257" s="1">
        <v>42543</v>
      </c>
      <c r="B2257">
        <v>49.13</v>
      </c>
      <c r="C2257">
        <v>50.22</v>
      </c>
      <c r="D2257">
        <v>50.54</v>
      </c>
      <c r="E2257">
        <v>48.4</v>
      </c>
      <c r="F2257" t="s">
        <v>2110</v>
      </c>
      <c r="G2257" s="2">
        <v>5.7000000000000002E-3</v>
      </c>
      <c r="H2257">
        <f t="shared" si="70"/>
        <v>5.7318321392016607E-3</v>
      </c>
      <c r="I2257">
        <f t="shared" si="71"/>
        <v>5.715467691765186E-3</v>
      </c>
    </row>
    <row r="2258" spans="1:9" x14ac:dyDescent="0.75">
      <c r="A2258" s="1">
        <v>42542</v>
      </c>
      <c r="B2258">
        <v>48.85</v>
      </c>
      <c r="C2258">
        <v>49.14</v>
      </c>
      <c r="D2258">
        <v>49.32</v>
      </c>
      <c r="E2258">
        <v>48.16</v>
      </c>
      <c r="F2258" t="s">
        <v>2111</v>
      </c>
      <c r="G2258" s="2">
        <v>-1.0500000000000001E-2</v>
      </c>
      <c r="H2258">
        <f t="shared" si="70"/>
        <v>-1.0532712173384567E-2</v>
      </c>
      <c r="I2258">
        <f t="shared" si="71"/>
        <v>-1.0588573781979709E-2</v>
      </c>
    </row>
    <row r="2259" spans="1:9" x14ac:dyDescent="0.75">
      <c r="A2259" s="1">
        <v>42541</v>
      </c>
      <c r="B2259">
        <v>49.37</v>
      </c>
      <c r="C2259">
        <v>48.29</v>
      </c>
      <c r="D2259">
        <v>49.42</v>
      </c>
      <c r="E2259">
        <v>48.14</v>
      </c>
      <c r="F2259" t="s">
        <v>2112</v>
      </c>
      <c r="G2259" s="2">
        <v>2.9000000000000001E-2</v>
      </c>
      <c r="H2259">
        <f t="shared" si="70"/>
        <v>2.8970404335139654E-2</v>
      </c>
      <c r="I2259">
        <f t="shared" si="71"/>
        <v>2.8558694859223115E-2</v>
      </c>
    </row>
    <row r="2260" spans="1:9" x14ac:dyDescent="0.75">
      <c r="A2260" s="1">
        <v>42538</v>
      </c>
      <c r="B2260">
        <v>47.98</v>
      </c>
      <c r="C2260">
        <v>45.99</v>
      </c>
      <c r="D2260">
        <v>48.29</v>
      </c>
      <c r="E2260">
        <v>45.83</v>
      </c>
      <c r="F2260" t="s">
        <v>2113</v>
      </c>
      <c r="G2260" s="2">
        <v>3.8300000000000001E-2</v>
      </c>
      <c r="H2260">
        <f t="shared" si="70"/>
        <v>3.8303397533001431E-2</v>
      </c>
      <c r="I2260">
        <f t="shared" si="71"/>
        <v>3.7588032529373372E-2</v>
      </c>
    </row>
    <row r="2261" spans="1:9" x14ac:dyDescent="0.75">
      <c r="A2261" s="1">
        <v>42537</v>
      </c>
      <c r="B2261">
        <v>46.21</v>
      </c>
      <c r="C2261">
        <v>47.45</v>
      </c>
      <c r="D2261">
        <v>47.75</v>
      </c>
      <c r="E2261">
        <v>45.91</v>
      </c>
      <c r="F2261" t="s">
        <v>2114</v>
      </c>
      <c r="G2261" s="2">
        <v>-3.7499999999999999E-2</v>
      </c>
      <c r="H2261">
        <f t="shared" si="70"/>
        <v>-3.7492189127265096E-2</v>
      </c>
      <c r="I2261">
        <f t="shared" si="71"/>
        <v>-3.821309766067385E-2</v>
      </c>
    </row>
    <row r="2262" spans="1:9" x14ac:dyDescent="0.75">
      <c r="A2262" s="1">
        <v>42536</v>
      </c>
      <c r="B2262">
        <v>48.01</v>
      </c>
      <c r="C2262">
        <v>47.9</v>
      </c>
      <c r="D2262">
        <v>48.72</v>
      </c>
      <c r="E2262">
        <v>47.28</v>
      </c>
      <c r="F2262" t="s">
        <v>2115</v>
      </c>
      <c r="G2262" s="2">
        <v>-9.9000000000000008E-3</v>
      </c>
      <c r="H2262">
        <f t="shared" si="70"/>
        <v>-9.8989482367499264E-3</v>
      </c>
      <c r="I2262">
        <f t="shared" si="71"/>
        <v>-9.9482685744120523E-3</v>
      </c>
    </row>
    <row r="2263" spans="1:9" x14ac:dyDescent="0.75">
      <c r="A2263" s="1">
        <v>42535</v>
      </c>
      <c r="B2263">
        <v>48.49</v>
      </c>
      <c r="C2263">
        <v>48.52</v>
      </c>
      <c r="D2263">
        <v>48.69</v>
      </c>
      <c r="E2263">
        <v>47.84</v>
      </c>
      <c r="F2263" t="s">
        <v>2116</v>
      </c>
      <c r="G2263" s="2">
        <v>-8.0000000000000002E-3</v>
      </c>
      <c r="H2263">
        <f t="shared" si="70"/>
        <v>-7.9787234042553307E-3</v>
      </c>
      <c r="I2263">
        <f t="shared" si="71"/>
        <v>-8.010723746078972E-3</v>
      </c>
    </row>
    <row r="2264" spans="1:9" x14ac:dyDescent="0.75">
      <c r="A2264" s="1">
        <v>42534</v>
      </c>
      <c r="B2264">
        <v>48.88</v>
      </c>
      <c r="C2264">
        <v>48.85</v>
      </c>
      <c r="D2264">
        <v>49.28</v>
      </c>
      <c r="E2264">
        <v>48.16</v>
      </c>
      <c r="F2264" t="s">
        <v>2117</v>
      </c>
      <c r="G2264" s="2">
        <v>-3.8999999999999998E-3</v>
      </c>
      <c r="H2264">
        <f t="shared" si="70"/>
        <v>-3.8720195638882763E-3</v>
      </c>
      <c r="I2264">
        <f t="shared" si="71"/>
        <v>-3.8795352384720953E-3</v>
      </c>
    </row>
    <row r="2265" spans="1:9" x14ac:dyDescent="0.75">
      <c r="A2265" s="1">
        <v>42531</v>
      </c>
      <c r="B2265">
        <v>49.07</v>
      </c>
      <c r="C2265">
        <v>50.47</v>
      </c>
      <c r="D2265">
        <v>50.73</v>
      </c>
      <c r="E2265">
        <v>48.8</v>
      </c>
      <c r="F2265" t="s">
        <v>2118</v>
      </c>
      <c r="G2265" s="2">
        <v>-2.9499999999999998E-2</v>
      </c>
      <c r="H2265">
        <f t="shared" si="70"/>
        <v>-2.9469936708860799E-2</v>
      </c>
      <c r="I2265">
        <f t="shared" si="71"/>
        <v>-2.9912899736789973E-2</v>
      </c>
    </row>
    <row r="2266" spans="1:9" x14ac:dyDescent="0.75">
      <c r="A2266" s="1">
        <v>42530</v>
      </c>
      <c r="B2266">
        <v>50.56</v>
      </c>
      <c r="C2266">
        <v>51.45</v>
      </c>
      <c r="D2266">
        <v>51.67</v>
      </c>
      <c r="E2266">
        <v>50.23</v>
      </c>
      <c r="F2266" t="s">
        <v>2119</v>
      </c>
      <c r="G2266" s="2">
        <v>-1.3100000000000001E-2</v>
      </c>
      <c r="H2266">
        <f t="shared" si="70"/>
        <v>-1.3078274448565189E-2</v>
      </c>
      <c r="I2266">
        <f t="shared" si="71"/>
        <v>-1.3164548112508884E-2</v>
      </c>
    </row>
    <row r="2267" spans="1:9" x14ac:dyDescent="0.75">
      <c r="A2267" s="1">
        <v>42529</v>
      </c>
      <c r="B2267">
        <v>51.23</v>
      </c>
      <c r="C2267">
        <v>50.41</v>
      </c>
      <c r="D2267">
        <v>51.62</v>
      </c>
      <c r="E2267">
        <v>50.32</v>
      </c>
      <c r="F2267" t="s">
        <v>2120</v>
      </c>
      <c r="G2267" s="2">
        <v>1.7299999999999999E-2</v>
      </c>
      <c r="H2267">
        <f t="shared" si="70"/>
        <v>1.727561556791099E-2</v>
      </c>
      <c r="I2267">
        <f t="shared" si="71"/>
        <v>1.7128088774964481E-2</v>
      </c>
    </row>
    <row r="2268" spans="1:9" x14ac:dyDescent="0.75">
      <c r="A2268" s="1">
        <v>42528</v>
      </c>
      <c r="B2268">
        <v>50.36</v>
      </c>
      <c r="C2268">
        <v>49.71</v>
      </c>
      <c r="D2268">
        <v>50.53</v>
      </c>
      <c r="E2268">
        <v>49.44</v>
      </c>
      <c r="F2268" t="s">
        <v>2121</v>
      </c>
      <c r="G2268" s="2">
        <v>1.35E-2</v>
      </c>
      <c r="H2268">
        <f t="shared" si="70"/>
        <v>1.3483598309519052E-2</v>
      </c>
      <c r="I2268">
        <f t="shared" si="71"/>
        <v>1.3393503561917142E-2</v>
      </c>
    </row>
    <row r="2269" spans="1:9" x14ac:dyDescent="0.75">
      <c r="A2269" s="1">
        <v>42527</v>
      </c>
      <c r="B2269">
        <v>49.69</v>
      </c>
      <c r="C2269">
        <v>48.88</v>
      </c>
      <c r="D2269">
        <v>49.9</v>
      </c>
      <c r="E2269">
        <v>48.71</v>
      </c>
      <c r="F2269" t="s">
        <v>2122</v>
      </c>
      <c r="G2269" s="2">
        <v>2.1999999999999999E-2</v>
      </c>
      <c r="H2269">
        <f t="shared" si="70"/>
        <v>2.2007404360345543E-2</v>
      </c>
      <c r="I2269">
        <f t="shared" si="71"/>
        <v>2.176873672625191E-2</v>
      </c>
    </row>
    <row r="2270" spans="1:9" x14ac:dyDescent="0.75">
      <c r="A2270" s="1">
        <v>42524</v>
      </c>
      <c r="B2270">
        <v>48.62</v>
      </c>
      <c r="C2270">
        <v>49.04</v>
      </c>
      <c r="D2270">
        <v>49.41</v>
      </c>
      <c r="E2270">
        <v>48.33</v>
      </c>
      <c r="F2270" t="s">
        <v>2123</v>
      </c>
      <c r="G2270" s="2">
        <v>-1.12E-2</v>
      </c>
      <c r="H2270">
        <f t="shared" si="70"/>
        <v>-1.118568232662201E-2</v>
      </c>
      <c r="I2270">
        <f t="shared" si="71"/>
        <v>-1.1248712535870765E-2</v>
      </c>
    </row>
    <row r="2271" spans="1:9" x14ac:dyDescent="0.75">
      <c r="A2271" s="1">
        <v>42523</v>
      </c>
      <c r="B2271">
        <v>49.17</v>
      </c>
      <c r="C2271">
        <v>48.9</v>
      </c>
      <c r="D2271">
        <v>49.47</v>
      </c>
      <c r="E2271">
        <v>47.97</v>
      </c>
      <c r="F2271" t="s">
        <v>2124</v>
      </c>
      <c r="G2271" s="2">
        <v>3.3E-3</v>
      </c>
      <c r="H2271">
        <f t="shared" si="70"/>
        <v>3.2646398694144807E-3</v>
      </c>
      <c r="I2271">
        <f t="shared" si="71"/>
        <v>3.2593225023919703E-3</v>
      </c>
    </row>
    <row r="2272" spans="1:9" x14ac:dyDescent="0.75">
      <c r="A2272" s="1">
        <v>42522</v>
      </c>
      <c r="B2272">
        <v>49.01</v>
      </c>
      <c r="C2272">
        <v>48.82</v>
      </c>
      <c r="D2272">
        <v>49.25</v>
      </c>
      <c r="E2272">
        <v>47.75</v>
      </c>
      <c r="F2272" t="s">
        <v>2125</v>
      </c>
      <c r="G2272" s="2">
        <v>-1.8E-3</v>
      </c>
      <c r="H2272">
        <f t="shared" si="70"/>
        <v>-1.832993890020436E-3</v>
      </c>
      <c r="I2272">
        <f t="shared" si="71"/>
        <v>-1.8346758790188482E-3</v>
      </c>
    </row>
    <row r="2273" spans="1:9" x14ac:dyDescent="0.75">
      <c r="A2273" s="1">
        <v>42521</v>
      </c>
      <c r="B2273">
        <v>49.1</v>
      </c>
      <c r="C2273">
        <v>49.54</v>
      </c>
      <c r="D2273">
        <v>50.1</v>
      </c>
      <c r="E2273">
        <v>48.81</v>
      </c>
      <c r="F2273" t="s">
        <v>2126</v>
      </c>
      <c r="G2273" s="2">
        <v>-8.3000000000000001E-3</v>
      </c>
      <c r="H2273">
        <f t="shared" si="70"/>
        <v>-8.281155322157072E-3</v>
      </c>
      <c r="I2273">
        <f t="shared" si="71"/>
        <v>-8.3156345728567678E-3</v>
      </c>
    </row>
    <row r="2274" spans="1:9" x14ac:dyDescent="0.75">
      <c r="A2274" s="1">
        <v>42520</v>
      </c>
      <c r="B2274">
        <v>49.51</v>
      </c>
      <c r="C2274">
        <v>49.56</v>
      </c>
      <c r="D2274">
        <v>49.75</v>
      </c>
      <c r="E2274">
        <v>49.08</v>
      </c>
      <c r="G2274" s="2">
        <v>-1.4E-3</v>
      </c>
      <c r="H2274">
        <f t="shared" si="70"/>
        <v>-1.4118596208148504E-3</v>
      </c>
      <c r="I2274">
        <f t="shared" si="71"/>
        <v>-1.4128572337127198E-3</v>
      </c>
    </row>
    <row r="2275" spans="1:9" x14ac:dyDescent="0.75">
      <c r="A2275" s="1">
        <v>42519</v>
      </c>
      <c r="B2275">
        <v>49.58</v>
      </c>
      <c r="C2275">
        <v>49.54</v>
      </c>
      <c r="D2275">
        <v>49.71</v>
      </c>
      <c r="E2275">
        <v>49.54</v>
      </c>
      <c r="G2275" s="2">
        <v>5.1000000000000004E-3</v>
      </c>
      <c r="H2275">
        <f t="shared" si="70"/>
        <v>5.067909993918508E-3</v>
      </c>
      <c r="I2275">
        <f t="shared" si="71"/>
        <v>5.0551113613976507E-3</v>
      </c>
    </row>
    <row r="2276" spans="1:9" x14ac:dyDescent="0.75">
      <c r="A2276" s="1">
        <v>42517</v>
      </c>
      <c r="B2276">
        <v>49.33</v>
      </c>
      <c r="C2276">
        <v>49.31</v>
      </c>
      <c r="D2276">
        <v>49.6</v>
      </c>
      <c r="E2276">
        <v>48.69</v>
      </c>
      <c r="F2276" t="s">
        <v>2127</v>
      </c>
      <c r="G2276" s="2">
        <v>-3.0000000000000001E-3</v>
      </c>
      <c r="H2276">
        <f t="shared" si="70"/>
        <v>-3.0315278900565601E-3</v>
      </c>
      <c r="I2276">
        <f t="shared" si="71"/>
        <v>-3.0361322786402424E-3</v>
      </c>
    </row>
    <row r="2277" spans="1:9" x14ac:dyDescent="0.75">
      <c r="A2277" s="1">
        <v>42516</v>
      </c>
      <c r="B2277">
        <v>49.48</v>
      </c>
      <c r="C2277">
        <v>49.7</v>
      </c>
      <c r="D2277">
        <v>50.21</v>
      </c>
      <c r="E2277">
        <v>49.22</v>
      </c>
      <c r="F2277" t="s">
        <v>2128</v>
      </c>
      <c r="G2277" s="2">
        <v>-1.6000000000000001E-3</v>
      </c>
      <c r="H2277">
        <f t="shared" si="70"/>
        <v>-1.6142050040356213E-3</v>
      </c>
      <c r="I2277">
        <f t="shared" si="71"/>
        <v>-1.6155092366546757E-3</v>
      </c>
    </row>
    <row r="2278" spans="1:9" x14ac:dyDescent="0.75">
      <c r="A2278" s="1">
        <v>42515</v>
      </c>
      <c r="B2278">
        <v>49.56</v>
      </c>
      <c r="C2278">
        <v>49.09</v>
      </c>
      <c r="D2278">
        <v>49.75</v>
      </c>
      <c r="E2278">
        <v>48.65</v>
      </c>
      <c r="F2278" t="s">
        <v>2129</v>
      </c>
      <c r="G2278" s="2">
        <v>1.9300000000000001E-2</v>
      </c>
      <c r="H2278">
        <f t="shared" si="70"/>
        <v>1.9333607568901786E-2</v>
      </c>
      <c r="I2278">
        <f t="shared" si="71"/>
        <v>1.9149087872964387E-2</v>
      </c>
    </row>
    <row r="2279" spans="1:9" x14ac:dyDescent="0.75">
      <c r="A2279" s="1">
        <v>42514</v>
      </c>
      <c r="B2279">
        <v>48.62</v>
      </c>
      <c r="C2279">
        <v>48.08</v>
      </c>
      <c r="D2279">
        <v>49.27</v>
      </c>
      <c r="E2279">
        <v>47.64</v>
      </c>
      <c r="F2279" t="s">
        <v>2130</v>
      </c>
      <c r="G2279" s="2">
        <v>1.12E-2</v>
      </c>
      <c r="H2279">
        <f t="shared" si="70"/>
        <v>1.1231281198003311E-2</v>
      </c>
      <c r="I2279">
        <f t="shared" si="71"/>
        <v>1.1168678661025153E-2</v>
      </c>
    </row>
    <row r="2280" spans="1:9" x14ac:dyDescent="0.75">
      <c r="A2280" s="1">
        <v>42513</v>
      </c>
      <c r="B2280">
        <v>48.08</v>
      </c>
      <c r="C2280">
        <v>48.46</v>
      </c>
      <c r="D2280">
        <v>48.5</v>
      </c>
      <c r="E2280">
        <v>47.4</v>
      </c>
      <c r="F2280" t="s">
        <v>2131</v>
      </c>
      <c r="G2280" s="2">
        <v>6.8999999999999999E-3</v>
      </c>
      <c r="H2280">
        <f t="shared" si="70"/>
        <v>6.9109947643978698E-3</v>
      </c>
      <c r="I2280">
        <f t="shared" si="71"/>
        <v>6.8872233002129166E-3</v>
      </c>
    </row>
    <row r="2281" spans="1:9" x14ac:dyDescent="0.75">
      <c r="A2281" s="1">
        <v>42510</v>
      </c>
      <c r="B2281">
        <v>47.75</v>
      </c>
      <c r="C2281">
        <v>48.2</v>
      </c>
      <c r="D2281">
        <v>48.79</v>
      </c>
      <c r="E2281">
        <v>47.44</v>
      </c>
      <c r="F2281" t="s">
        <v>2132</v>
      </c>
      <c r="G2281" s="2">
        <v>-8.5000000000000006E-3</v>
      </c>
      <c r="H2281">
        <f t="shared" si="70"/>
        <v>-8.5132890365447796E-3</v>
      </c>
      <c r="I2281">
        <f t="shared" si="71"/>
        <v>-8.5497340738262956E-3</v>
      </c>
    </row>
    <row r="2282" spans="1:9" x14ac:dyDescent="0.75">
      <c r="A2282" s="1">
        <v>42509</v>
      </c>
      <c r="B2282">
        <v>48.16</v>
      </c>
      <c r="C2282">
        <v>47.87</v>
      </c>
      <c r="D2282">
        <v>48.28</v>
      </c>
      <c r="E2282">
        <v>46.73</v>
      </c>
      <c r="F2282" t="s">
        <v>2133</v>
      </c>
      <c r="G2282" s="2">
        <v>-5.9999999999999995E-4</v>
      </c>
      <c r="H2282">
        <f t="shared" si="70"/>
        <v>-6.2253579580828257E-4</v>
      </c>
      <c r="I2282">
        <f t="shared" si="71"/>
        <v>-6.2272965167580548E-4</v>
      </c>
    </row>
    <row r="2283" spans="1:9" x14ac:dyDescent="0.75">
      <c r="A2283" s="1">
        <v>42508</v>
      </c>
      <c r="B2283">
        <v>48.19</v>
      </c>
      <c r="C2283">
        <v>48.53</v>
      </c>
      <c r="D2283">
        <v>48.95</v>
      </c>
      <c r="E2283">
        <v>47.75</v>
      </c>
      <c r="F2283" t="s">
        <v>2134</v>
      </c>
      <c r="G2283" s="2">
        <v>-2.5000000000000001E-3</v>
      </c>
      <c r="H2283">
        <f t="shared" si="70"/>
        <v>-2.4839577727179579E-3</v>
      </c>
      <c r="I2283">
        <f t="shared" si="71"/>
        <v>-2.487047914073988E-3</v>
      </c>
    </row>
    <row r="2284" spans="1:9" x14ac:dyDescent="0.75">
      <c r="A2284" s="1">
        <v>42507</v>
      </c>
      <c r="B2284">
        <v>48.31</v>
      </c>
      <c r="C2284">
        <v>47.9</v>
      </c>
      <c r="D2284">
        <v>48.76</v>
      </c>
      <c r="E2284">
        <v>47.53</v>
      </c>
      <c r="F2284" t="s">
        <v>2135</v>
      </c>
      <c r="G2284" s="2">
        <v>1.24E-2</v>
      </c>
      <c r="H2284">
        <f t="shared" si="70"/>
        <v>1.2363788767812309E-2</v>
      </c>
      <c r="I2284">
        <f t="shared" si="71"/>
        <v>1.2287981336599998E-2</v>
      </c>
    </row>
    <row r="2285" spans="1:9" x14ac:dyDescent="0.75">
      <c r="A2285" s="1">
        <v>42506</v>
      </c>
      <c r="B2285">
        <v>47.72</v>
      </c>
      <c r="C2285">
        <v>46.28</v>
      </c>
      <c r="D2285">
        <v>47.98</v>
      </c>
      <c r="E2285">
        <v>46.15</v>
      </c>
      <c r="F2285" t="s">
        <v>2136</v>
      </c>
      <c r="G2285" s="2">
        <v>3.27E-2</v>
      </c>
      <c r="H2285">
        <f t="shared" si="70"/>
        <v>3.2676909759792212E-2</v>
      </c>
      <c r="I2285">
        <f t="shared" si="71"/>
        <v>3.2154372347540414E-2</v>
      </c>
    </row>
    <row r="2286" spans="1:9" x14ac:dyDescent="0.75">
      <c r="A2286" s="1">
        <v>42503</v>
      </c>
      <c r="B2286">
        <v>46.21</v>
      </c>
      <c r="C2286">
        <v>46.41</v>
      </c>
      <c r="D2286">
        <v>46.49</v>
      </c>
      <c r="E2286">
        <v>45.75</v>
      </c>
      <c r="F2286" t="s">
        <v>2137</v>
      </c>
      <c r="G2286" s="2">
        <v>-1.0500000000000001E-2</v>
      </c>
      <c r="H2286">
        <f t="shared" si="70"/>
        <v>-1.0492505353319101E-2</v>
      </c>
      <c r="I2286">
        <f t="shared" si="71"/>
        <v>-1.0547939792676693E-2</v>
      </c>
    </row>
    <row r="2287" spans="1:9" x14ac:dyDescent="0.75">
      <c r="A2287" s="1">
        <v>42502</v>
      </c>
      <c r="B2287">
        <v>46.7</v>
      </c>
      <c r="C2287">
        <v>46</v>
      </c>
      <c r="D2287">
        <v>47.02</v>
      </c>
      <c r="E2287">
        <v>45.61</v>
      </c>
      <c r="F2287" t="s">
        <v>2138</v>
      </c>
      <c r="G2287" s="2">
        <v>1.0200000000000001E-2</v>
      </c>
      <c r="H2287">
        <f t="shared" si="70"/>
        <v>1.0166558511789011E-2</v>
      </c>
      <c r="I2287">
        <f t="shared" si="71"/>
        <v>1.0115226674717608E-2</v>
      </c>
    </row>
    <row r="2288" spans="1:9" x14ac:dyDescent="0.75">
      <c r="A2288" s="1">
        <v>42501</v>
      </c>
      <c r="B2288">
        <v>46.23</v>
      </c>
      <c r="C2288">
        <v>44.6</v>
      </c>
      <c r="D2288">
        <v>46.36</v>
      </c>
      <c r="E2288">
        <v>43.96</v>
      </c>
      <c r="F2288" t="s">
        <v>2139</v>
      </c>
      <c r="G2288" s="2">
        <v>3.5200000000000002E-2</v>
      </c>
      <c r="H2288">
        <f t="shared" si="70"/>
        <v>3.5154500671742063E-2</v>
      </c>
      <c r="I2288">
        <f t="shared" si="71"/>
        <v>3.4550691588122177E-2</v>
      </c>
    </row>
    <row r="2289" spans="1:9" x14ac:dyDescent="0.75">
      <c r="A2289" s="1">
        <v>42500</v>
      </c>
      <c r="B2289">
        <v>44.66</v>
      </c>
      <c r="C2289">
        <v>43.25</v>
      </c>
      <c r="D2289">
        <v>44.79</v>
      </c>
      <c r="E2289">
        <v>43.03</v>
      </c>
      <c r="F2289" t="s">
        <v>2140</v>
      </c>
      <c r="G2289" s="2">
        <v>2.81E-2</v>
      </c>
      <c r="H2289">
        <f t="shared" si="70"/>
        <v>2.8084714548802923E-2</v>
      </c>
      <c r="I2289">
        <f t="shared" si="71"/>
        <v>2.7697570786331886E-2</v>
      </c>
    </row>
    <row r="2290" spans="1:9" x14ac:dyDescent="0.75">
      <c r="A2290" s="1">
        <v>42499</v>
      </c>
      <c r="B2290">
        <v>43.44</v>
      </c>
      <c r="C2290">
        <v>45</v>
      </c>
      <c r="D2290">
        <v>45.94</v>
      </c>
      <c r="E2290">
        <v>43.24</v>
      </c>
      <c r="F2290" t="s">
        <v>2141</v>
      </c>
      <c r="G2290" s="2">
        <v>-2.7300000000000001E-2</v>
      </c>
      <c r="H2290">
        <f t="shared" si="70"/>
        <v>-2.7317510076130744E-2</v>
      </c>
      <c r="I2290">
        <f t="shared" si="71"/>
        <v>-2.7697570786331754E-2</v>
      </c>
    </row>
    <row r="2291" spans="1:9" x14ac:dyDescent="0.75">
      <c r="A2291" s="1">
        <v>42496</v>
      </c>
      <c r="B2291">
        <v>44.66</v>
      </c>
      <c r="C2291">
        <v>44.52</v>
      </c>
      <c r="D2291">
        <v>45.34</v>
      </c>
      <c r="E2291">
        <v>43.54</v>
      </c>
      <c r="F2291" t="s">
        <v>2142</v>
      </c>
      <c r="G2291" s="2">
        <v>7.7000000000000002E-3</v>
      </c>
      <c r="H2291">
        <f t="shared" si="70"/>
        <v>7.6714801444042486E-3</v>
      </c>
      <c r="I2291">
        <f t="shared" si="71"/>
        <v>7.6422039729833365E-3</v>
      </c>
    </row>
    <row r="2292" spans="1:9" x14ac:dyDescent="0.75">
      <c r="A2292" s="1">
        <v>42495</v>
      </c>
      <c r="B2292">
        <v>44.32</v>
      </c>
      <c r="C2292">
        <v>44.04</v>
      </c>
      <c r="D2292">
        <v>46.07</v>
      </c>
      <c r="E2292">
        <v>43.96</v>
      </c>
      <c r="F2292" t="s">
        <v>2143</v>
      </c>
      <c r="G2292" s="2">
        <v>1.23E-2</v>
      </c>
      <c r="H2292">
        <f t="shared" si="70"/>
        <v>1.2334399269072616E-2</v>
      </c>
      <c r="I2292">
        <f t="shared" si="71"/>
        <v>1.2258950344311391E-2</v>
      </c>
    </row>
    <row r="2293" spans="1:9" x14ac:dyDescent="0.75">
      <c r="A2293" s="1">
        <v>42494</v>
      </c>
      <c r="B2293">
        <v>43.78</v>
      </c>
      <c r="C2293">
        <v>43.85</v>
      </c>
      <c r="D2293">
        <v>44.88</v>
      </c>
      <c r="E2293">
        <v>43.22</v>
      </c>
      <c r="F2293" t="s">
        <v>2144</v>
      </c>
      <c r="G2293" s="2">
        <v>3.0000000000000001E-3</v>
      </c>
      <c r="H2293">
        <f t="shared" si="70"/>
        <v>2.9782359679267484E-3</v>
      </c>
      <c r="I2293">
        <f t="shared" si="71"/>
        <v>2.9738098091056588E-3</v>
      </c>
    </row>
    <row r="2294" spans="1:9" x14ac:dyDescent="0.75">
      <c r="A2294" s="1">
        <v>42493</v>
      </c>
      <c r="B2294">
        <v>43.65</v>
      </c>
      <c r="C2294">
        <v>44.92</v>
      </c>
      <c r="D2294">
        <v>45.35</v>
      </c>
      <c r="E2294">
        <v>43.32</v>
      </c>
      <c r="F2294" t="s">
        <v>2145</v>
      </c>
      <c r="G2294" s="2">
        <v>-2.52E-2</v>
      </c>
      <c r="H2294">
        <f t="shared" si="70"/>
        <v>-2.5234479678427926E-2</v>
      </c>
      <c r="I2294">
        <f t="shared" si="71"/>
        <v>-2.5558328884997646E-2</v>
      </c>
    </row>
    <row r="2295" spans="1:9" x14ac:dyDescent="0.75">
      <c r="A2295" s="1">
        <v>42492</v>
      </c>
      <c r="B2295">
        <v>44.78</v>
      </c>
      <c r="C2295">
        <v>45.9</v>
      </c>
      <c r="D2295">
        <v>46.15</v>
      </c>
      <c r="E2295">
        <v>44.54</v>
      </c>
      <c r="F2295" t="s">
        <v>2146</v>
      </c>
      <c r="G2295" s="2">
        <v>-2.4799999999999999E-2</v>
      </c>
      <c r="H2295">
        <f t="shared" si="70"/>
        <v>-2.4825783972125447E-2</v>
      </c>
      <c r="I2295">
        <f t="shared" si="71"/>
        <v>-2.51391408407022E-2</v>
      </c>
    </row>
    <row r="2296" spans="1:9" x14ac:dyDescent="0.75">
      <c r="A2296" s="1">
        <v>42489</v>
      </c>
      <c r="B2296">
        <v>45.92</v>
      </c>
      <c r="C2296">
        <v>45.9</v>
      </c>
      <c r="D2296">
        <v>46.78</v>
      </c>
      <c r="E2296">
        <v>45.24</v>
      </c>
      <c r="F2296" t="s">
        <v>2147</v>
      </c>
      <c r="G2296" s="2">
        <v>-2.3999999999999998E-3</v>
      </c>
      <c r="H2296">
        <f t="shared" si="70"/>
        <v>-2.389745817944806E-3</v>
      </c>
      <c r="I2296">
        <f t="shared" si="71"/>
        <v>-2.3926058178390928E-3</v>
      </c>
    </row>
    <row r="2297" spans="1:9" x14ac:dyDescent="0.75">
      <c r="A2297" s="1">
        <v>42488</v>
      </c>
      <c r="B2297">
        <v>46.03</v>
      </c>
      <c r="C2297">
        <v>45.3</v>
      </c>
      <c r="D2297">
        <v>46.14</v>
      </c>
      <c r="E2297">
        <v>44.94</v>
      </c>
      <c r="F2297" t="s">
        <v>2148</v>
      </c>
      <c r="G2297" s="2">
        <v>1.54E-2</v>
      </c>
      <c r="H2297">
        <f t="shared" si="70"/>
        <v>1.5442311934701145E-2</v>
      </c>
      <c r="I2297">
        <f t="shared" si="71"/>
        <v>1.5324292876392229E-2</v>
      </c>
    </row>
    <row r="2298" spans="1:9" x14ac:dyDescent="0.75">
      <c r="A2298" s="1">
        <v>42487</v>
      </c>
      <c r="B2298">
        <v>45.33</v>
      </c>
      <c r="C2298">
        <v>44.64</v>
      </c>
      <c r="D2298">
        <v>45.62</v>
      </c>
      <c r="E2298">
        <v>43.77</v>
      </c>
      <c r="F2298" t="s">
        <v>2149</v>
      </c>
      <c r="G2298" s="2">
        <v>2.93E-2</v>
      </c>
      <c r="H2298">
        <f t="shared" si="70"/>
        <v>2.9291553133514968E-2</v>
      </c>
      <c r="I2298">
        <f t="shared" si="71"/>
        <v>2.8870753098278641E-2</v>
      </c>
    </row>
    <row r="2299" spans="1:9" x14ac:dyDescent="0.75">
      <c r="A2299" s="1">
        <v>42486</v>
      </c>
      <c r="B2299">
        <v>44.04</v>
      </c>
      <c r="C2299">
        <v>42.96</v>
      </c>
      <c r="D2299">
        <v>44.83</v>
      </c>
      <c r="E2299">
        <v>42.5</v>
      </c>
      <c r="F2299" t="s">
        <v>2150</v>
      </c>
      <c r="G2299" s="2">
        <v>3.2800000000000003E-2</v>
      </c>
      <c r="H2299">
        <f t="shared" si="70"/>
        <v>3.2833020637898655E-2</v>
      </c>
      <c r="I2299">
        <f t="shared" si="71"/>
        <v>3.2305531996890041E-2</v>
      </c>
    </row>
    <row r="2300" spans="1:9" x14ac:dyDescent="0.75">
      <c r="A2300" s="1">
        <v>42485</v>
      </c>
      <c r="B2300">
        <v>42.64</v>
      </c>
      <c r="C2300">
        <v>43.75</v>
      </c>
      <c r="D2300">
        <v>44.04</v>
      </c>
      <c r="E2300">
        <v>42.58</v>
      </c>
      <c r="F2300" t="s">
        <v>2151</v>
      </c>
      <c r="G2300" s="2">
        <v>-2.4899999999999999E-2</v>
      </c>
      <c r="H2300">
        <f t="shared" si="70"/>
        <v>-2.4925680310999232E-2</v>
      </c>
      <c r="I2300">
        <f t="shared" si="71"/>
        <v>-2.5241585567239988E-2</v>
      </c>
    </row>
    <row r="2301" spans="1:9" x14ac:dyDescent="0.75">
      <c r="A2301" s="1">
        <v>42482</v>
      </c>
      <c r="B2301">
        <v>43.73</v>
      </c>
      <c r="C2301">
        <v>43.42</v>
      </c>
      <c r="D2301">
        <v>44.45</v>
      </c>
      <c r="E2301">
        <v>43.11</v>
      </c>
      <c r="F2301" t="s">
        <v>2152</v>
      </c>
      <c r="G2301" s="2">
        <v>1.2699999999999999E-2</v>
      </c>
      <c r="H2301">
        <f t="shared" si="70"/>
        <v>1.2737378415933236E-2</v>
      </c>
      <c r="I2301">
        <f t="shared" si="71"/>
        <v>1.2656940338167886E-2</v>
      </c>
    </row>
    <row r="2302" spans="1:9" x14ac:dyDescent="0.75">
      <c r="A2302" s="1">
        <v>42481</v>
      </c>
      <c r="B2302">
        <v>43.18</v>
      </c>
      <c r="C2302">
        <v>43.97</v>
      </c>
      <c r="D2302">
        <v>44.49</v>
      </c>
      <c r="E2302">
        <v>43.05</v>
      </c>
      <c r="F2302" t="s">
        <v>2153</v>
      </c>
      <c r="G2302" s="2">
        <v>1.29E-2</v>
      </c>
      <c r="H2302">
        <f t="shared" si="70"/>
        <v>1.2901712409101504E-2</v>
      </c>
      <c r="I2302">
        <f t="shared" si="71"/>
        <v>1.2819194309542302E-2</v>
      </c>
    </row>
    <row r="2303" spans="1:9" x14ac:dyDescent="0.75">
      <c r="A2303" s="1">
        <v>42480</v>
      </c>
      <c r="B2303">
        <v>42.63</v>
      </c>
      <c r="C2303">
        <v>40.799999999999997</v>
      </c>
      <c r="D2303">
        <v>42.91</v>
      </c>
      <c r="E2303">
        <v>39.85</v>
      </c>
      <c r="F2303" t="s">
        <v>2154</v>
      </c>
      <c r="G2303" s="2">
        <v>3.7699999999999997E-2</v>
      </c>
      <c r="H2303">
        <f t="shared" si="70"/>
        <v>3.7731256085686574E-2</v>
      </c>
      <c r="I2303">
        <f t="shared" si="71"/>
        <v>3.7036845716761621E-2</v>
      </c>
    </row>
    <row r="2304" spans="1:9" x14ac:dyDescent="0.75">
      <c r="A2304" s="1">
        <v>42479</v>
      </c>
      <c r="B2304">
        <v>41.08</v>
      </c>
      <c r="C2304">
        <v>40.04</v>
      </c>
      <c r="D2304">
        <v>41.53</v>
      </c>
      <c r="E2304">
        <v>39.58</v>
      </c>
      <c r="F2304" t="s">
        <v>2155</v>
      </c>
      <c r="G2304" s="2">
        <v>3.27E-2</v>
      </c>
      <c r="H2304">
        <f t="shared" si="70"/>
        <v>3.2679738562091429E-2</v>
      </c>
      <c r="I2304">
        <f t="shared" si="71"/>
        <v>3.2157111634531228E-2</v>
      </c>
    </row>
    <row r="2305" spans="1:9" x14ac:dyDescent="0.75">
      <c r="A2305" s="1">
        <v>42478</v>
      </c>
      <c r="B2305">
        <v>39.78</v>
      </c>
      <c r="C2305">
        <v>38.75</v>
      </c>
      <c r="D2305">
        <v>40.24</v>
      </c>
      <c r="E2305">
        <v>37.61</v>
      </c>
      <c r="F2305" t="s">
        <v>2156</v>
      </c>
      <c r="G2305" s="2">
        <v>-1.44E-2</v>
      </c>
      <c r="H2305">
        <f t="shared" si="70"/>
        <v>-1.4370664023785885E-2</v>
      </c>
      <c r="I2305">
        <f t="shared" si="71"/>
        <v>-1.4474922059581978E-2</v>
      </c>
    </row>
    <row r="2306" spans="1:9" x14ac:dyDescent="0.75">
      <c r="A2306" s="1">
        <v>42475</v>
      </c>
      <c r="B2306">
        <v>40.36</v>
      </c>
      <c r="C2306">
        <v>41.43</v>
      </c>
      <c r="D2306">
        <v>41.73</v>
      </c>
      <c r="E2306">
        <v>39.979999999999997</v>
      </c>
      <c r="F2306" t="s">
        <v>2157</v>
      </c>
      <c r="G2306" s="2">
        <v>-2.75E-2</v>
      </c>
      <c r="H2306">
        <f t="shared" si="70"/>
        <v>-2.7469879518072303E-2</v>
      </c>
      <c r="I2306">
        <f t="shared" si="71"/>
        <v>-2.7854231751244456E-2</v>
      </c>
    </row>
    <row r="2307" spans="1:9" x14ac:dyDescent="0.75">
      <c r="A2307" s="1">
        <v>42474</v>
      </c>
      <c r="B2307">
        <v>41.5</v>
      </c>
      <c r="C2307">
        <v>41.54</v>
      </c>
      <c r="D2307">
        <v>42.16</v>
      </c>
      <c r="E2307">
        <v>40.840000000000003</v>
      </c>
      <c r="F2307" t="s">
        <v>2158</v>
      </c>
      <c r="G2307" s="2">
        <v>-6.1999999999999998E-3</v>
      </c>
      <c r="H2307">
        <f t="shared" ref="H2307:H2370" si="72">(B2307-B2308)/B2308</f>
        <v>-6.2260536398466961E-3</v>
      </c>
      <c r="I2307">
        <f t="shared" ref="I2307:I2370" si="73">LN(B2307/B2308)</f>
        <v>-6.2455163377306624E-3</v>
      </c>
    </row>
    <row r="2308" spans="1:9" x14ac:dyDescent="0.75">
      <c r="A2308" s="1">
        <v>42473</v>
      </c>
      <c r="B2308">
        <v>41.76</v>
      </c>
      <c r="C2308">
        <v>41.63</v>
      </c>
      <c r="D2308">
        <v>42.42</v>
      </c>
      <c r="E2308">
        <v>41.24</v>
      </c>
      <c r="F2308" t="s">
        <v>2159</v>
      </c>
      <c r="G2308" s="2">
        <v>-9.7000000000000003E-3</v>
      </c>
      <c r="H2308">
        <f t="shared" si="72"/>
        <v>-9.7225515769505267E-3</v>
      </c>
      <c r="I2308">
        <f t="shared" si="73"/>
        <v>-9.7701241840853423E-3</v>
      </c>
    </row>
    <row r="2309" spans="1:9" x14ac:dyDescent="0.75">
      <c r="A2309" s="1">
        <v>42472</v>
      </c>
      <c r="B2309">
        <v>42.17</v>
      </c>
      <c r="C2309">
        <v>40.35</v>
      </c>
      <c r="D2309">
        <v>42.25</v>
      </c>
      <c r="E2309">
        <v>40.090000000000003</v>
      </c>
      <c r="F2309" t="s">
        <v>2160</v>
      </c>
      <c r="G2309" s="2">
        <v>4.48E-2</v>
      </c>
      <c r="H2309">
        <f t="shared" si="72"/>
        <v>4.4846382556987176E-2</v>
      </c>
      <c r="I2309">
        <f t="shared" si="73"/>
        <v>4.3869872273060308E-2</v>
      </c>
    </row>
    <row r="2310" spans="1:9" x14ac:dyDescent="0.75">
      <c r="A2310" s="1">
        <v>42471</v>
      </c>
      <c r="B2310">
        <v>40.36</v>
      </c>
      <c r="C2310">
        <v>39.72</v>
      </c>
      <c r="D2310">
        <v>40.75</v>
      </c>
      <c r="E2310">
        <v>39.25</v>
      </c>
      <c r="F2310" t="s">
        <v>2161</v>
      </c>
      <c r="G2310" s="2">
        <v>1.61E-2</v>
      </c>
      <c r="H2310">
        <f t="shared" si="72"/>
        <v>1.6112789526686822E-2</v>
      </c>
      <c r="I2310">
        <f t="shared" si="73"/>
        <v>1.5984356308436379E-2</v>
      </c>
    </row>
    <row r="2311" spans="1:9" x14ac:dyDescent="0.75">
      <c r="A2311" s="1">
        <v>42468</v>
      </c>
      <c r="B2311">
        <v>39.72</v>
      </c>
      <c r="C2311">
        <v>37.520000000000003</v>
      </c>
      <c r="D2311">
        <v>39.840000000000003</v>
      </c>
      <c r="E2311">
        <v>37.450000000000003</v>
      </c>
      <c r="F2311" t="s">
        <v>2162</v>
      </c>
      <c r="G2311" s="2">
        <v>6.6000000000000003E-2</v>
      </c>
      <c r="H2311">
        <f t="shared" si="72"/>
        <v>6.6022544283413878E-2</v>
      </c>
      <c r="I2311">
        <f t="shared" si="73"/>
        <v>6.3934474003529515E-2</v>
      </c>
    </row>
    <row r="2312" spans="1:9" x14ac:dyDescent="0.75">
      <c r="A2312" s="1">
        <v>42467</v>
      </c>
      <c r="B2312">
        <v>37.26</v>
      </c>
      <c r="C2312">
        <v>37.76</v>
      </c>
      <c r="D2312">
        <v>38.299999999999997</v>
      </c>
      <c r="E2312">
        <v>36.69</v>
      </c>
      <c r="F2312" t="s">
        <v>2163</v>
      </c>
      <c r="G2312" s="2">
        <v>-1.2999999999999999E-2</v>
      </c>
      <c r="H2312">
        <f t="shared" si="72"/>
        <v>-1.2980132450331179E-2</v>
      </c>
      <c r="I2312">
        <f t="shared" si="73"/>
        <v>-1.3065110521591325E-2</v>
      </c>
    </row>
    <row r="2313" spans="1:9" x14ac:dyDescent="0.75">
      <c r="A2313" s="1">
        <v>42466</v>
      </c>
      <c r="B2313">
        <v>37.75</v>
      </c>
      <c r="C2313">
        <v>36.520000000000003</v>
      </c>
      <c r="D2313">
        <v>37.9</v>
      </c>
      <c r="E2313">
        <v>36.43</v>
      </c>
      <c r="F2313" t="s">
        <v>2164</v>
      </c>
      <c r="G2313" s="2">
        <v>5.1799999999999999E-2</v>
      </c>
      <c r="H2313">
        <f t="shared" si="72"/>
        <v>5.1825020897185832E-2</v>
      </c>
      <c r="I2313">
        <f t="shared" si="73"/>
        <v>5.052677053551774E-2</v>
      </c>
    </row>
    <row r="2314" spans="1:9" x14ac:dyDescent="0.75">
      <c r="A2314" s="1">
        <v>42465</v>
      </c>
      <c r="B2314">
        <v>35.89</v>
      </c>
      <c r="C2314">
        <v>35.5</v>
      </c>
      <c r="D2314">
        <v>36.58</v>
      </c>
      <c r="E2314">
        <v>35.24</v>
      </c>
      <c r="F2314" t="s">
        <v>2165</v>
      </c>
      <c r="G2314" s="2">
        <v>5.3E-3</v>
      </c>
      <c r="H2314">
        <f t="shared" si="72"/>
        <v>5.3221288515405522E-3</v>
      </c>
      <c r="I2314">
        <f t="shared" si="73"/>
        <v>5.3080163739224872E-3</v>
      </c>
    </row>
    <row r="2315" spans="1:9" x14ac:dyDescent="0.75">
      <c r="A2315" s="1">
        <v>42464</v>
      </c>
      <c r="B2315">
        <v>35.700000000000003</v>
      </c>
      <c r="C2315">
        <v>36.61</v>
      </c>
      <c r="D2315">
        <v>37.21</v>
      </c>
      <c r="E2315">
        <v>35.46</v>
      </c>
      <c r="F2315" t="s">
        <v>2166</v>
      </c>
      <c r="G2315" s="2">
        <v>-2.9600000000000001E-2</v>
      </c>
      <c r="H2315">
        <f t="shared" si="72"/>
        <v>-2.9627616200054264E-2</v>
      </c>
      <c r="I2315">
        <f t="shared" si="73"/>
        <v>-3.0075380331089509E-2</v>
      </c>
    </row>
    <row r="2316" spans="1:9" x14ac:dyDescent="0.75">
      <c r="A2316" s="1">
        <v>42461</v>
      </c>
      <c r="B2316">
        <v>36.79</v>
      </c>
      <c r="C2316">
        <v>38.14</v>
      </c>
      <c r="D2316">
        <v>38.56</v>
      </c>
      <c r="E2316">
        <v>36.630000000000003</v>
      </c>
      <c r="F2316" t="s">
        <v>2167</v>
      </c>
      <c r="G2316" s="2">
        <v>-4.0399999999999998E-2</v>
      </c>
      <c r="H2316">
        <f t="shared" si="72"/>
        <v>-4.0427751695357436E-2</v>
      </c>
      <c r="I2316">
        <f t="shared" si="73"/>
        <v>-4.1267668500815514E-2</v>
      </c>
    </row>
    <row r="2317" spans="1:9" x14ac:dyDescent="0.75">
      <c r="A2317" s="1">
        <v>42460</v>
      </c>
      <c r="B2317">
        <v>38.340000000000003</v>
      </c>
      <c r="C2317">
        <v>38.299999999999997</v>
      </c>
      <c r="D2317">
        <v>39.04</v>
      </c>
      <c r="E2317">
        <v>37.57</v>
      </c>
      <c r="F2317" t="s">
        <v>2168</v>
      </c>
      <c r="G2317" s="2">
        <v>5.0000000000000001E-4</v>
      </c>
      <c r="H2317">
        <f t="shared" si="72"/>
        <v>5.219206680585367E-4</v>
      </c>
      <c r="I2317">
        <f t="shared" si="73"/>
        <v>5.217845148386374E-4</v>
      </c>
    </row>
    <row r="2318" spans="1:9" x14ac:dyDescent="0.75">
      <c r="A2318" s="1">
        <v>42459</v>
      </c>
      <c r="B2318">
        <v>38.32</v>
      </c>
      <c r="C2318">
        <v>38.520000000000003</v>
      </c>
      <c r="D2318">
        <v>39.85</v>
      </c>
      <c r="E2318">
        <v>38.14</v>
      </c>
      <c r="F2318" t="s">
        <v>2169</v>
      </c>
      <c r="G2318" s="2">
        <v>1E-3</v>
      </c>
      <c r="H2318">
        <f t="shared" si="72"/>
        <v>1.0449320794148158E-3</v>
      </c>
      <c r="I2318">
        <f t="shared" si="73"/>
        <v>1.0443865179062505E-3</v>
      </c>
    </row>
    <row r="2319" spans="1:9" x14ac:dyDescent="0.75">
      <c r="A2319" s="1">
        <v>42458</v>
      </c>
      <c r="B2319">
        <v>38.28</v>
      </c>
      <c r="C2319">
        <v>39.32</v>
      </c>
      <c r="D2319">
        <v>39.479999999999997</v>
      </c>
      <c r="E2319">
        <v>37.909999999999997</v>
      </c>
      <c r="F2319" t="s">
        <v>2170</v>
      </c>
      <c r="G2319" s="2">
        <v>-2.8199999999999999E-2</v>
      </c>
      <c r="H2319">
        <f t="shared" si="72"/>
        <v>-2.8179741051028166E-2</v>
      </c>
      <c r="I2319">
        <f t="shared" si="73"/>
        <v>-2.8584410398060978E-2</v>
      </c>
    </row>
    <row r="2320" spans="1:9" x14ac:dyDescent="0.75">
      <c r="A2320" s="1">
        <v>42457</v>
      </c>
      <c r="B2320">
        <v>39.39</v>
      </c>
      <c r="C2320">
        <v>39.549999999999997</v>
      </c>
      <c r="D2320">
        <v>40.14</v>
      </c>
      <c r="E2320">
        <v>38.86</v>
      </c>
      <c r="F2320" t="s">
        <v>2171</v>
      </c>
      <c r="G2320" s="2">
        <v>-1.8E-3</v>
      </c>
      <c r="H2320">
        <f t="shared" si="72"/>
        <v>-1.7739483020780609E-3</v>
      </c>
      <c r="I2320">
        <f t="shared" si="73"/>
        <v>-1.7755236116548335E-3</v>
      </c>
    </row>
    <row r="2321" spans="1:9" x14ac:dyDescent="0.75">
      <c r="A2321" s="1">
        <v>42453</v>
      </c>
      <c r="B2321">
        <v>39.46</v>
      </c>
      <c r="C2321">
        <v>39.729999999999997</v>
      </c>
      <c r="D2321">
        <v>39.770000000000003</v>
      </c>
      <c r="E2321">
        <v>38.33</v>
      </c>
      <c r="F2321" t="s">
        <v>2172</v>
      </c>
      <c r="G2321" s="2">
        <v>-8.3000000000000001E-3</v>
      </c>
      <c r="H2321">
        <f t="shared" si="72"/>
        <v>-8.29354109072627E-3</v>
      </c>
      <c r="I2321">
        <f t="shared" si="73"/>
        <v>-8.3281238443678879E-3</v>
      </c>
    </row>
    <row r="2322" spans="1:9" x14ac:dyDescent="0.75">
      <c r="A2322" s="1">
        <v>42452</v>
      </c>
      <c r="B2322">
        <v>39.79</v>
      </c>
      <c r="C2322">
        <v>41.19</v>
      </c>
      <c r="D2322">
        <v>41.34</v>
      </c>
      <c r="E2322">
        <v>39.67</v>
      </c>
      <c r="F2322" t="s">
        <v>2173</v>
      </c>
      <c r="G2322" s="2">
        <v>-0.04</v>
      </c>
      <c r="H2322">
        <f t="shared" si="72"/>
        <v>-4.0048250904704548E-2</v>
      </c>
      <c r="I2322">
        <f t="shared" si="73"/>
        <v>-4.087225714246679E-2</v>
      </c>
    </row>
    <row r="2323" spans="1:9" x14ac:dyDescent="0.75">
      <c r="A2323" s="1">
        <v>42451</v>
      </c>
      <c r="B2323">
        <v>41.45</v>
      </c>
      <c r="C2323">
        <v>41.59</v>
      </c>
      <c r="D2323">
        <v>41.9</v>
      </c>
      <c r="E2323">
        <v>40.770000000000003</v>
      </c>
      <c r="F2323" t="s">
        <v>2174</v>
      </c>
      <c r="G2323" s="2">
        <v>3.8600000000000002E-2</v>
      </c>
      <c r="H2323">
        <f t="shared" si="72"/>
        <v>3.8586820345778164E-2</v>
      </c>
      <c r="I2323">
        <f t="shared" si="73"/>
        <v>3.7860962520661658E-2</v>
      </c>
    </row>
    <row r="2324" spans="1:9" x14ac:dyDescent="0.75">
      <c r="A2324" s="1">
        <v>42450</v>
      </c>
      <c r="B2324">
        <v>39.909999999999997</v>
      </c>
      <c r="C2324">
        <v>39.06</v>
      </c>
      <c r="D2324">
        <v>40.299999999999997</v>
      </c>
      <c r="E2324">
        <v>38.61</v>
      </c>
      <c r="F2324" t="s">
        <v>2175</v>
      </c>
      <c r="G2324" s="2">
        <v>1.1900000000000001E-2</v>
      </c>
      <c r="H2324">
        <f t="shared" si="72"/>
        <v>1.1916835699797132E-2</v>
      </c>
      <c r="I2324">
        <f t="shared" si="73"/>
        <v>1.1846389326207872E-2</v>
      </c>
    </row>
    <row r="2325" spans="1:9" x14ac:dyDescent="0.75">
      <c r="A2325" s="1">
        <v>42447</v>
      </c>
      <c r="B2325">
        <v>39.44</v>
      </c>
      <c r="C2325">
        <v>40.25</v>
      </c>
      <c r="D2325">
        <v>41.2</v>
      </c>
      <c r="E2325">
        <v>39.15</v>
      </c>
      <c r="F2325" t="s">
        <v>2176</v>
      </c>
      <c r="G2325" s="2">
        <v>-1.89E-2</v>
      </c>
      <c r="H2325">
        <f t="shared" si="72"/>
        <v>-1.8905472636816047E-2</v>
      </c>
      <c r="I2325">
        <f t="shared" si="73"/>
        <v>-1.9086465890540871E-2</v>
      </c>
    </row>
    <row r="2326" spans="1:9" x14ac:dyDescent="0.75">
      <c r="A2326" s="1">
        <v>42446</v>
      </c>
      <c r="B2326">
        <v>40.200000000000003</v>
      </c>
      <c r="C2326">
        <v>38.590000000000003</v>
      </c>
      <c r="D2326">
        <v>40.36</v>
      </c>
      <c r="E2326">
        <v>38.47</v>
      </c>
      <c r="F2326" t="s">
        <v>2177</v>
      </c>
      <c r="G2326" s="2">
        <v>4.5199999999999997E-2</v>
      </c>
      <c r="H2326">
        <f t="shared" si="72"/>
        <v>4.5241809672386946E-2</v>
      </c>
      <c r="I2326">
        <f t="shared" si="73"/>
        <v>4.4248255464341808E-2</v>
      </c>
    </row>
    <row r="2327" spans="1:9" x14ac:dyDescent="0.75">
      <c r="A2327" s="1">
        <v>42445</v>
      </c>
      <c r="B2327">
        <v>38.46</v>
      </c>
      <c r="C2327">
        <v>36.74</v>
      </c>
      <c r="D2327">
        <v>38.630000000000003</v>
      </c>
      <c r="E2327">
        <v>36.61</v>
      </c>
      <c r="F2327" t="s">
        <v>2178</v>
      </c>
      <c r="G2327" s="2">
        <v>5.8299999999999998E-2</v>
      </c>
      <c r="H2327">
        <f t="shared" si="72"/>
        <v>5.8337919647770978E-2</v>
      </c>
      <c r="I2327">
        <f t="shared" si="73"/>
        <v>5.6699677192608412E-2</v>
      </c>
    </row>
    <row r="2328" spans="1:9" x14ac:dyDescent="0.75">
      <c r="A2328" s="1">
        <v>42444</v>
      </c>
      <c r="B2328">
        <v>36.340000000000003</v>
      </c>
      <c r="C2328">
        <v>37.369999999999997</v>
      </c>
      <c r="D2328">
        <v>37.4</v>
      </c>
      <c r="E2328">
        <v>35.96</v>
      </c>
      <c r="F2328" t="s">
        <v>2179</v>
      </c>
      <c r="G2328" s="2">
        <v>-2.2599999999999999E-2</v>
      </c>
      <c r="H2328">
        <f t="shared" si="72"/>
        <v>-2.2592791823560956E-2</v>
      </c>
      <c r="I2328">
        <f t="shared" si="73"/>
        <v>-2.2851919325272772E-2</v>
      </c>
    </row>
    <row r="2329" spans="1:9" x14ac:dyDescent="0.75">
      <c r="A2329" s="1">
        <v>42443</v>
      </c>
      <c r="B2329">
        <v>37.18</v>
      </c>
      <c r="C2329">
        <v>38.17</v>
      </c>
      <c r="D2329">
        <v>38.770000000000003</v>
      </c>
      <c r="E2329">
        <v>36.68</v>
      </c>
      <c r="F2329" t="s">
        <v>2180</v>
      </c>
      <c r="G2329" s="2">
        <v>-3.4299999999999997E-2</v>
      </c>
      <c r="H2329">
        <f t="shared" si="72"/>
        <v>-3.4285714285714294E-2</v>
      </c>
      <c r="I2329">
        <f t="shared" si="73"/>
        <v>-3.4887259000440547E-2</v>
      </c>
    </row>
    <row r="2330" spans="1:9" x14ac:dyDescent="0.75">
      <c r="A2330" s="1">
        <v>42440</v>
      </c>
      <c r="B2330">
        <v>38.5</v>
      </c>
      <c r="C2330">
        <v>37.99</v>
      </c>
      <c r="D2330">
        <v>39.020000000000003</v>
      </c>
      <c r="E2330">
        <v>37.92</v>
      </c>
      <c r="F2330" t="s">
        <v>2181</v>
      </c>
      <c r="G2330" s="2">
        <v>1.7399999999999999E-2</v>
      </c>
      <c r="H2330">
        <f t="shared" si="72"/>
        <v>1.7441860465116189E-2</v>
      </c>
      <c r="I2330">
        <f t="shared" si="73"/>
        <v>1.7291497110060824E-2</v>
      </c>
    </row>
    <row r="2331" spans="1:9" x14ac:dyDescent="0.75">
      <c r="A2331" s="1">
        <v>42439</v>
      </c>
      <c r="B2331">
        <v>37.840000000000003</v>
      </c>
      <c r="C2331">
        <v>38.17</v>
      </c>
      <c r="D2331">
        <v>38.479999999999997</v>
      </c>
      <c r="E2331">
        <v>37.21</v>
      </c>
      <c r="F2331" t="s">
        <v>2182</v>
      </c>
      <c r="G2331" s="2">
        <v>-1.18E-2</v>
      </c>
      <c r="H2331">
        <f t="shared" si="72"/>
        <v>-1.1752415774353505E-2</v>
      </c>
      <c r="I2331">
        <f t="shared" si="73"/>
        <v>-1.1822021305525482E-2</v>
      </c>
    </row>
    <row r="2332" spans="1:9" x14ac:dyDescent="0.75">
      <c r="A2332" s="1">
        <v>42438</v>
      </c>
      <c r="B2332">
        <v>38.29</v>
      </c>
      <c r="C2332">
        <v>36.36</v>
      </c>
      <c r="D2332">
        <v>38.51</v>
      </c>
      <c r="E2332">
        <v>36.24</v>
      </c>
      <c r="F2332" t="s">
        <v>2183</v>
      </c>
      <c r="G2332" s="2">
        <v>4.9000000000000002E-2</v>
      </c>
      <c r="H2332">
        <f t="shared" si="72"/>
        <v>4.9041095890410932E-2</v>
      </c>
      <c r="I2332">
        <f t="shared" si="73"/>
        <v>4.7876504900757205E-2</v>
      </c>
    </row>
    <row r="2333" spans="1:9" x14ac:dyDescent="0.75">
      <c r="A2333" s="1">
        <v>42437</v>
      </c>
      <c r="B2333">
        <v>36.5</v>
      </c>
      <c r="C2333">
        <v>37.94</v>
      </c>
      <c r="D2333">
        <v>38.39</v>
      </c>
      <c r="E2333">
        <v>36.119999999999997</v>
      </c>
      <c r="F2333" t="s">
        <v>1806</v>
      </c>
      <c r="G2333" s="2">
        <v>-3.6900000000000002E-2</v>
      </c>
      <c r="H2333">
        <f t="shared" si="72"/>
        <v>-3.6939313984168831E-2</v>
      </c>
      <c r="I2333">
        <f t="shared" si="73"/>
        <v>-3.763885149993481E-2</v>
      </c>
    </row>
    <row r="2334" spans="1:9" x14ac:dyDescent="0.75">
      <c r="A2334" s="1">
        <v>42436</v>
      </c>
      <c r="B2334">
        <v>37.9</v>
      </c>
      <c r="C2334">
        <v>36.200000000000003</v>
      </c>
      <c r="D2334">
        <v>38.11</v>
      </c>
      <c r="E2334">
        <v>36.090000000000003</v>
      </c>
      <c r="F2334" t="s">
        <v>2184</v>
      </c>
      <c r="G2334" s="2">
        <v>5.5100000000000003E-2</v>
      </c>
      <c r="H2334">
        <f t="shared" si="72"/>
        <v>5.5122494432071178E-2</v>
      </c>
      <c r="I2334">
        <f t="shared" si="73"/>
        <v>5.3656868654381726E-2</v>
      </c>
    </row>
    <row r="2335" spans="1:9" x14ac:dyDescent="0.75">
      <c r="A2335" s="1">
        <v>42433</v>
      </c>
      <c r="B2335">
        <v>35.92</v>
      </c>
      <c r="C2335">
        <v>34.659999999999997</v>
      </c>
      <c r="D2335">
        <v>36.340000000000003</v>
      </c>
      <c r="E2335">
        <v>34.4</v>
      </c>
      <c r="F2335" t="s">
        <v>2185</v>
      </c>
      <c r="G2335" s="2">
        <v>3.9100000000000003E-2</v>
      </c>
      <c r="H2335">
        <f t="shared" si="72"/>
        <v>3.9051200462829082E-2</v>
      </c>
      <c r="I2335">
        <f t="shared" si="73"/>
        <v>3.8307989500465815E-2</v>
      </c>
    </row>
    <row r="2336" spans="1:9" x14ac:dyDescent="0.75">
      <c r="A2336" s="1">
        <v>42432</v>
      </c>
      <c r="B2336">
        <v>34.57</v>
      </c>
      <c r="C2336">
        <v>34.729999999999997</v>
      </c>
      <c r="D2336">
        <v>35.32</v>
      </c>
      <c r="E2336">
        <v>34.19</v>
      </c>
      <c r="F2336" t="s">
        <v>2186</v>
      </c>
      <c r="G2336" s="2">
        <v>-2.5999999999999999E-3</v>
      </c>
      <c r="H2336">
        <f t="shared" si="72"/>
        <v>-2.5966532025388433E-3</v>
      </c>
      <c r="I2336">
        <f t="shared" si="73"/>
        <v>-2.6000303539267843E-3</v>
      </c>
    </row>
    <row r="2337" spans="1:9" x14ac:dyDescent="0.75">
      <c r="A2337" s="1">
        <v>42431</v>
      </c>
      <c r="B2337">
        <v>34.659999999999997</v>
      </c>
      <c r="C2337">
        <v>33.89</v>
      </c>
      <c r="D2337">
        <v>35.17</v>
      </c>
      <c r="E2337">
        <v>33.549999999999997</v>
      </c>
      <c r="F2337" t="s">
        <v>2187</v>
      </c>
      <c r="G2337" s="2">
        <v>7.6E-3</v>
      </c>
      <c r="H2337">
        <f t="shared" si="72"/>
        <v>7.5581395348836636E-3</v>
      </c>
      <c r="I2337">
        <f t="shared" si="73"/>
        <v>7.5297199081072351E-3</v>
      </c>
    </row>
    <row r="2338" spans="1:9" x14ac:dyDescent="0.75">
      <c r="A2338" s="1">
        <v>42430</v>
      </c>
      <c r="B2338">
        <v>34.4</v>
      </c>
      <c r="C2338">
        <v>33.9</v>
      </c>
      <c r="D2338">
        <v>34.76</v>
      </c>
      <c r="E2338">
        <v>33.369999999999997</v>
      </c>
      <c r="F2338" t="s">
        <v>2188</v>
      </c>
      <c r="G2338" s="2">
        <v>1.9300000000000001E-2</v>
      </c>
      <c r="H2338">
        <f t="shared" si="72"/>
        <v>1.9259259259259216E-2</v>
      </c>
      <c r="I2338">
        <f t="shared" si="73"/>
        <v>1.9076147060813887E-2</v>
      </c>
    </row>
    <row r="2339" spans="1:9" x14ac:dyDescent="0.75">
      <c r="A2339" s="1">
        <v>42429</v>
      </c>
      <c r="B2339">
        <v>33.75</v>
      </c>
      <c r="C2339">
        <v>32.72</v>
      </c>
      <c r="D2339">
        <v>33.979999999999997</v>
      </c>
      <c r="E2339">
        <v>32.32</v>
      </c>
      <c r="F2339" t="s">
        <v>2189</v>
      </c>
      <c r="G2339" s="2">
        <v>2.9600000000000001E-2</v>
      </c>
      <c r="H2339">
        <f t="shared" si="72"/>
        <v>2.9591214154972508E-2</v>
      </c>
      <c r="I2339">
        <f t="shared" si="73"/>
        <v>2.9161844002855226E-2</v>
      </c>
    </row>
    <row r="2340" spans="1:9" x14ac:dyDescent="0.75">
      <c r="A2340" s="1">
        <v>42426</v>
      </c>
      <c r="B2340">
        <v>32.78</v>
      </c>
      <c r="C2340">
        <v>33.04</v>
      </c>
      <c r="D2340">
        <v>34.69</v>
      </c>
      <c r="E2340">
        <v>32.64</v>
      </c>
      <c r="F2340" t="s">
        <v>2190</v>
      </c>
      <c r="G2340" s="2">
        <v>-8.8000000000000005E-3</v>
      </c>
      <c r="H2340">
        <f t="shared" si="72"/>
        <v>-8.7692772905956801E-3</v>
      </c>
      <c r="I2340">
        <f t="shared" si="73"/>
        <v>-8.8079536780178158E-3</v>
      </c>
    </row>
    <row r="2341" spans="1:9" x14ac:dyDescent="0.75">
      <c r="A2341" s="1">
        <v>42425</v>
      </c>
      <c r="B2341">
        <v>33.07</v>
      </c>
      <c r="C2341">
        <v>32.19</v>
      </c>
      <c r="D2341">
        <v>33.49</v>
      </c>
      <c r="E2341">
        <v>31.07</v>
      </c>
      <c r="F2341" t="s">
        <v>2191</v>
      </c>
      <c r="G2341" s="2">
        <v>2.86E-2</v>
      </c>
      <c r="H2341">
        <f t="shared" si="72"/>
        <v>2.8615863141524159E-2</v>
      </c>
      <c r="I2341">
        <f t="shared" si="73"/>
        <v>2.8214076310073007E-2</v>
      </c>
    </row>
    <row r="2342" spans="1:9" x14ac:dyDescent="0.75">
      <c r="A2342" s="1">
        <v>42424</v>
      </c>
      <c r="B2342">
        <v>32.15</v>
      </c>
      <c r="C2342">
        <v>31.28</v>
      </c>
      <c r="D2342">
        <v>32.4</v>
      </c>
      <c r="E2342">
        <v>30.56</v>
      </c>
      <c r="F2342" t="s">
        <v>2192</v>
      </c>
      <c r="G2342" s="2">
        <v>8.8000000000000005E-3</v>
      </c>
      <c r="H2342">
        <f t="shared" si="72"/>
        <v>8.7856918732349409E-3</v>
      </c>
      <c r="I2342">
        <f t="shared" si="73"/>
        <v>8.7473222543833027E-3</v>
      </c>
    </row>
    <row r="2343" spans="1:9" x14ac:dyDescent="0.75">
      <c r="A2343" s="1">
        <v>42423</v>
      </c>
      <c r="B2343">
        <v>31.87</v>
      </c>
      <c r="C2343">
        <v>33.340000000000003</v>
      </c>
      <c r="D2343">
        <v>33.53</v>
      </c>
      <c r="E2343">
        <v>31.22</v>
      </c>
      <c r="F2343" t="s">
        <v>2193</v>
      </c>
      <c r="G2343" s="2">
        <v>1.24E-2</v>
      </c>
      <c r="H2343">
        <f t="shared" si="72"/>
        <v>1.2388818297331657E-2</v>
      </c>
      <c r="I2343">
        <f t="shared" si="73"/>
        <v>1.2312704880042664E-2</v>
      </c>
    </row>
    <row r="2344" spans="1:9" x14ac:dyDescent="0.75">
      <c r="A2344" s="1">
        <v>42422</v>
      </c>
      <c r="B2344">
        <v>31.48</v>
      </c>
      <c r="C2344">
        <v>29.72</v>
      </c>
      <c r="D2344">
        <v>32.049999999999997</v>
      </c>
      <c r="E2344">
        <v>29.48</v>
      </c>
      <c r="F2344" t="s">
        <v>2194</v>
      </c>
      <c r="G2344" s="2">
        <v>6.2100000000000002E-2</v>
      </c>
      <c r="H2344">
        <f t="shared" si="72"/>
        <v>6.207827260458839E-2</v>
      </c>
      <c r="I2344">
        <f t="shared" si="73"/>
        <v>6.0227623121316264E-2</v>
      </c>
    </row>
    <row r="2345" spans="1:9" x14ac:dyDescent="0.75">
      <c r="A2345" s="1">
        <v>42419</v>
      </c>
      <c r="B2345">
        <v>29.64</v>
      </c>
      <c r="C2345">
        <v>30.6</v>
      </c>
      <c r="D2345">
        <v>30.73</v>
      </c>
      <c r="E2345">
        <v>29.05</v>
      </c>
      <c r="F2345" t="s">
        <v>2195</v>
      </c>
      <c r="G2345" s="2">
        <v>-3.6700000000000003E-2</v>
      </c>
      <c r="H2345">
        <f t="shared" si="72"/>
        <v>-3.6724081897952517E-2</v>
      </c>
      <c r="I2345">
        <f t="shared" si="73"/>
        <v>-3.741538890606428E-2</v>
      </c>
    </row>
    <row r="2346" spans="1:9" x14ac:dyDescent="0.75">
      <c r="A2346" s="1">
        <v>42418</v>
      </c>
      <c r="B2346">
        <v>30.77</v>
      </c>
      <c r="C2346">
        <v>31.35</v>
      </c>
      <c r="D2346">
        <v>31.98</v>
      </c>
      <c r="E2346">
        <v>30.27</v>
      </c>
      <c r="F2346" t="s">
        <v>2196</v>
      </c>
      <c r="G2346" s="2">
        <v>3.5999999999999999E-3</v>
      </c>
      <c r="H2346">
        <f t="shared" si="72"/>
        <v>3.5877364644487748E-3</v>
      </c>
      <c r="I2346">
        <f t="shared" si="73"/>
        <v>3.5813158902823642E-3</v>
      </c>
    </row>
    <row r="2347" spans="1:9" x14ac:dyDescent="0.75">
      <c r="A2347" s="1">
        <v>42417</v>
      </c>
      <c r="B2347">
        <v>30.66</v>
      </c>
      <c r="C2347">
        <v>29.14</v>
      </c>
      <c r="D2347">
        <v>31.49</v>
      </c>
      <c r="E2347">
        <v>28.73</v>
      </c>
      <c r="F2347" t="s">
        <v>2197</v>
      </c>
      <c r="G2347" s="2">
        <v>5.5800000000000002E-2</v>
      </c>
      <c r="H2347">
        <f t="shared" si="72"/>
        <v>5.5785123966942185E-2</v>
      </c>
      <c r="I2347">
        <f t="shared" si="73"/>
        <v>5.4284683487072813E-2</v>
      </c>
    </row>
    <row r="2348" spans="1:9" x14ac:dyDescent="0.75">
      <c r="A2348" s="1">
        <v>42416</v>
      </c>
      <c r="B2348">
        <v>29.04</v>
      </c>
      <c r="C2348">
        <v>29.08</v>
      </c>
      <c r="D2348">
        <v>31.53</v>
      </c>
      <c r="E2348">
        <v>28.7</v>
      </c>
      <c r="F2348" t="s">
        <v>2198</v>
      </c>
      <c r="G2348" s="2">
        <v>-5.11E-2</v>
      </c>
      <c r="H2348">
        <f t="shared" si="72"/>
        <v>-5.0980392156862814E-2</v>
      </c>
      <c r="I2348">
        <f t="shared" si="73"/>
        <v>-5.2325819001739791E-2</v>
      </c>
    </row>
    <row r="2349" spans="1:9" x14ac:dyDescent="0.75">
      <c r="A2349" s="1">
        <v>42415</v>
      </c>
      <c r="B2349">
        <v>30.6</v>
      </c>
      <c r="C2349">
        <v>29.08</v>
      </c>
      <c r="D2349">
        <v>30.69</v>
      </c>
      <c r="E2349">
        <v>28.97</v>
      </c>
      <c r="G2349" s="2">
        <v>5.2600000000000001E-2</v>
      </c>
      <c r="H2349">
        <f t="shared" si="72"/>
        <v>5.2269601100412767E-2</v>
      </c>
      <c r="I2349">
        <f t="shared" si="73"/>
        <v>5.0949356293016494E-2</v>
      </c>
    </row>
    <row r="2350" spans="1:9" x14ac:dyDescent="0.75">
      <c r="A2350" s="1">
        <v>42414</v>
      </c>
      <c r="B2350">
        <v>29.08</v>
      </c>
      <c r="C2350">
        <v>29.06</v>
      </c>
      <c r="D2350">
        <v>29.18</v>
      </c>
      <c r="E2350">
        <v>28.97</v>
      </c>
      <c r="G2350" s="2">
        <v>-1.24E-2</v>
      </c>
      <c r="H2350">
        <f t="shared" si="72"/>
        <v>-1.2228260869565319E-2</v>
      </c>
      <c r="I2350">
        <f t="shared" si="73"/>
        <v>-1.2303641195356955E-2</v>
      </c>
    </row>
    <row r="2351" spans="1:9" x14ac:dyDescent="0.75">
      <c r="A2351" s="1">
        <v>42412</v>
      </c>
      <c r="B2351">
        <v>29.44</v>
      </c>
      <c r="C2351">
        <v>27.3</v>
      </c>
      <c r="D2351">
        <v>29.66</v>
      </c>
      <c r="E2351">
        <v>26.95</v>
      </c>
      <c r="F2351" t="s">
        <v>2199</v>
      </c>
      <c r="G2351" s="2">
        <v>0.1232</v>
      </c>
      <c r="H2351">
        <f t="shared" si="72"/>
        <v>0.12323540633346053</v>
      </c>
      <c r="I2351">
        <f t="shared" si="73"/>
        <v>0.11621327652536043</v>
      </c>
    </row>
    <row r="2352" spans="1:9" x14ac:dyDescent="0.75">
      <c r="A2352" s="1">
        <v>42411</v>
      </c>
      <c r="B2352">
        <v>26.21</v>
      </c>
      <c r="C2352">
        <v>27.34</v>
      </c>
      <c r="D2352">
        <v>27.48</v>
      </c>
      <c r="E2352">
        <v>26.05</v>
      </c>
      <c r="F2352" t="s">
        <v>2200</v>
      </c>
      <c r="G2352" s="2">
        <v>-4.5199999999999997E-2</v>
      </c>
      <c r="H2352">
        <f t="shared" si="72"/>
        <v>-4.5173041894353311E-2</v>
      </c>
      <c r="I2352">
        <f t="shared" si="73"/>
        <v>-4.6225150620224635E-2</v>
      </c>
    </row>
    <row r="2353" spans="1:9" x14ac:dyDescent="0.75">
      <c r="A2353" s="1">
        <v>42410</v>
      </c>
      <c r="B2353">
        <v>27.45</v>
      </c>
      <c r="C2353">
        <v>28.36</v>
      </c>
      <c r="D2353">
        <v>29.22</v>
      </c>
      <c r="E2353">
        <v>27.24</v>
      </c>
      <c r="F2353" t="s">
        <v>2201</v>
      </c>
      <c r="G2353" s="2">
        <v>-1.7500000000000002E-2</v>
      </c>
      <c r="H2353">
        <f t="shared" si="72"/>
        <v>-1.7537580529706585E-2</v>
      </c>
      <c r="I2353">
        <f t="shared" si="73"/>
        <v>-1.769318587327616E-2</v>
      </c>
    </row>
    <row r="2354" spans="1:9" x14ac:dyDescent="0.75">
      <c r="A2354" s="1">
        <v>42409</v>
      </c>
      <c r="B2354">
        <v>27.94</v>
      </c>
      <c r="C2354">
        <v>30.17</v>
      </c>
      <c r="D2354">
        <v>30.61</v>
      </c>
      <c r="E2354">
        <v>27.74</v>
      </c>
      <c r="F2354" t="s">
        <v>2202</v>
      </c>
      <c r="G2354" s="2">
        <v>-5.8900000000000001E-2</v>
      </c>
      <c r="H2354">
        <f t="shared" si="72"/>
        <v>-5.8942404850117883E-2</v>
      </c>
      <c r="I2354">
        <f t="shared" si="73"/>
        <v>-6.0750934946852721E-2</v>
      </c>
    </row>
    <row r="2355" spans="1:9" x14ac:dyDescent="0.75">
      <c r="A2355" s="1">
        <v>42408</v>
      </c>
      <c r="B2355">
        <v>29.69</v>
      </c>
      <c r="C2355">
        <v>30.97</v>
      </c>
      <c r="D2355">
        <v>31.38</v>
      </c>
      <c r="E2355">
        <v>29.57</v>
      </c>
      <c r="F2355" t="s">
        <v>2203</v>
      </c>
      <c r="G2355" s="2">
        <v>-3.8800000000000001E-2</v>
      </c>
      <c r="H2355">
        <f t="shared" si="72"/>
        <v>-3.8847523470378738E-2</v>
      </c>
      <c r="I2355">
        <f t="shared" si="73"/>
        <v>-3.9622218154821927E-2</v>
      </c>
    </row>
    <row r="2356" spans="1:9" x14ac:dyDescent="0.75">
      <c r="A2356" s="1">
        <v>42405</v>
      </c>
      <c r="B2356">
        <v>30.89</v>
      </c>
      <c r="C2356">
        <v>31.64</v>
      </c>
      <c r="D2356">
        <v>32.450000000000003</v>
      </c>
      <c r="E2356">
        <v>30.63</v>
      </c>
      <c r="F2356" t="s">
        <v>2204</v>
      </c>
      <c r="G2356" s="2">
        <v>-2.6200000000000001E-2</v>
      </c>
      <c r="H2356">
        <f t="shared" si="72"/>
        <v>-2.6166456494325294E-2</v>
      </c>
      <c r="I2356">
        <f t="shared" si="73"/>
        <v>-2.65148898361568E-2</v>
      </c>
    </row>
    <row r="2357" spans="1:9" x14ac:dyDescent="0.75">
      <c r="A2357" s="1">
        <v>42404</v>
      </c>
      <c r="B2357">
        <v>31.72</v>
      </c>
      <c r="C2357">
        <v>32.71</v>
      </c>
      <c r="D2357">
        <v>33.6</v>
      </c>
      <c r="E2357">
        <v>31.53</v>
      </c>
      <c r="F2357" t="s">
        <v>2205</v>
      </c>
      <c r="G2357" s="2">
        <v>-1.7299999999999999E-2</v>
      </c>
      <c r="H2357">
        <f t="shared" si="72"/>
        <v>-1.7348203221809241E-2</v>
      </c>
      <c r="I2357">
        <f t="shared" si="73"/>
        <v>-1.7500446635100832E-2</v>
      </c>
    </row>
    <row r="2358" spans="1:9" x14ac:dyDescent="0.75">
      <c r="A2358" s="1">
        <v>42403</v>
      </c>
      <c r="B2358">
        <v>32.28</v>
      </c>
      <c r="C2358">
        <v>29.75</v>
      </c>
      <c r="D2358">
        <v>32.75</v>
      </c>
      <c r="E2358">
        <v>29.4</v>
      </c>
      <c r="F2358" t="s">
        <v>2206</v>
      </c>
      <c r="G2358" s="2">
        <v>8.0299999999999996E-2</v>
      </c>
      <c r="H2358">
        <f t="shared" si="72"/>
        <v>8.0321285140562318E-2</v>
      </c>
      <c r="I2358">
        <f t="shared" si="73"/>
        <v>7.7258483137131601E-2</v>
      </c>
    </row>
    <row r="2359" spans="1:9" x14ac:dyDescent="0.75">
      <c r="A2359" s="1">
        <v>42402</v>
      </c>
      <c r="B2359">
        <v>29.88</v>
      </c>
      <c r="C2359">
        <v>31.37</v>
      </c>
      <c r="D2359">
        <v>31.53</v>
      </c>
      <c r="E2359">
        <v>29.57</v>
      </c>
      <c r="F2359" t="s">
        <v>2207</v>
      </c>
      <c r="G2359" s="2">
        <v>-5.5E-2</v>
      </c>
      <c r="H2359">
        <f t="shared" si="72"/>
        <v>-5.5028462998102531E-2</v>
      </c>
      <c r="I2359">
        <f t="shared" si="73"/>
        <v>-5.6600471516709425E-2</v>
      </c>
    </row>
    <row r="2360" spans="1:9" x14ac:dyDescent="0.75">
      <c r="A2360" s="1">
        <v>42401</v>
      </c>
      <c r="B2360">
        <v>31.62</v>
      </c>
      <c r="C2360">
        <v>33.83</v>
      </c>
      <c r="D2360">
        <v>34.18</v>
      </c>
      <c r="E2360">
        <v>31.29</v>
      </c>
      <c r="F2360" t="s">
        <v>2208</v>
      </c>
      <c r="G2360" s="2">
        <v>-5.9499999999999997E-2</v>
      </c>
      <c r="H2360">
        <f t="shared" si="72"/>
        <v>-5.9488399762046298E-2</v>
      </c>
      <c r="I2360">
        <f t="shared" si="73"/>
        <v>-6.1331296199143528E-2</v>
      </c>
    </row>
    <row r="2361" spans="1:9" x14ac:dyDescent="0.75">
      <c r="A2361" s="1">
        <v>42398</v>
      </c>
      <c r="B2361">
        <v>33.619999999999997</v>
      </c>
      <c r="C2361">
        <v>33.700000000000003</v>
      </c>
      <c r="D2361">
        <v>34.4</v>
      </c>
      <c r="E2361">
        <v>32.65</v>
      </c>
      <c r="F2361" t="s">
        <v>2209</v>
      </c>
      <c r="G2361" s="2">
        <v>1.2E-2</v>
      </c>
      <c r="H2361">
        <f t="shared" si="72"/>
        <v>1.2040939193257032E-2</v>
      </c>
      <c r="I2361">
        <f t="shared" si="73"/>
        <v>1.1969023795320655E-2</v>
      </c>
    </row>
    <row r="2362" spans="1:9" x14ac:dyDescent="0.75">
      <c r="A2362" s="1">
        <v>42397</v>
      </c>
      <c r="B2362">
        <v>33.22</v>
      </c>
      <c r="C2362">
        <v>32.19</v>
      </c>
      <c r="D2362">
        <v>34.82</v>
      </c>
      <c r="E2362">
        <v>31.74</v>
      </c>
      <c r="F2362" t="s">
        <v>2210</v>
      </c>
      <c r="G2362" s="2">
        <v>2.8500000000000001E-2</v>
      </c>
      <c r="H2362">
        <f t="shared" si="72"/>
        <v>2.8482972136222966E-2</v>
      </c>
      <c r="I2362">
        <f t="shared" si="73"/>
        <v>2.8084873956538019E-2</v>
      </c>
    </row>
    <row r="2363" spans="1:9" x14ac:dyDescent="0.75">
      <c r="A2363" s="1">
        <v>42396</v>
      </c>
      <c r="B2363">
        <v>32.299999999999997</v>
      </c>
      <c r="C2363">
        <v>30.55</v>
      </c>
      <c r="D2363">
        <v>32.840000000000003</v>
      </c>
      <c r="E2363">
        <v>30.14</v>
      </c>
      <c r="F2363" t="s">
        <v>2211</v>
      </c>
      <c r="G2363" s="2">
        <v>2.7E-2</v>
      </c>
      <c r="H2363">
        <f t="shared" si="72"/>
        <v>2.7027027027026959E-2</v>
      </c>
      <c r="I2363">
        <f t="shared" si="73"/>
        <v>2.6668247082161273E-2</v>
      </c>
    </row>
    <row r="2364" spans="1:9" x14ac:dyDescent="0.75">
      <c r="A2364" s="1">
        <v>42395</v>
      </c>
      <c r="B2364">
        <v>31.45</v>
      </c>
      <c r="C2364">
        <v>29.81</v>
      </c>
      <c r="D2364">
        <v>32.409999999999997</v>
      </c>
      <c r="E2364">
        <v>29.25</v>
      </c>
      <c r="F2364" t="s">
        <v>2212</v>
      </c>
      <c r="G2364" s="2">
        <v>3.6600000000000001E-2</v>
      </c>
      <c r="H2364">
        <f t="shared" si="72"/>
        <v>3.6585365853658521E-2</v>
      </c>
      <c r="I2364">
        <f t="shared" si="73"/>
        <v>3.593200922606337E-2</v>
      </c>
    </row>
    <row r="2365" spans="1:9" x14ac:dyDescent="0.75">
      <c r="A2365" s="1">
        <v>42394</v>
      </c>
      <c r="B2365">
        <v>30.34</v>
      </c>
      <c r="C2365">
        <v>32.049999999999997</v>
      </c>
      <c r="D2365">
        <v>32.74</v>
      </c>
      <c r="E2365">
        <v>29.68</v>
      </c>
      <c r="F2365" t="s">
        <v>2213</v>
      </c>
      <c r="G2365" s="2">
        <v>-5.7500000000000002E-2</v>
      </c>
      <c r="H2365">
        <f t="shared" si="72"/>
        <v>-5.7471264367816029E-2</v>
      </c>
      <c r="I2365">
        <f t="shared" si="73"/>
        <v>-5.9188871390330529E-2</v>
      </c>
    </row>
    <row r="2366" spans="1:9" x14ac:dyDescent="0.75">
      <c r="A2366" s="1">
        <v>42391</v>
      </c>
      <c r="B2366">
        <v>32.19</v>
      </c>
      <c r="C2366">
        <v>29.84</v>
      </c>
      <c r="D2366">
        <v>32.35</v>
      </c>
      <c r="E2366">
        <v>29.53</v>
      </c>
      <c r="F2366" t="s">
        <v>2214</v>
      </c>
      <c r="G2366" s="2">
        <v>9.01E-2</v>
      </c>
      <c r="H2366">
        <f t="shared" si="72"/>
        <v>9.0077886894683254E-2</v>
      </c>
      <c r="I2366">
        <f t="shared" si="73"/>
        <v>8.6249149554885343E-2</v>
      </c>
    </row>
    <row r="2367" spans="1:9" x14ac:dyDescent="0.75">
      <c r="A2367" s="1">
        <v>42390</v>
      </c>
      <c r="B2367">
        <v>29.53</v>
      </c>
      <c r="C2367">
        <v>28.35</v>
      </c>
      <c r="D2367">
        <v>30.25</v>
      </c>
      <c r="E2367">
        <v>27.87</v>
      </c>
      <c r="F2367" t="s">
        <v>2215</v>
      </c>
      <c r="G2367" s="2">
        <v>0.11219999999999999</v>
      </c>
      <c r="H2367">
        <f t="shared" si="72"/>
        <v>0.11224105461393598</v>
      </c>
      <c r="I2367">
        <f t="shared" si="73"/>
        <v>0.10637694806788356</v>
      </c>
    </row>
    <row r="2368" spans="1:9" x14ac:dyDescent="0.75">
      <c r="A2368" s="1">
        <v>42389</v>
      </c>
      <c r="B2368">
        <v>26.55</v>
      </c>
      <c r="C2368">
        <v>28.33</v>
      </c>
      <c r="D2368">
        <v>28.58</v>
      </c>
      <c r="E2368">
        <v>26.19</v>
      </c>
      <c r="F2368" t="s">
        <v>2216</v>
      </c>
      <c r="G2368" s="2">
        <v>-6.7100000000000007E-2</v>
      </c>
      <c r="H2368">
        <f t="shared" si="72"/>
        <v>-6.7111735769501052E-2</v>
      </c>
      <c r="I2368">
        <f t="shared" si="73"/>
        <v>-6.9469844973758438E-2</v>
      </c>
    </row>
    <row r="2369" spans="1:9" x14ac:dyDescent="0.75">
      <c r="A2369" s="1">
        <v>42388</v>
      </c>
      <c r="B2369">
        <v>28.46</v>
      </c>
      <c r="C2369">
        <v>29.2</v>
      </c>
      <c r="D2369">
        <v>30.21</v>
      </c>
      <c r="E2369">
        <v>28.21</v>
      </c>
      <c r="F2369" t="s">
        <v>2217</v>
      </c>
      <c r="G2369" s="2">
        <v>-5.21E-2</v>
      </c>
      <c r="H2369">
        <f t="shared" si="72"/>
        <v>-5.196535642904726E-2</v>
      </c>
      <c r="I2369">
        <f t="shared" si="73"/>
        <v>-5.3364233543609481E-2</v>
      </c>
    </row>
    <row r="2370" spans="1:9" x14ac:dyDescent="0.75">
      <c r="A2370" s="1">
        <v>42387</v>
      </c>
      <c r="B2370">
        <v>30.02</v>
      </c>
      <c r="C2370">
        <v>29.76</v>
      </c>
      <c r="D2370">
        <v>30.88</v>
      </c>
      <c r="E2370">
        <v>29.67</v>
      </c>
      <c r="G2370" s="2">
        <v>9.4000000000000004E-3</v>
      </c>
      <c r="H2370">
        <f t="shared" si="72"/>
        <v>9.0756302521008258E-3</v>
      </c>
      <c r="I2370">
        <f t="shared" si="73"/>
        <v>9.0346942136771847E-3</v>
      </c>
    </row>
    <row r="2371" spans="1:9" x14ac:dyDescent="0.75">
      <c r="A2371" s="1">
        <v>42386</v>
      </c>
      <c r="B2371">
        <v>29.75</v>
      </c>
      <c r="C2371">
        <v>30.68</v>
      </c>
      <c r="D2371">
        <v>30.68</v>
      </c>
      <c r="E2371">
        <v>29.36</v>
      </c>
      <c r="G2371" s="2">
        <v>1.0999999999999999E-2</v>
      </c>
      <c r="H2371">
        <f t="shared" ref="H2371:H2434" si="74">(B2371-B2372)/B2372</f>
        <v>1.1216859279401709E-2</v>
      </c>
      <c r="I2371">
        <f t="shared" ref="I2371:I2434" si="75">LN(B2371/B2372)</f>
        <v>1.1154416818347288E-2</v>
      </c>
    </row>
    <row r="2372" spans="1:9" x14ac:dyDescent="0.75">
      <c r="A2372" s="1">
        <v>42384</v>
      </c>
      <c r="B2372">
        <v>29.42</v>
      </c>
      <c r="C2372">
        <v>31.18</v>
      </c>
      <c r="D2372">
        <v>31.18</v>
      </c>
      <c r="E2372">
        <v>29.13</v>
      </c>
      <c r="F2372" t="s">
        <v>2218</v>
      </c>
      <c r="G2372" s="2">
        <v>-5.7099999999999998E-2</v>
      </c>
      <c r="H2372">
        <f t="shared" si="74"/>
        <v>-5.7051282051281973E-2</v>
      </c>
      <c r="I2372">
        <f t="shared" si="75"/>
        <v>-5.8743379642145113E-2</v>
      </c>
    </row>
    <row r="2373" spans="1:9" x14ac:dyDescent="0.75">
      <c r="A2373" s="1">
        <v>42383</v>
      </c>
      <c r="B2373">
        <v>31.2</v>
      </c>
      <c r="C2373">
        <v>30.6</v>
      </c>
      <c r="D2373">
        <v>31.77</v>
      </c>
      <c r="E2373">
        <v>30.28</v>
      </c>
      <c r="F2373" t="s">
        <v>2219</v>
      </c>
      <c r="G2373" s="2">
        <v>2.3599999999999999E-2</v>
      </c>
      <c r="H2373">
        <f t="shared" si="74"/>
        <v>2.362204724409445E-2</v>
      </c>
      <c r="I2373">
        <f t="shared" si="75"/>
        <v>2.3347363996991107E-2</v>
      </c>
    </row>
    <row r="2374" spans="1:9" x14ac:dyDescent="0.75">
      <c r="A2374" s="1">
        <v>42382</v>
      </c>
      <c r="B2374">
        <v>30.48</v>
      </c>
      <c r="C2374">
        <v>30.54</v>
      </c>
      <c r="D2374">
        <v>31.71</v>
      </c>
      <c r="E2374">
        <v>30.1</v>
      </c>
      <c r="F2374" t="s">
        <v>2220</v>
      </c>
      <c r="G2374" s="2">
        <v>1.2999999999999999E-3</v>
      </c>
      <c r="H2374">
        <f t="shared" si="74"/>
        <v>1.3140604467805237E-3</v>
      </c>
      <c r="I2374">
        <f t="shared" si="75"/>
        <v>1.3131978249603929E-3</v>
      </c>
    </row>
    <row r="2375" spans="1:9" x14ac:dyDescent="0.75">
      <c r="A2375" s="1">
        <v>42381</v>
      </c>
      <c r="B2375">
        <v>30.44</v>
      </c>
      <c r="C2375">
        <v>31.11</v>
      </c>
      <c r="D2375">
        <v>32.21</v>
      </c>
      <c r="E2375">
        <v>29.93</v>
      </c>
      <c r="F2375" t="s">
        <v>2221</v>
      </c>
      <c r="G2375" s="2">
        <v>-3.09E-2</v>
      </c>
      <c r="H2375">
        <f t="shared" si="74"/>
        <v>-3.0881884750079556E-2</v>
      </c>
      <c r="I2375">
        <f t="shared" si="75"/>
        <v>-3.1368780557070076E-2</v>
      </c>
    </row>
    <row r="2376" spans="1:9" x14ac:dyDescent="0.75">
      <c r="A2376" s="1">
        <v>42380</v>
      </c>
      <c r="B2376">
        <v>31.41</v>
      </c>
      <c r="C2376">
        <v>32.94</v>
      </c>
      <c r="D2376">
        <v>33.200000000000003</v>
      </c>
      <c r="E2376">
        <v>30.88</v>
      </c>
      <c r="F2376" t="s">
        <v>2222</v>
      </c>
      <c r="G2376" s="2">
        <v>-5.28E-2</v>
      </c>
      <c r="H2376">
        <f t="shared" si="74"/>
        <v>-5.2774427020506533E-2</v>
      </c>
      <c r="I2376">
        <f t="shared" si="75"/>
        <v>-5.4218016716538905E-2</v>
      </c>
    </row>
    <row r="2377" spans="1:9" x14ac:dyDescent="0.75">
      <c r="A2377" s="1">
        <v>42377</v>
      </c>
      <c r="B2377">
        <v>33.159999999999997</v>
      </c>
      <c r="C2377">
        <v>33.299999999999997</v>
      </c>
      <c r="D2377">
        <v>34.340000000000003</v>
      </c>
      <c r="E2377">
        <v>32.64</v>
      </c>
      <c r="F2377" t="s">
        <v>2223</v>
      </c>
      <c r="G2377" s="2">
        <v>-3.3E-3</v>
      </c>
      <c r="H2377">
        <f t="shared" si="74"/>
        <v>-3.3062819356779838E-3</v>
      </c>
      <c r="I2377">
        <f t="shared" si="75"/>
        <v>-3.3117597632912918E-3</v>
      </c>
    </row>
    <row r="2378" spans="1:9" x14ac:dyDescent="0.75">
      <c r="A2378" s="1">
        <v>42376</v>
      </c>
      <c r="B2378">
        <v>33.270000000000003</v>
      </c>
      <c r="C2378">
        <v>34.090000000000003</v>
      </c>
      <c r="D2378">
        <v>34.26</v>
      </c>
      <c r="E2378">
        <v>32.1</v>
      </c>
      <c r="F2378" t="s">
        <v>2224</v>
      </c>
      <c r="G2378" s="2">
        <v>-2.06E-2</v>
      </c>
      <c r="H2378">
        <f t="shared" si="74"/>
        <v>-2.060641742714147E-2</v>
      </c>
      <c r="I2378">
        <f t="shared" si="75"/>
        <v>-2.0821692142107013E-2</v>
      </c>
    </row>
    <row r="2379" spans="1:9" x14ac:dyDescent="0.75">
      <c r="A2379" s="1">
        <v>42375</v>
      </c>
      <c r="B2379">
        <v>33.97</v>
      </c>
      <c r="C2379">
        <v>36.18</v>
      </c>
      <c r="D2379">
        <v>36.39</v>
      </c>
      <c r="E2379">
        <v>33.770000000000003</v>
      </c>
      <c r="F2379" t="s">
        <v>2225</v>
      </c>
      <c r="G2379" s="2">
        <v>-5.5599999999999997E-2</v>
      </c>
      <c r="H2379">
        <f t="shared" si="74"/>
        <v>-5.5601890464275786E-2</v>
      </c>
      <c r="I2379">
        <f t="shared" si="75"/>
        <v>-5.7207475535040006E-2</v>
      </c>
    </row>
    <row r="2380" spans="1:9" x14ac:dyDescent="0.75">
      <c r="A2380" s="1">
        <v>42374</v>
      </c>
      <c r="B2380">
        <v>35.97</v>
      </c>
      <c r="C2380">
        <v>36.9</v>
      </c>
      <c r="D2380">
        <v>37.1</v>
      </c>
      <c r="E2380">
        <v>35.74</v>
      </c>
      <c r="F2380" t="s">
        <v>2226</v>
      </c>
      <c r="G2380" s="2">
        <v>-2.1499999999999998E-2</v>
      </c>
      <c r="H2380">
        <f t="shared" si="74"/>
        <v>-2.149075081610444E-2</v>
      </c>
      <c r="I2380">
        <f t="shared" si="75"/>
        <v>-2.172503977995368E-2</v>
      </c>
    </row>
    <row r="2381" spans="1:9" x14ac:dyDescent="0.75">
      <c r="A2381" s="1">
        <v>42373</v>
      </c>
      <c r="B2381">
        <v>36.76</v>
      </c>
      <c r="C2381">
        <v>37.6</v>
      </c>
      <c r="D2381">
        <v>38.39</v>
      </c>
      <c r="E2381">
        <v>36.33</v>
      </c>
      <c r="F2381" t="s">
        <v>2227</v>
      </c>
      <c r="G2381" s="2">
        <v>-7.6E-3</v>
      </c>
      <c r="H2381">
        <f t="shared" si="74"/>
        <v>-7.5593952483801602E-3</v>
      </c>
      <c r="I2381">
        <f t="shared" si="75"/>
        <v>-7.5881122904923231E-3</v>
      </c>
    </row>
    <row r="2382" spans="1:9" x14ac:dyDescent="0.75">
      <c r="A2382" s="1">
        <v>42369</v>
      </c>
      <c r="B2382">
        <v>37.04</v>
      </c>
      <c r="C2382">
        <v>36.81</v>
      </c>
      <c r="D2382">
        <v>37.79</v>
      </c>
      <c r="E2382">
        <v>36.22</v>
      </c>
      <c r="F2382" t="s">
        <v>2228</v>
      </c>
      <c r="G2382" s="2">
        <v>1.2E-2</v>
      </c>
      <c r="H2382">
        <f t="shared" si="74"/>
        <v>1.2021857923497204E-2</v>
      </c>
      <c r="I2382">
        <f t="shared" si="75"/>
        <v>1.1950169370657994E-2</v>
      </c>
    </row>
    <row r="2383" spans="1:9" x14ac:dyDescent="0.75">
      <c r="A2383" s="1">
        <v>42368</v>
      </c>
      <c r="B2383">
        <v>36.6</v>
      </c>
      <c r="C2383">
        <v>37.36</v>
      </c>
      <c r="D2383">
        <v>37.4</v>
      </c>
      <c r="E2383">
        <v>36.4</v>
      </c>
      <c r="F2383" t="s">
        <v>507</v>
      </c>
      <c r="G2383" s="2">
        <v>-3.3500000000000002E-2</v>
      </c>
      <c r="H2383">
        <f t="shared" si="74"/>
        <v>-3.3535780301029737E-2</v>
      </c>
      <c r="I2383">
        <f t="shared" si="75"/>
        <v>-3.4111001506382826E-2</v>
      </c>
    </row>
    <row r="2384" spans="1:9" x14ac:dyDescent="0.75">
      <c r="A2384" s="1">
        <v>42367</v>
      </c>
      <c r="B2384">
        <v>37.869999999999997</v>
      </c>
      <c r="C2384">
        <v>36.700000000000003</v>
      </c>
      <c r="D2384">
        <v>37.94</v>
      </c>
      <c r="E2384">
        <v>36.659999999999997</v>
      </c>
      <c r="F2384" t="s">
        <v>2229</v>
      </c>
      <c r="G2384" s="2">
        <v>2.8799999999999999E-2</v>
      </c>
      <c r="H2384">
        <f t="shared" si="74"/>
        <v>2.8796522684053114E-2</v>
      </c>
      <c r="I2384">
        <f t="shared" si="75"/>
        <v>2.8389694522773647E-2</v>
      </c>
    </row>
    <row r="2385" spans="1:9" x14ac:dyDescent="0.75">
      <c r="A2385" s="1">
        <v>42366</v>
      </c>
      <c r="B2385">
        <v>36.81</v>
      </c>
      <c r="C2385">
        <v>38</v>
      </c>
      <c r="D2385">
        <v>38.090000000000003</v>
      </c>
      <c r="E2385">
        <v>36.6</v>
      </c>
      <c r="F2385" t="s">
        <v>2230</v>
      </c>
      <c r="G2385" s="2">
        <v>-3.39E-2</v>
      </c>
      <c r="H2385">
        <f t="shared" si="74"/>
        <v>-3.3858267716535412E-2</v>
      </c>
      <c r="I2385">
        <f t="shared" si="75"/>
        <v>-3.4444734741725526E-2</v>
      </c>
    </row>
    <row r="2386" spans="1:9" x14ac:dyDescent="0.75">
      <c r="A2386" s="1">
        <v>42362</v>
      </c>
      <c r="B2386">
        <v>38.1</v>
      </c>
      <c r="C2386">
        <v>37.86</v>
      </c>
      <c r="D2386">
        <v>38.28</v>
      </c>
      <c r="E2386">
        <v>37.380000000000003</v>
      </c>
      <c r="F2386" t="s">
        <v>2231</v>
      </c>
      <c r="G2386" s="2">
        <v>1.6E-2</v>
      </c>
      <c r="H2386">
        <f t="shared" si="74"/>
        <v>1.6000000000000038E-2</v>
      </c>
      <c r="I2386">
        <f t="shared" si="75"/>
        <v>1.5873349156290163E-2</v>
      </c>
    </row>
    <row r="2387" spans="1:9" x14ac:dyDescent="0.75">
      <c r="A2387" s="1">
        <v>42361</v>
      </c>
      <c r="B2387">
        <v>37.5</v>
      </c>
      <c r="C2387">
        <v>36.47</v>
      </c>
      <c r="D2387">
        <v>37.950000000000003</v>
      </c>
      <c r="E2387">
        <v>36.28</v>
      </c>
      <c r="F2387" t="s">
        <v>2232</v>
      </c>
      <c r="G2387" s="2">
        <v>3.7600000000000001E-2</v>
      </c>
      <c r="H2387">
        <f t="shared" si="74"/>
        <v>3.7631433314886539E-2</v>
      </c>
      <c r="I2387">
        <f t="shared" si="75"/>
        <v>3.6940647812282748E-2</v>
      </c>
    </row>
    <row r="2388" spans="1:9" x14ac:dyDescent="0.75">
      <c r="A2388" s="1">
        <v>42360</v>
      </c>
      <c r="B2388">
        <v>36.14</v>
      </c>
      <c r="C2388">
        <v>35.799999999999997</v>
      </c>
      <c r="D2388">
        <v>36.54</v>
      </c>
      <c r="E2388">
        <v>35.659999999999997</v>
      </c>
      <c r="F2388" t="s">
        <v>2233</v>
      </c>
      <c r="G2388" s="2">
        <v>4.0300000000000002E-2</v>
      </c>
      <c r="H2388">
        <f t="shared" si="74"/>
        <v>4.0299366724237146E-2</v>
      </c>
      <c r="I2388">
        <f t="shared" si="75"/>
        <v>3.9508524351123432E-2</v>
      </c>
    </row>
    <row r="2389" spans="1:9" x14ac:dyDescent="0.75">
      <c r="A2389" s="1">
        <v>42359</v>
      </c>
      <c r="B2389">
        <v>34.74</v>
      </c>
      <c r="C2389">
        <v>34.58</v>
      </c>
      <c r="D2389">
        <v>34.86</v>
      </c>
      <c r="E2389">
        <v>33.979999999999997</v>
      </c>
      <c r="F2389" t="s">
        <v>2234</v>
      </c>
      <c r="G2389" s="2">
        <v>2.9999999999999997E-4</v>
      </c>
      <c r="H2389">
        <f t="shared" si="74"/>
        <v>2.8793550244759911E-4</v>
      </c>
      <c r="I2389">
        <f t="shared" si="75"/>
        <v>2.8789405697642859E-4</v>
      </c>
    </row>
    <row r="2390" spans="1:9" x14ac:dyDescent="0.75">
      <c r="A2390" s="1">
        <v>42356</v>
      </c>
      <c r="B2390">
        <v>34.729999999999997</v>
      </c>
      <c r="C2390">
        <v>34.869999999999997</v>
      </c>
      <c r="D2390">
        <v>35.57</v>
      </c>
      <c r="E2390">
        <v>34.29</v>
      </c>
      <c r="F2390" t="s">
        <v>2235</v>
      </c>
      <c r="G2390" s="2">
        <v>-6.3E-3</v>
      </c>
      <c r="H2390">
        <f t="shared" si="74"/>
        <v>-6.2947067238914439E-3</v>
      </c>
      <c r="I2390">
        <f t="shared" si="75"/>
        <v>-6.3146019238367697E-3</v>
      </c>
    </row>
    <row r="2391" spans="1:9" x14ac:dyDescent="0.75">
      <c r="A2391" s="1">
        <v>42355</v>
      </c>
      <c r="B2391">
        <v>34.950000000000003</v>
      </c>
      <c r="C2391">
        <v>35.799999999999997</v>
      </c>
      <c r="D2391">
        <v>35.840000000000003</v>
      </c>
      <c r="E2391">
        <v>34.630000000000003</v>
      </c>
      <c r="F2391" t="s">
        <v>2236</v>
      </c>
      <c r="G2391" s="2">
        <v>-1.6E-2</v>
      </c>
      <c r="H2391">
        <f t="shared" si="74"/>
        <v>-1.6047297297297303E-2</v>
      </c>
      <c r="I2391">
        <f t="shared" si="75"/>
        <v>-1.6177449444150012E-2</v>
      </c>
    </row>
    <row r="2392" spans="1:9" x14ac:dyDescent="0.75">
      <c r="A2392" s="1">
        <v>42354</v>
      </c>
      <c r="B2392">
        <v>35.520000000000003</v>
      </c>
      <c r="C2392">
        <v>36.79</v>
      </c>
      <c r="D2392">
        <v>37.35</v>
      </c>
      <c r="E2392">
        <v>35.29</v>
      </c>
      <c r="F2392" t="s">
        <v>2237</v>
      </c>
      <c r="G2392" s="2">
        <v>-4.9000000000000002E-2</v>
      </c>
      <c r="H2392">
        <f t="shared" si="74"/>
        <v>-4.8995983935742927E-2</v>
      </c>
      <c r="I2392">
        <f t="shared" si="75"/>
        <v>-5.0236993454856917E-2</v>
      </c>
    </row>
    <row r="2393" spans="1:9" x14ac:dyDescent="0.75">
      <c r="A2393" s="1">
        <v>42353</v>
      </c>
      <c r="B2393">
        <v>37.35</v>
      </c>
      <c r="C2393">
        <v>36.32</v>
      </c>
      <c r="D2393">
        <v>37.880000000000003</v>
      </c>
      <c r="E2393">
        <v>36.03</v>
      </c>
      <c r="F2393" t="s">
        <v>2238</v>
      </c>
      <c r="G2393" s="2">
        <v>2.86E-2</v>
      </c>
      <c r="H2393">
        <f t="shared" si="74"/>
        <v>2.8642247314789288E-2</v>
      </c>
      <c r="I2393">
        <f t="shared" si="75"/>
        <v>2.823972615258195E-2</v>
      </c>
    </row>
    <row r="2394" spans="1:9" x14ac:dyDescent="0.75">
      <c r="A2394" s="1">
        <v>42352</v>
      </c>
      <c r="B2394">
        <v>36.31</v>
      </c>
      <c r="C2394">
        <v>35.4</v>
      </c>
      <c r="D2394">
        <v>36.700000000000003</v>
      </c>
      <c r="E2394">
        <v>34.53</v>
      </c>
      <c r="F2394" t="s">
        <v>2239</v>
      </c>
      <c r="G2394" s="2">
        <v>1.9400000000000001E-2</v>
      </c>
      <c r="H2394">
        <f t="shared" si="74"/>
        <v>1.937113980909615E-2</v>
      </c>
      <c r="I2394">
        <f t="shared" si="75"/>
        <v>1.9185907564728915E-2</v>
      </c>
    </row>
    <row r="2395" spans="1:9" x14ac:dyDescent="0.75">
      <c r="A2395" s="1">
        <v>42349</v>
      </c>
      <c r="B2395">
        <v>35.619999999999997</v>
      </c>
      <c r="C2395">
        <v>36.630000000000003</v>
      </c>
      <c r="D2395">
        <v>36.840000000000003</v>
      </c>
      <c r="E2395">
        <v>35.159999999999997</v>
      </c>
      <c r="F2395" t="s">
        <v>2240</v>
      </c>
      <c r="G2395" s="2">
        <v>-3.1E-2</v>
      </c>
      <c r="H2395">
        <f t="shared" si="74"/>
        <v>-3.1011969532100125E-2</v>
      </c>
      <c r="I2395">
        <f t="shared" si="75"/>
        <v>-3.1503019625970768E-2</v>
      </c>
    </row>
    <row r="2396" spans="1:9" x14ac:dyDescent="0.75">
      <c r="A2396" s="1">
        <v>42348</v>
      </c>
      <c r="B2396">
        <v>36.76</v>
      </c>
      <c r="C2396">
        <v>37.270000000000003</v>
      </c>
      <c r="D2396">
        <v>37.54</v>
      </c>
      <c r="E2396">
        <v>36.380000000000003</v>
      </c>
      <c r="F2396" t="s">
        <v>2241</v>
      </c>
      <c r="G2396" s="2">
        <v>-1.0800000000000001E-2</v>
      </c>
      <c r="H2396">
        <f t="shared" si="74"/>
        <v>-1.0764262648008574E-2</v>
      </c>
      <c r="I2396">
        <f t="shared" si="75"/>
        <v>-1.0822616458151416E-2</v>
      </c>
    </row>
    <row r="2397" spans="1:9" x14ac:dyDescent="0.75">
      <c r="A2397" s="1">
        <v>42347</v>
      </c>
      <c r="B2397">
        <v>37.159999999999997</v>
      </c>
      <c r="C2397">
        <v>37.86</v>
      </c>
      <c r="D2397">
        <v>38.99</v>
      </c>
      <c r="E2397">
        <v>36.869999999999997</v>
      </c>
      <c r="F2397" t="s">
        <v>2242</v>
      </c>
      <c r="G2397" s="2">
        <v>-9.2999999999999992E-3</v>
      </c>
      <c r="H2397">
        <f t="shared" si="74"/>
        <v>-9.3308451079712456E-3</v>
      </c>
      <c r="I2397">
        <f t="shared" si="75"/>
        <v>-9.3746501481582097E-3</v>
      </c>
    </row>
    <row r="2398" spans="1:9" x14ac:dyDescent="0.75">
      <c r="A2398" s="1">
        <v>42346</v>
      </c>
      <c r="B2398">
        <v>37.51</v>
      </c>
      <c r="C2398">
        <v>37.68</v>
      </c>
      <c r="D2398">
        <v>38.58</v>
      </c>
      <c r="E2398">
        <v>36.64</v>
      </c>
      <c r="F2398" t="s">
        <v>2243</v>
      </c>
      <c r="G2398" s="2">
        <v>-3.7000000000000002E-3</v>
      </c>
      <c r="H2398">
        <f t="shared" si="74"/>
        <v>-3.7184594953519408E-3</v>
      </c>
      <c r="I2398">
        <f t="shared" si="75"/>
        <v>-3.7253901521066817E-3</v>
      </c>
    </row>
    <row r="2399" spans="1:9" x14ac:dyDescent="0.75">
      <c r="A2399" s="1">
        <v>42345</v>
      </c>
      <c r="B2399">
        <v>37.65</v>
      </c>
      <c r="C2399">
        <v>40.1</v>
      </c>
      <c r="D2399">
        <v>40.15</v>
      </c>
      <c r="E2399">
        <v>37.5</v>
      </c>
      <c r="F2399" t="s">
        <v>2244</v>
      </c>
      <c r="G2399" s="2">
        <v>-5.8000000000000003E-2</v>
      </c>
      <c r="H2399">
        <f t="shared" si="74"/>
        <v>-5.8043532649487126E-2</v>
      </c>
      <c r="I2399">
        <f t="shared" si="75"/>
        <v>-5.9796218477329598E-2</v>
      </c>
    </row>
    <row r="2400" spans="1:9" x14ac:dyDescent="0.75">
      <c r="A2400" s="1">
        <v>42342</v>
      </c>
      <c r="B2400">
        <v>39.97</v>
      </c>
      <c r="C2400">
        <v>41.31</v>
      </c>
      <c r="D2400">
        <v>42</v>
      </c>
      <c r="E2400">
        <v>39.6</v>
      </c>
      <c r="F2400" t="s">
        <v>2245</v>
      </c>
      <c r="G2400" s="2">
        <v>-2.7E-2</v>
      </c>
      <c r="H2400">
        <f t="shared" si="74"/>
        <v>-2.7020447906523842E-2</v>
      </c>
      <c r="I2400">
        <f t="shared" si="75"/>
        <v>-2.7392212337125275E-2</v>
      </c>
    </row>
    <row r="2401" spans="1:9" x14ac:dyDescent="0.75">
      <c r="A2401" s="1">
        <v>42341</v>
      </c>
      <c r="B2401">
        <v>41.08</v>
      </c>
      <c r="C2401">
        <v>40.15</v>
      </c>
      <c r="D2401">
        <v>41.78</v>
      </c>
      <c r="E2401">
        <v>40.07</v>
      </c>
      <c r="F2401" t="s">
        <v>2246</v>
      </c>
      <c r="G2401" s="2">
        <v>2.8500000000000001E-2</v>
      </c>
      <c r="H2401">
        <f t="shared" si="74"/>
        <v>2.8542814221332015E-2</v>
      </c>
      <c r="I2401">
        <f t="shared" si="75"/>
        <v>2.8143057072688306E-2</v>
      </c>
    </row>
    <row r="2402" spans="1:9" x14ac:dyDescent="0.75">
      <c r="A2402" s="1">
        <v>42340</v>
      </c>
      <c r="B2402">
        <v>39.94</v>
      </c>
      <c r="C2402">
        <v>41.69</v>
      </c>
      <c r="D2402">
        <v>41.97</v>
      </c>
      <c r="E2402">
        <v>39.840000000000003</v>
      </c>
      <c r="F2402" t="s">
        <v>2247</v>
      </c>
      <c r="G2402" s="2">
        <v>-4.5600000000000002E-2</v>
      </c>
      <c r="H2402">
        <f t="shared" si="74"/>
        <v>-4.563918757467153E-2</v>
      </c>
      <c r="I2402">
        <f t="shared" si="75"/>
        <v>-4.6713468947815286E-2</v>
      </c>
    </row>
    <row r="2403" spans="1:9" x14ac:dyDescent="0.75">
      <c r="A2403" s="1">
        <v>42339</v>
      </c>
      <c r="B2403">
        <v>41.85</v>
      </c>
      <c r="C2403">
        <v>41.73</v>
      </c>
      <c r="D2403">
        <v>42.23</v>
      </c>
      <c r="E2403">
        <v>41.17</v>
      </c>
      <c r="F2403" t="s">
        <v>2248</v>
      </c>
      <c r="G2403" s="2">
        <v>4.7999999999999996E-3</v>
      </c>
      <c r="H2403">
        <f t="shared" si="74"/>
        <v>4.8019207683073911E-3</v>
      </c>
      <c r="I2403">
        <f t="shared" si="75"/>
        <v>4.7904283226327393E-3</v>
      </c>
    </row>
    <row r="2404" spans="1:9" x14ac:dyDescent="0.75">
      <c r="A2404" s="1">
        <v>42338</v>
      </c>
      <c r="B2404">
        <v>41.65</v>
      </c>
      <c r="C2404">
        <v>41.77</v>
      </c>
      <c r="D2404">
        <v>42.61</v>
      </c>
      <c r="E2404">
        <v>41.5</v>
      </c>
      <c r="F2404" t="s">
        <v>2249</v>
      </c>
      <c r="G2404" s="2">
        <v>-1.4E-3</v>
      </c>
      <c r="H2404">
        <f t="shared" si="74"/>
        <v>-1.4385039558859332E-3</v>
      </c>
      <c r="I2404">
        <f t="shared" si="75"/>
        <v>-1.4395395960022633E-3</v>
      </c>
    </row>
    <row r="2405" spans="1:9" x14ac:dyDescent="0.75">
      <c r="A2405" s="1">
        <v>42335</v>
      </c>
      <c r="B2405">
        <v>41.71</v>
      </c>
      <c r="C2405">
        <v>43.25</v>
      </c>
      <c r="D2405">
        <v>43.3</v>
      </c>
      <c r="E2405">
        <v>41.67</v>
      </c>
      <c r="F2405" t="s">
        <v>2250</v>
      </c>
      <c r="G2405" s="2">
        <v>-2.07E-2</v>
      </c>
      <c r="H2405">
        <f t="shared" si="74"/>
        <v>-2.0662127259920227E-2</v>
      </c>
      <c r="I2405">
        <f t="shared" si="75"/>
        <v>-2.0878575726268302E-2</v>
      </c>
    </row>
    <row r="2406" spans="1:9" x14ac:dyDescent="0.75">
      <c r="A2406" s="1">
        <v>42334</v>
      </c>
      <c r="B2406">
        <v>42.59</v>
      </c>
      <c r="C2406">
        <v>43.08</v>
      </c>
      <c r="D2406">
        <v>43.29</v>
      </c>
      <c r="E2406">
        <v>42.3</v>
      </c>
      <c r="G2406" s="2">
        <v>-1.0500000000000001E-2</v>
      </c>
      <c r="H2406">
        <f t="shared" si="74"/>
        <v>-1.0455390334572393E-2</v>
      </c>
      <c r="I2406">
        <f t="shared" si="75"/>
        <v>-1.0510431918406799E-2</v>
      </c>
    </row>
    <row r="2407" spans="1:9" x14ac:dyDescent="0.75">
      <c r="A2407" s="1">
        <v>42333</v>
      </c>
      <c r="B2407">
        <v>43.04</v>
      </c>
      <c r="C2407">
        <v>42.69</v>
      </c>
      <c r="D2407">
        <v>43.25</v>
      </c>
      <c r="E2407">
        <v>41.72</v>
      </c>
      <c r="F2407" t="s">
        <v>2251</v>
      </c>
      <c r="G2407" s="2">
        <v>4.0000000000000001E-3</v>
      </c>
      <c r="H2407">
        <f t="shared" si="74"/>
        <v>3.9654770235596389E-3</v>
      </c>
      <c r="I2407">
        <f t="shared" si="75"/>
        <v>3.9576352436431856E-3</v>
      </c>
    </row>
    <row r="2408" spans="1:9" x14ac:dyDescent="0.75">
      <c r="A2408" s="1">
        <v>42332</v>
      </c>
      <c r="B2408">
        <v>42.87</v>
      </c>
      <c r="C2408">
        <v>42.04</v>
      </c>
      <c r="D2408">
        <v>43.46</v>
      </c>
      <c r="E2408">
        <v>41.86</v>
      </c>
      <c r="F2408" t="s">
        <v>2252</v>
      </c>
      <c r="G2408" s="2">
        <v>2.6800000000000001E-2</v>
      </c>
      <c r="H2408">
        <f t="shared" si="74"/>
        <v>2.6826347305389159E-2</v>
      </c>
      <c r="I2408">
        <f t="shared" si="75"/>
        <v>2.6472829313021154E-2</v>
      </c>
    </row>
    <row r="2409" spans="1:9" x14ac:dyDescent="0.75">
      <c r="A2409" s="1">
        <v>42331</v>
      </c>
      <c r="B2409">
        <v>41.75</v>
      </c>
      <c r="C2409">
        <v>41.49</v>
      </c>
      <c r="D2409">
        <v>42.75</v>
      </c>
      <c r="E2409">
        <v>40.409999999999997</v>
      </c>
      <c r="F2409" t="s">
        <v>2253</v>
      </c>
      <c r="G2409" s="2">
        <v>3.3700000000000001E-2</v>
      </c>
      <c r="H2409">
        <f t="shared" si="74"/>
        <v>3.3671700916068317E-2</v>
      </c>
      <c r="I2409">
        <f t="shared" si="75"/>
        <v>3.311722172154296E-2</v>
      </c>
    </row>
    <row r="2410" spans="1:9" x14ac:dyDescent="0.75">
      <c r="A2410" s="1">
        <v>42328</v>
      </c>
      <c r="B2410">
        <v>40.39</v>
      </c>
      <c r="C2410">
        <v>40.54</v>
      </c>
      <c r="D2410">
        <v>40.99</v>
      </c>
      <c r="E2410">
        <v>38.99</v>
      </c>
      <c r="F2410" t="s">
        <v>2254</v>
      </c>
      <c r="G2410" s="2">
        <v>-3.7000000000000002E-3</v>
      </c>
      <c r="H2410">
        <f t="shared" si="74"/>
        <v>-3.7000493339910847E-3</v>
      </c>
      <c r="I2410">
        <f t="shared" si="75"/>
        <v>-3.7069114485323985E-3</v>
      </c>
    </row>
    <row r="2411" spans="1:9" x14ac:dyDescent="0.75">
      <c r="A2411" s="1">
        <v>42327</v>
      </c>
      <c r="B2411">
        <v>40.54</v>
      </c>
      <c r="C2411">
        <v>40.72</v>
      </c>
      <c r="D2411">
        <v>41.05</v>
      </c>
      <c r="E2411">
        <v>39.89</v>
      </c>
      <c r="F2411" t="s">
        <v>2255</v>
      </c>
      <c r="G2411" s="2">
        <v>-5.1999999999999998E-3</v>
      </c>
      <c r="H2411">
        <f t="shared" si="74"/>
        <v>-5.1533742331288553E-3</v>
      </c>
      <c r="I2411">
        <f t="shared" si="75"/>
        <v>-5.1666986630177969E-3</v>
      </c>
    </row>
    <row r="2412" spans="1:9" x14ac:dyDescent="0.75">
      <c r="A2412" s="1">
        <v>42326</v>
      </c>
      <c r="B2412">
        <v>40.75</v>
      </c>
      <c r="C2412">
        <v>41.11</v>
      </c>
      <c r="D2412">
        <v>41.55</v>
      </c>
      <c r="E2412">
        <v>39.909999999999997</v>
      </c>
      <c r="F2412" t="s">
        <v>2256</v>
      </c>
      <c r="G2412" s="2">
        <v>2E-3</v>
      </c>
      <c r="H2412">
        <f t="shared" si="74"/>
        <v>1.9670518809933191E-3</v>
      </c>
      <c r="I2412">
        <f t="shared" si="75"/>
        <v>1.9651197677385199E-3</v>
      </c>
    </row>
    <row r="2413" spans="1:9" x14ac:dyDescent="0.75">
      <c r="A2413" s="1">
        <v>42325</v>
      </c>
      <c r="B2413">
        <v>40.67</v>
      </c>
      <c r="C2413">
        <v>41.96</v>
      </c>
      <c r="D2413">
        <v>42.03</v>
      </c>
      <c r="E2413">
        <v>40.58</v>
      </c>
      <c r="F2413" t="s">
        <v>2257</v>
      </c>
      <c r="G2413" s="2">
        <v>-2.5600000000000001E-2</v>
      </c>
      <c r="H2413">
        <f t="shared" si="74"/>
        <v>-2.5634882606612369E-2</v>
      </c>
      <c r="I2413">
        <f t="shared" si="75"/>
        <v>-2.5969181729921562E-2</v>
      </c>
    </row>
    <row r="2414" spans="1:9" x14ac:dyDescent="0.75">
      <c r="A2414" s="1">
        <v>42324</v>
      </c>
      <c r="B2414">
        <v>41.74</v>
      </c>
      <c r="C2414">
        <v>40.92</v>
      </c>
      <c r="D2414">
        <v>42.25</v>
      </c>
      <c r="E2414">
        <v>40.06</v>
      </c>
      <c r="F2414" t="s">
        <v>2258</v>
      </c>
      <c r="G2414" s="2">
        <v>2.4500000000000001E-2</v>
      </c>
      <c r="H2414">
        <f t="shared" si="74"/>
        <v>2.4545900834560628E-2</v>
      </c>
      <c r="I2414">
        <f t="shared" si="75"/>
        <v>2.4249490850394843E-2</v>
      </c>
    </row>
    <row r="2415" spans="1:9" x14ac:dyDescent="0.75">
      <c r="A2415" s="1">
        <v>42321</v>
      </c>
      <c r="B2415">
        <v>40.74</v>
      </c>
      <c r="C2415">
        <v>41.61</v>
      </c>
      <c r="D2415">
        <v>42.21</v>
      </c>
      <c r="E2415">
        <v>40.22</v>
      </c>
      <c r="F2415" t="s">
        <v>2259</v>
      </c>
      <c r="G2415" s="2">
        <v>-2.4199999999999999E-2</v>
      </c>
      <c r="H2415">
        <f t="shared" si="74"/>
        <v>-2.4191616766467017E-2</v>
      </c>
      <c r="I2415">
        <f t="shared" si="75"/>
        <v>-2.4489040498204634E-2</v>
      </c>
    </row>
    <row r="2416" spans="1:9" x14ac:dyDescent="0.75">
      <c r="A2416" s="1">
        <v>42320</v>
      </c>
      <c r="B2416">
        <v>41.75</v>
      </c>
      <c r="C2416">
        <v>43.05</v>
      </c>
      <c r="D2416">
        <v>43.33</v>
      </c>
      <c r="E2416">
        <v>41.54</v>
      </c>
      <c r="F2416" t="s">
        <v>2260</v>
      </c>
      <c r="G2416" s="2">
        <v>-2.75E-2</v>
      </c>
      <c r="H2416">
        <f t="shared" si="74"/>
        <v>-2.7486606102958298E-2</v>
      </c>
      <c r="I2416">
        <f t="shared" si="75"/>
        <v>-2.7871430939604716E-2</v>
      </c>
    </row>
    <row r="2417" spans="1:9" x14ac:dyDescent="0.75">
      <c r="A2417" s="1">
        <v>42319</v>
      </c>
      <c r="B2417">
        <v>42.93</v>
      </c>
      <c r="C2417">
        <v>43.63</v>
      </c>
      <c r="D2417">
        <v>44.11</v>
      </c>
      <c r="E2417">
        <v>42.62</v>
      </c>
      <c r="F2417" t="s">
        <v>2261</v>
      </c>
      <c r="G2417" s="2">
        <v>-2.9000000000000001E-2</v>
      </c>
      <c r="H2417">
        <f t="shared" si="74"/>
        <v>-2.8952725627686068E-2</v>
      </c>
      <c r="I2417">
        <f t="shared" si="75"/>
        <v>-2.9380125601682589E-2</v>
      </c>
    </row>
    <row r="2418" spans="1:9" x14ac:dyDescent="0.75">
      <c r="A2418" s="1">
        <v>42318</v>
      </c>
      <c r="B2418">
        <v>44.21</v>
      </c>
      <c r="C2418">
        <v>44.1</v>
      </c>
      <c r="D2418">
        <v>44.76</v>
      </c>
      <c r="E2418">
        <v>43.57</v>
      </c>
      <c r="F2418" t="s">
        <v>2262</v>
      </c>
      <c r="G2418" s="2">
        <v>7.7999999999999996E-3</v>
      </c>
      <c r="H2418">
        <f t="shared" si="74"/>
        <v>7.7501709596536003E-3</v>
      </c>
      <c r="I2418">
        <f t="shared" si="75"/>
        <v>7.720292660029395E-3</v>
      </c>
    </row>
    <row r="2419" spans="1:9" x14ac:dyDescent="0.75">
      <c r="A2419" s="1">
        <v>42317</v>
      </c>
      <c r="B2419">
        <v>43.87</v>
      </c>
      <c r="C2419">
        <v>44.52</v>
      </c>
      <c r="D2419">
        <v>45.12</v>
      </c>
      <c r="E2419">
        <v>43.64</v>
      </c>
      <c r="F2419" t="s">
        <v>2263</v>
      </c>
      <c r="G2419" s="2">
        <v>-9.4999999999999998E-3</v>
      </c>
      <c r="H2419">
        <f t="shared" si="74"/>
        <v>-9.4829532625875304E-3</v>
      </c>
      <c r="I2419">
        <f t="shared" si="75"/>
        <v>-9.5282027569842491E-3</v>
      </c>
    </row>
    <row r="2420" spans="1:9" x14ac:dyDescent="0.75">
      <c r="A2420" s="1">
        <v>42314</v>
      </c>
      <c r="B2420">
        <v>44.29</v>
      </c>
      <c r="C2420">
        <v>45.41</v>
      </c>
      <c r="D2420">
        <v>45.64</v>
      </c>
      <c r="E2420">
        <v>44.11</v>
      </c>
      <c r="F2420" t="s">
        <v>2264</v>
      </c>
      <c r="G2420" s="2">
        <v>-2.01E-2</v>
      </c>
      <c r="H2420">
        <f t="shared" si="74"/>
        <v>-2.013274336283194E-2</v>
      </c>
      <c r="I2420">
        <f t="shared" si="75"/>
        <v>-2.0338168903078702E-2</v>
      </c>
    </row>
    <row r="2421" spans="1:9" x14ac:dyDescent="0.75">
      <c r="A2421" s="1">
        <v>42313</v>
      </c>
      <c r="B2421">
        <v>45.2</v>
      </c>
      <c r="C2421">
        <v>46.57</v>
      </c>
      <c r="D2421">
        <v>46.65</v>
      </c>
      <c r="E2421">
        <v>45.12</v>
      </c>
      <c r="F2421" t="s">
        <v>2265</v>
      </c>
      <c r="G2421" s="2">
        <v>-2.4199999999999999E-2</v>
      </c>
      <c r="H2421">
        <f t="shared" si="74"/>
        <v>-2.417962003454226E-2</v>
      </c>
      <c r="I2421">
        <f t="shared" si="75"/>
        <v>-2.4476746426554199E-2</v>
      </c>
    </row>
    <row r="2422" spans="1:9" x14ac:dyDescent="0.75">
      <c r="A2422" s="1">
        <v>42312</v>
      </c>
      <c r="B2422">
        <v>46.32</v>
      </c>
      <c r="C2422">
        <v>47.74</v>
      </c>
      <c r="D2422">
        <v>48.28</v>
      </c>
      <c r="E2422">
        <v>46.17</v>
      </c>
      <c r="F2422" t="s">
        <v>2266</v>
      </c>
      <c r="G2422" s="2">
        <v>-3.3000000000000002E-2</v>
      </c>
      <c r="H2422">
        <f t="shared" si="74"/>
        <v>-3.2985386221294329E-2</v>
      </c>
      <c r="I2422">
        <f t="shared" si="75"/>
        <v>-3.3541671152129707E-2</v>
      </c>
    </row>
    <row r="2423" spans="1:9" x14ac:dyDescent="0.75">
      <c r="A2423" s="1">
        <v>42311</v>
      </c>
      <c r="B2423">
        <v>47.9</v>
      </c>
      <c r="C2423">
        <v>46.11</v>
      </c>
      <c r="D2423">
        <v>48.36</v>
      </c>
      <c r="E2423">
        <v>45.96</v>
      </c>
      <c r="F2423" t="s">
        <v>2267</v>
      </c>
      <c r="G2423" s="2">
        <v>3.8100000000000002E-2</v>
      </c>
      <c r="H2423">
        <f t="shared" si="74"/>
        <v>3.81447767663632E-2</v>
      </c>
      <c r="I2423">
        <f t="shared" si="75"/>
        <v>3.7435251671261889E-2</v>
      </c>
    </row>
    <row r="2424" spans="1:9" x14ac:dyDescent="0.75">
      <c r="A2424" s="1">
        <v>42310</v>
      </c>
      <c r="B2424">
        <v>46.14</v>
      </c>
      <c r="C2424">
        <v>46.43</v>
      </c>
      <c r="D2424">
        <v>46.73</v>
      </c>
      <c r="E2424">
        <v>45.56</v>
      </c>
      <c r="F2424" t="s">
        <v>2268</v>
      </c>
      <c r="G2424" s="2">
        <v>-9.7000000000000003E-3</v>
      </c>
      <c r="H2424">
        <f t="shared" si="74"/>
        <v>-9.658725048293685E-3</v>
      </c>
      <c r="I2424">
        <f t="shared" si="75"/>
        <v>-9.7056730830978426E-3</v>
      </c>
    </row>
    <row r="2425" spans="1:9" x14ac:dyDescent="0.75">
      <c r="A2425" s="1">
        <v>42307</v>
      </c>
      <c r="B2425">
        <v>46.59</v>
      </c>
      <c r="C2425">
        <v>45.74</v>
      </c>
      <c r="D2425">
        <v>47.03</v>
      </c>
      <c r="E2425">
        <v>45.48</v>
      </c>
      <c r="F2425" t="s">
        <v>2269</v>
      </c>
      <c r="G2425" s="2">
        <v>1.15E-2</v>
      </c>
      <c r="H2425">
        <f t="shared" si="74"/>
        <v>1.1506730351715178E-2</v>
      </c>
      <c r="I2425">
        <f t="shared" si="75"/>
        <v>1.1441031436166222E-2</v>
      </c>
    </row>
    <row r="2426" spans="1:9" x14ac:dyDescent="0.75">
      <c r="A2426" s="1">
        <v>42306</v>
      </c>
      <c r="B2426">
        <v>46.06</v>
      </c>
      <c r="C2426">
        <v>46.06</v>
      </c>
      <c r="D2426">
        <v>46.79</v>
      </c>
      <c r="E2426">
        <v>45.16</v>
      </c>
      <c r="F2426" t="s">
        <v>2270</v>
      </c>
      <c r="G2426" s="2">
        <v>2.5999999999999999E-3</v>
      </c>
      <c r="H2426">
        <f t="shared" si="74"/>
        <v>2.6121027427079791E-3</v>
      </c>
      <c r="I2426">
        <f t="shared" si="75"/>
        <v>2.6086971315870218E-3</v>
      </c>
    </row>
    <row r="2427" spans="1:9" x14ac:dyDescent="0.75">
      <c r="A2427" s="1">
        <v>42305</v>
      </c>
      <c r="B2427">
        <v>45.94</v>
      </c>
      <c r="C2427">
        <v>43.44</v>
      </c>
      <c r="D2427">
        <v>46.22</v>
      </c>
      <c r="E2427">
        <v>43.06</v>
      </c>
      <c r="F2427" t="s">
        <v>2271</v>
      </c>
      <c r="G2427" s="2">
        <v>6.3399999999999998E-2</v>
      </c>
      <c r="H2427">
        <f t="shared" si="74"/>
        <v>6.3425925925925802E-2</v>
      </c>
      <c r="I2427">
        <f t="shared" si="75"/>
        <v>6.1495702010887422E-2</v>
      </c>
    </row>
    <row r="2428" spans="1:9" x14ac:dyDescent="0.75">
      <c r="A2428" s="1">
        <v>42304</v>
      </c>
      <c r="B2428">
        <v>43.2</v>
      </c>
      <c r="C2428">
        <v>43.78</v>
      </c>
      <c r="D2428">
        <v>43.91</v>
      </c>
      <c r="E2428">
        <v>42.58</v>
      </c>
      <c r="F2428" t="s">
        <v>2272</v>
      </c>
      <c r="G2428" s="2">
        <v>-1.77E-2</v>
      </c>
      <c r="H2428">
        <f t="shared" si="74"/>
        <v>-1.7735334242837519E-2</v>
      </c>
      <c r="I2428">
        <f t="shared" si="75"/>
        <v>-1.7894489876550304E-2</v>
      </c>
    </row>
    <row r="2429" spans="1:9" x14ac:dyDescent="0.75">
      <c r="A2429" s="1">
        <v>42303</v>
      </c>
      <c r="B2429">
        <v>43.98</v>
      </c>
      <c r="C2429">
        <v>44.74</v>
      </c>
      <c r="D2429">
        <v>44.94</v>
      </c>
      <c r="E2429">
        <v>43.64</v>
      </c>
      <c r="F2429" t="s">
        <v>2273</v>
      </c>
      <c r="G2429" s="2">
        <v>-1.3899999999999999E-2</v>
      </c>
      <c r="H2429">
        <f t="shared" si="74"/>
        <v>-1.3901345291479923E-2</v>
      </c>
      <c r="I2429">
        <f t="shared" si="75"/>
        <v>-1.3998873899403345E-2</v>
      </c>
    </row>
    <row r="2430" spans="1:9" x14ac:dyDescent="0.75">
      <c r="A2430" s="1">
        <v>42300</v>
      </c>
      <c r="B2430">
        <v>44.6</v>
      </c>
      <c r="C2430">
        <v>45.44</v>
      </c>
      <c r="D2430">
        <v>45.75</v>
      </c>
      <c r="E2430">
        <v>44.2</v>
      </c>
      <c r="F2430" t="s">
        <v>2274</v>
      </c>
      <c r="G2430" s="2">
        <v>-1.72E-2</v>
      </c>
      <c r="H2430">
        <f t="shared" si="74"/>
        <v>-1.7188188629352161E-2</v>
      </c>
      <c r="I2430">
        <f t="shared" si="75"/>
        <v>-1.7337620325677264E-2</v>
      </c>
    </row>
    <row r="2431" spans="1:9" x14ac:dyDescent="0.75">
      <c r="A2431" s="1">
        <v>42299</v>
      </c>
      <c r="B2431">
        <v>45.38</v>
      </c>
      <c r="C2431">
        <v>45.27</v>
      </c>
      <c r="D2431">
        <v>46.1</v>
      </c>
      <c r="E2431">
        <v>44.9</v>
      </c>
      <c r="F2431" t="s">
        <v>2275</v>
      </c>
      <c r="G2431" s="2">
        <v>4.0000000000000001E-3</v>
      </c>
      <c r="H2431">
        <f t="shared" si="74"/>
        <v>3.9823008849557461E-3</v>
      </c>
      <c r="I2431">
        <f t="shared" si="75"/>
        <v>3.9743925135101825E-3</v>
      </c>
    </row>
    <row r="2432" spans="1:9" x14ac:dyDescent="0.75">
      <c r="A2432" s="1">
        <v>42298</v>
      </c>
      <c r="B2432">
        <v>45.2</v>
      </c>
      <c r="C2432">
        <v>45.88</v>
      </c>
      <c r="D2432">
        <v>46.08</v>
      </c>
      <c r="E2432">
        <v>44.86</v>
      </c>
      <c r="F2432" t="s">
        <v>2276</v>
      </c>
      <c r="G2432" s="2">
        <v>-7.7000000000000002E-3</v>
      </c>
      <c r="H2432">
        <f t="shared" si="74"/>
        <v>-7.6838638858396126E-3</v>
      </c>
      <c r="I2432">
        <f t="shared" si="75"/>
        <v>-7.7135368677817232E-3</v>
      </c>
    </row>
    <row r="2433" spans="1:9" x14ac:dyDescent="0.75">
      <c r="A2433" s="1">
        <v>42297</v>
      </c>
      <c r="B2433">
        <v>45.55</v>
      </c>
      <c r="C2433">
        <v>46.25</v>
      </c>
      <c r="D2433">
        <v>46.52</v>
      </c>
      <c r="E2433">
        <v>45.23</v>
      </c>
      <c r="F2433" t="s">
        <v>2277</v>
      </c>
      <c r="G2433" s="2">
        <v>-7.4000000000000003E-3</v>
      </c>
      <c r="H2433">
        <f t="shared" si="74"/>
        <v>-7.4090215733275963E-3</v>
      </c>
      <c r="I2433">
        <f t="shared" si="75"/>
        <v>-7.4366047007748534E-3</v>
      </c>
    </row>
    <row r="2434" spans="1:9" x14ac:dyDescent="0.75">
      <c r="A2434" s="1">
        <v>42296</v>
      </c>
      <c r="B2434">
        <v>45.89</v>
      </c>
      <c r="C2434">
        <v>47.27</v>
      </c>
      <c r="D2434">
        <v>47.49</v>
      </c>
      <c r="E2434">
        <v>45.85</v>
      </c>
      <c r="F2434" t="s">
        <v>2278</v>
      </c>
      <c r="G2434" s="2">
        <v>-2.9000000000000001E-2</v>
      </c>
      <c r="H2434">
        <f t="shared" si="74"/>
        <v>-2.8988573846804856E-2</v>
      </c>
      <c r="I2434">
        <f t="shared" si="75"/>
        <v>-2.9417043352019598E-2</v>
      </c>
    </row>
    <row r="2435" spans="1:9" x14ac:dyDescent="0.75">
      <c r="A2435" s="1">
        <v>42293</v>
      </c>
      <c r="B2435">
        <v>47.26</v>
      </c>
      <c r="C2435">
        <v>46.87</v>
      </c>
      <c r="D2435">
        <v>47.5</v>
      </c>
      <c r="E2435">
        <v>46.16</v>
      </c>
      <c r="F2435" t="s">
        <v>2279</v>
      </c>
      <c r="G2435" s="2">
        <v>1.9E-2</v>
      </c>
      <c r="H2435">
        <f t="shared" ref="H2435:H2498" si="76">(B2435-B2436)/B2436</f>
        <v>1.8973695558430259E-2</v>
      </c>
      <c r="I2435">
        <f t="shared" ref="I2435:I2498" si="77">LN(B2435/B2436)</f>
        <v>1.879593993137614E-2</v>
      </c>
    </row>
    <row r="2436" spans="1:9" x14ac:dyDescent="0.75">
      <c r="A2436" s="1">
        <v>42292</v>
      </c>
      <c r="B2436">
        <v>46.38</v>
      </c>
      <c r="C2436">
        <v>46.28</v>
      </c>
      <c r="D2436">
        <v>47.02</v>
      </c>
      <c r="E2436">
        <v>45.23</v>
      </c>
      <c r="F2436" t="s">
        <v>2280</v>
      </c>
      <c r="G2436" s="2">
        <v>-5.5999999999999999E-3</v>
      </c>
      <c r="H2436">
        <f t="shared" si="76"/>
        <v>-5.5746140651800604E-3</v>
      </c>
      <c r="I2436">
        <f t="shared" si="77"/>
        <v>-5.5902102148512461E-3</v>
      </c>
    </row>
    <row r="2437" spans="1:9" x14ac:dyDescent="0.75">
      <c r="A2437" s="1">
        <v>42291</v>
      </c>
      <c r="B2437">
        <v>46.64</v>
      </c>
      <c r="C2437">
        <v>46.69</v>
      </c>
      <c r="D2437">
        <v>46.96</v>
      </c>
      <c r="E2437">
        <v>45.94</v>
      </c>
      <c r="F2437" t="s">
        <v>2281</v>
      </c>
      <c r="G2437" s="2">
        <v>-4.0000000000000002E-4</v>
      </c>
      <c r="H2437">
        <f t="shared" si="76"/>
        <v>-4.2863266180874461E-4</v>
      </c>
      <c r="I2437">
        <f t="shared" si="77"/>
        <v>-4.2872455104684521E-4</v>
      </c>
    </row>
    <row r="2438" spans="1:9" x14ac:dyDescent="0.75">
      <c r="A2438" s="1">
        <v>42290</v>
      </c>
      <c r="B2438">
        <v>46.66</v>
      </c>
      <c r="C2438">
        <v>47.46</v>
      </c>
      <c r="D2438">
        <v>48.43</v>
      </c>
      <c r="E2438">
        <v>46.44</v>
      </c>
      <c r="F2438" t="s">
        <v>2282</v>
      </c>
      <c r="G2438" s="2">
        <v>-9.2999999999999992E-3</v>
      </c>
      <c r="H2438">
        <f t="shared" si="76"/>
        <v>-9.3418259023355585E-3</v>
      </c>
      <c r="I2438">
        <f t="shared" si="77"/>
        <v>-9.3857344290882647E-3</v>
      </c>
    </row>
    <row r="2439" spans="1:9" x14ac:dyDescent="0.75">
      <c r="A2439" s="1">
        <v>42289</v>
      </c>
      <c r="B2439">
        <v>47.1</v>
      </c>
      <c r="C2439">
        <v>49.51</v>
      </c>
      <c r="D2439">
        <v>50.13</v>
      </c>
      <c r="E2439">
        <v>47.04</v>
      </c>
      <c r="F2439" t="s">
        <v>2283</v>
      </c>
      <c r="G2439" s="2">
        <v>-5.0999999999999997E-2</v>
      </c>
      <c r="H2439">
        <f t="shared" si="76"/>
        <v>-5.0977231513197684E-2</v>
      </c>
      <c r="I2439">
        <f t="shared" si="77"/>
        <v>-5.2322488576977369E-2</v>
      </c>
    </row>
    <row r="2440" spans="1:9" x14ac:dyDescent="0.75">
      <c r="A2440" s="1">
        <v>42286</v>
      </c>
      <c r="B2440">
        <v>49.63</v>
      </c>
      <c r="C2440">
        <v>49.69</v>
      </c>
      <c r="D2440">
        <v>50.92</v>
      </c>
      <c r="E2440">
        <v>49.17</v>
      </c>
      <c r="F2440" t="s">
        <v>2284</v>
      </c>
      <c r="G2440" s="2">
        <v>4.0000000000000001E-3</v>
      </c>
      <c r="H2440">
        <f t="shared" si="76"/>
        <v>4.0461258345135106E-3</v>
      </c>
      <c r="I2440">
        <f t="shared" si="77"/>
        <v>4.0379622804815251E-3</v>
      </c>
    </row>
    <row r="2441" spans="1:9" x14ac:dyDescent="0.75">
      <c r="A2441" s="1">
        <v>42285</v>
      </c>
      <c r="B2441">
        <v>49.43</v>
      </c>
      <c r="C2441">
        <v>48.11</v>
      </c>
      <c r="D2441">
        <v>50.07</v>
      </c>
      <c r="E2441">
        <v>47.76</v>
      </c>
      <c r="F2441" t="s">
        <v>2285</v>
      </c>
      <c r="G2441" s="2">
        <v>3.39E-2</v>
      </c>
      <c r="H2441">
        <f t="shared" si="76"/>
        <v>3.388412466011289E-2</v>
      </c>
      <c r="I2441">
        <f t="shared" si="77"/>
        <v>3.3322704680855908E-2</v>
      </c>
    </row>
    <row r="2442" spans="1:9" x14ac:dyDescent="0.75">
      <c r="A2442" s="1">
        <v>42284</v>
      </c>
      <c r="B2442">
        <v>47.81</v>
      </c>
      <c r="C2442">
        <v>49</v>
      </c>
      <c r="D2442">
        <v>49.71</v>
      </c>
      <c r="E2442">
        <v>47.7</v>
      </c>
      <c r="F2442" t="s">
        <v>2286</v>
      </c>
      <c r="G2442" s="2">
        <v>-1.4800000000000001E-2</v>
      </c>
      <c r="H2442">
        <f t="shared" si="76"/>
        <v>-1.4836183803832658E-2</v>
      </c>
      <c r="I2442">
        <f t="shared" si="77"/>
        <v>-1.4947340779112807E-2</v>
      </c>
    </row>
    <row r="2443" spans="1:9" x14ac:dyDescent="0.75">
      <c r="A2443" s="1">
        <v>42283</v>
      </c>
      <c r="B2443">
        <v>48.53</v>
      </c>
      <c r="C2443">
        <v>46.2</v>
      </c>
      <c r="D2443">
        <v>49.08</v>
      </c>
      <c r="E2443">
        <v>45.73</v>
      </c>
      <c r="F2443" t="s">
        <v>2287</v>
      </c>
      <c r="G2443" s="2">
        <v>4.9099999999999998E-2</v>
      </c>
      <c r="H2443">
        <f t="shared" si="76"/>
        <v>4.9070471249459645E-2</v>
      </c>
      <c r="I2443">
        <f t="shared" si="77"/>
        <v>4.7904506613831742E-2</v>
      </c>
    </row>
    <row r="2444" spans="1:9" x14ac:dyDescent="0.75">
      <c r="A2444" s="1">
        <v>42282</v>
      </c>
      <c r="B2444">
        <v>46.26</v>
      </c>
      <c r="C2444">
        <v>45.65</v>
      </c>
      <c r="D2444">
        <v>46.94</v>
      </c>
      <c r="E2444">
        <v>45.21</v>
      </c>
      <c r="F2444" t="s">
        <v>2288</v>
      </c>
      <c r="G2444" s="2">
        <v>1.5800000000000002E-2</v>
      </c>
      <c r="H2444">
        <f t="shared" si="76"/>
        <v>1.5810276679841872E-2</v>
      </c>
      <c r="I2444">
        <f t="shared" si="77"/>
        <v>1.5686596167699473E-2</v>
      </c>
    </row>
    <row r="2445" spans="1:9" x14ac:dyDescent="0.75">
      <c r="A2445" s="1">
        <v>42279</v>
      </c>
      <c r="B2445">
        <v>45.54</v>
      </c>
      <c r="C2445">
        <v>45.07</v>
      </c>
      <c r="D2445">
        <v>45.81</v>
      </c>
      <c r="E2445">
        <v>43.97</v>
      </c>
      <c r="F2445" t="s">
        <v>2289</v>
      </c>
      <c r="G2445" s="2">
        <v>1.7899999999999999E-2</v>
      </c>
      <c r="H2445">
        <f t="shared" si="76"/>
        <v>1.7881090746535475E-2</v>
      </c>
      <c r="I2445">
        <f t="shared" si="77"/>
        <v>1.7723104573609906E-2</v>
      </c>
    </row>
    <row r="2446" spans="1:9" x14ac:dyDescent="0.75">
      <c r="A2446" s="1">
        <v>42278</v>
      </c>
      <c r="B2446">
        <v>44.74</v>
      </c>
      <c r="C2446">
        <v>45.38</v>
      </c>
      <c r="D2446">
        <v>47.1</v>
      </c>
      <c r="E2446">
        <v>44.63</v>
      </c>
      <c r="F2446" t="s">
        <v>2290</v>
      </c>
      <c r="G2446" s="2">
        <v>-7.7999999999999996E-3</v>
      </c>
      <c r="H2446">
        <f t="shared" si="76"/>
        <v>-7.7622532712353382E-3</v>
      </c>
      <c r="I2446">
        <f t="shared" si="77"/>
        <v>-7.7925363710093214E-3</v>
      </c>
    </row>
    <row r="2447" spans="1:9" x14ac:dyDescent="0.75">
      <c r="A2447" s="1">
        <v>42277</v>
      </c>
      <c r="B2447">
        <v>45.09</v>
      </c>
      <c r="C2447">
        <v>44.92</v>
      </c>
      <c r="D2447">
        <v>45.85</v>
      </c>
      <c r="E2447">
        <v>44.68</v>
      </c>
      <c r="F2447" t="s">
        <v>2291</v>
      </c>
      <c r="G2447" s="2">
        <v>-3.0999999999999999E-3</v>
      </c>
      <c r="H2447">
        <f t="shared" si="76"/>
        <v>-3.0952907362368667E-3</v>
      </c>
      <c r="I2447">
        <f t="shared" si="77"/>
        <v>-3.100091056758784E-3</v>
      </c>
    </row>
    <row r="2448" spans="1:9" x14ac:dyDescent="0.75">
      <c r="A2448" s="1">
        <v>42276</v>
      </c>
      <c r="B2448">
        <v>45.23</v>
      </c>
      <c r="C2448">
        <v>44.5</v>
      </c>
      <c r="D2448">
        <v>45.7</v>
      </c>
      <c r="E2448">
        <v>44.3</v>
      </c>
      <c r="F2448" t="s">
        <v>2292</v>
      </c>
      <c r="G2448" s="2">
        <v>1.7999999999999999E-2</v>
      </c>
      <c r="H2448">
        <f t="shared" si="76"/>
        <v>1.8005851901868042E-2</v>
      </c>
      <c r="I2448">
        <f t="shared" si="77"/>
        <v>1.7845666541934563E-2</v>
      </c>
    </row>
    <row r="2449" spans="1:9" x14ac:dyDescent="0.75">
      <c r="A2449" s="1">
        <v>42275</v>
      </c>
      <c r="B2449">
        <v>44.43</v>
      </c>
      <c r="C2449">
        <v>45.38</v>
      </c>
      <c r="D2449">
        <v>45.5</v>
      </c>
      <c r="E2449">
        <v>44.3</v>
      </c>
      <c r="F2449" t="s">
        <v>863</v>
      </c>
      <c r="G2449" s="2">
        <v>-2.7799999999999998E-2</v>
      </c>
      <c r="H2449">
        <f t="shared" si="76"/>
        <v>-2.7789934354485842E-2</v>
      </c>
      <c r="I2449">
        <f t="shared" si="77"/>
        <v>-2.8183380952341981E-2</v>
      </c>
    </row>
    <row r="2450" spans="1:9" x14ac:dyDescent="0.75">
      <c r="A2450" s="1">
        <v>42272</v>
      </c>
      <c r="B2450">
        <v>45.7</v>
      </c>
      <c r="C2450">
        <v>45.05</v>
      </c>
      <c r="D2450">
        <v>46.38</v>
      </c>
      <c r="E2450">
        <v>44.86</v>
      </c>
      <c r="F2450" t="s">
        <v>2293</v>
      </c>
      <c r="G2450" s="2">
        <v>1.7600000000000001E-2</v>
      </c>
      <c r="H2450">
        <f t="shared" si="76"/>
        <v>1.7590737029614927E-2</v>
      </c>
      <c r="I2450">
        <f t="shared" si="77"/>
        <v>1.7437810800512436E-2</v>
      </c>
    </row>
    <row r="2451" spans="1:9" x14ac:dyDescent="0.75">
      <c r="A2451" s="1">
        <v>42271</v>
      </c>
      <c r="B2451">
        <v>44.91</v>
      </c>
      <c r="C2451">
        <v>44.62</v>
      </c>
      <c r="D2451">
        <v>45.18</v>
      </c>
      <c r="E2451">
        <v>43.71</v>
      </c>
      <c r="F2451" t="s">
        <v>2294</v>
      </c>
      <c r="G2451" s="2">
        <v>9.7000000000000003E-3</v>
      </c>
      <c r="H2451">
        <f t="shared" si="76"/>
        <v>9.6672661870503534E-3</v>
      </c>
      <c r="I2451">
        <f t="shared" si="77"/>
        <v>9.6208371573196574E-3</v>
      </c>
    </row>
    <row r="2452" spans="1:9" x14ac:dyDescent="0.75">
      <c r="A2452" s="1">
        <v>42270</v>
      </c>
      <c r="B2452">
        <v>44.48</v>
      </c>
      <c r="C2452">
        <v>46.54</v>
      </c>
      <c r="D2452">
        <v>47.15</v>
      </c>
      <c r="E2452">
        <v>44.41</v>
      </c>
      <c r="F2452" t="s">
        <v>2295</v>
      </c>
      <c r="G2452" s="2">
        <v>-2.9499999999999998E-2</v>
      </c>
      <c r="H2452">
        <f t="shared" si="76"/>
        <v>-2.9456687759109784E-2</v>
      </c>
      <c r="I2452">
        <f t="shared" si="77"/>
        <v>-2.9899248578705812E-2</v>
      </c>
    </row>
    <row r="2453" spans="1:9" x14ac:dyDescent="0.75">
      <c r="A2453" s="1">
        <v>42269</v>
      </c>
      <c r="B2453">
        <v>45.83</v>
      </c>
      <c r="C2453">
        <v>46.45</v>
      </c>
      <c r="D2453">
        <v>46.48</v>
      </c>
      <c r="E2453">
        <v>45.14</v>
      </c>
      <c r="F2453" t="s">
        <v>2296</v>
      </c>
      <c r="G2453" s="2">
        <v>-1.8200000000000001E-2</v>
      </c>
      <c r="H2453">
        <f t="shared" si="76"/>
        <v>-1.8209083119108856E-2</v>
      </c>
      <c r="I2453">
        <f t="shared" si="77"/>
        <v>-1.8376908897322568E-2</v>
      </c>
    </row>
    <row r="2454" spans="1:9" x14ac:dyDescent="0.75">
      <c r="A2454" s="1">
        <v>42268</v>
      </c>
      <c r="B2454">
        <v>46.68</v>
      </c>
      <c r="C2454">
        <v>44.97</v>
      </c>
      <c r="D2454">
        <v>46.74</v>
      </c>
      <c r="E2454">
        <v>44.69</v>
      </c>
      <c r="F2454" t="s">
        <v>2297</v>
      </c>
      <c r="G2454" s="2">
        <v>4.48E-2</v>
      </c>
      <c r="H2454">
        <f t="shared" si="76"/>
        <v>4.4762757385854966E-2</v>
      </c>
      <c r="I2454">
        <f t="shared" si="77"/>
        <v>4.3789833217355204E-2</v>
      </c>
    </row>
    <row r="2455" spans="1:9" x14ac:dyDescent="0.75">
      <c r="A2455" s="1">
        <v>42265</v>
      </c>
      <c r="B2455">
        <v>44.68</v>
      </c>
      <c r="C2455">
        <v>46.89</v>
      </c>
      <c r="D2455">
        <v>47.03</v>
      </c>
      <c r="E2455">
        <v>44.24</v>
      </c>
      <c r="F2455" t="s">
        <v>2298</v>
      </c>
      <c r="G2455" s="2">
        <v>-4.7300000000000002E-2</v>
      </c>
      <c r="H2455">
        <f t="shared" si="76"/>
        <v>-4.7334754797441342E-2</v>
      </c>
      <c r="I2455">
        <f t="shared" si="77"/>
        <v>-4.8491701251233671E-2</v>
      </c>
    </row>
    <row r="2456" spans="1:9" x14ac:dyDescent="0.75">
      <c r="A2456" s="1">
        <v>42264</v>
      </c>
      <c r="B2456">
        <v>46.9</v>
      </c>
      <c r="C2456">
        <v>47.13</v>
      </c>
      <c r="D2456">
        <v>47.71</v>
      </c>
      <c r="E2456">
        <v>46.33</v>
      </c>
      <c r="F2456" t="s">
        <v>2299</v>
      </c>
      <c r="G2456" s="2">
        <v>-5.3E-3</v>
      </c>
      <c r="H2456">
        <f t="shared" si="76"/>
        <v>-5.3022269353128317E-3</v>
      </c>
      <c r="I2456">
        <f t="shared" si="77"/>
        <v>-5.3163336272327817E-3</v>
      </c>
    </row>
    <row r="2457" spans="1:9" x14ac:dyDescent="0.75">
      <c r="A2457" s="1">
        <v>42263</v>
      </c>
      <c r="B2457">
        <v>47.15</v>
      </c>
      <c r="C2457">
        <v>45.16</v>
      </c>
      <c r="D2457">
        <v>47.35</v>
      </c>
      <c r="E2457">
        <v>44.82</v>
      </c>
      <c r="F2457" t="s">
        <v>2300</v>
      </c>
      <c r="G2457" s="2">
        <v>5.74E-2</v>
      </c>
      <c r="H2457">
        <f t="shared" si="76"/>
        <v>5.7411975779322603E-2</v>
      </c>
      <c r="I2457">
        <f t="shared" si="77"/>
        <v>5.5824390440081063E-2</v>
      </c>
    </row>
    <row r="2458" spans="1:9" x14ac:dyDescent="0.75">
      <c r="A2458" s="1">
        <v>42262</v>
      </c>
      <c r="B2458">
        <v>44.59</v>
      </c>
      <c r="C2458">
        <v>44.11</v>
      </c>
      <c r="D2458">
        <v>45.25</v>
      </c>
      <c r="E2458">
        <v>43.92</v>
      </c>
      <c r="F2458" t="s">
        <v>2301</v>
      </c>
      <c r="G2458" s="2">
        <v>1.34E-2</v>
      </c>
      <c r="H2458">
        <f t="shared" si="76"/>
        <v>1.3409090909090987E-2</v>
      </c>
      <c r="I2458">
        <f t="shared" si="77"/>
        <v>1.3319984721124138E-2</v>
      </c>
    </row>
    <row r="2459" spans="1:9" x14ac:dyDescent="0.75">
      <c r="A2459" s="1">
        <v>42261</v>
      </c>
      <c r="B2459">
        <v>44</v>
      </c>
      <c r="C2459">
        <v>44.78</v>
      </c>
      <c r="D2459">
        <v>44.97</v>
      </c>
      <c r="E2459">
        <v>43.59</v>
      </c>
      <c r="F2459" t="s">
        <v>2302</v>
      </c>
      <c r="G2459" s="2">
        <v>-1.41E-2</v>
      </c>
      <c r="H2459">
        <f t="shared" si="76"/>
        <v>-1.4116065426842987E-2</v>
      </c>
      <c r="I2459">
        <f t="shared" si="77"/>
        <v>-1.4216644722917407E-2</v>
      </c>
    </row>
    <row r="2460" spans="1:9" x14ac:dyDescent="0.75">
      <c r="A2460" s="1">
        <v>42258</v>
      </c>
      <c r="B2460">
        <v>44.63</v>
      </c>
      <c r="C2460">
        <v>45.71</v>
      </c>
      <c r="D2460">
        <v>45.88</v>
      </c>
      <c r="E2460">
        <v>44.16</v>
      </c>
      <c r="F2460" t="s">
        <v>2303</v>
      </c>
      <c r="G2460" s="2">
        <v>-2.81E-2</v>
      </c>
      <c r="H2460">
        <f t="shared" si="76"/>
        <v>-2.80923344947735E-2</v>
      </c>
      <c r="I2460">
        <f t="shared" si="77"/>
        <v>-2.8494473370132473E-2</v>
      </c>
    </row>
    <row r="2461" spans="1:9" x14ac:dyDescent="0.75">
      <c r="A2461" s="1">
        <v>42257</v>
      </c>
      <c r="B2461">
        <v>45.92</v>
      </c>
      <c r="C2461">
        <v>44.16</v>
      </c>
      <c r="D2461">
        <v>46.04</v>
      </c>
      <c r="E2461">
        <v>43.36</v>
      </c>
      <c r="F2461" t="s">
        <v>2304</v>
      </c>
      <c r="G2461" s="2">
        <v>4.0099999999999997E-2</v>
      </c>
      <c r="H2461">
        <f t="shared" si="76"/>
        <v>4.0090600226500642E-2</v>
      </c>
      <c r="I2461">
        <f t="shared" si="77"/>
        <v>3.9307824961342074E-2</v>
      </c>
    </row>
    <row r="2462" spans="1:9" x14ac:dyDescent="0.75">
      <c r="A2462" s="1">
        <v>42256</v>
      </c>
      <c r="B2462">
        <v>44.15</v>
      </c>
      <c r="C2462">
        <v>45.79</v>
      </c>
      <c r="D2462">
        <v>46.26</v>
      </c>
      <c r="E2462">
        <v>44.05</v>
      </c>
      <c r="F2462" t="s">
        <v>2305</v>
      </c>
      <c r="G2462" s="2">
        <v>-3.9E-2</v>
      </c>
      <c r="H2462">
        <f t="shared" si="76"/>
        <v>-3.8963865912059192E-2</v>
      </c>
      <c r="I2462">
        <f t="shared" si="77"/>
        <v>-3.9743270210983096E-2</v>
      </c>
    </row>
    <row r="2463" spans="1:9" x14ac:dyDescent="0.75">
      <c r="A2463" s="1">
        <v>42255</v>
      </c>
      <c r="B2463">
        <v>45.94</v>
      </c>
      <c r="C2463">
        <v>45.82</v>
      </c>
      <c r="D2463">
        <v>46.41</v>
      </c>
      <c r="E2463">
        <v>44.14</v>
      </c>
      <c r="F2463" t="s">
        <v>2306</v>
      </c>
      <c r="G2463" s="2">
        <v>2.7699999999999999E-2</v>
      </c>
      <c r="H2463">
        <f t="shared" si="76"/>
        <v>2.7740492170022255E-2</v>
      </c>
      <c r="I2463">
        <f t="shared" si="77"/>
        <v>2.7362695641428847E-2</v>
      </c>
    </row>
    <row r="2464" spans="1:9" x14ac:dyDescent="0.75">
      <c r="A2464" s="1">
        <v>42254</v>
      </c>
      <c r="B2464">
        <v>44.7</v>
      </c>
      <c r="C2464">
        <v>45.72</v>
      </c>
      <c r="D2464">
        <v>45.92</v>
      </c>
      <c r="E2464">
        <v>44.15</v>
      </c>
      <c r="G2464" s="2">
        <v>-2.23E-2</v>
      </c>
      <c r="H2464">
        <f t="shared" si="76"/>
        <v>-2.2309711286089152E-2</v>
      </c>
      <c r="I2464">
        <f t="shared" si="77"/>
        <v>-2.2562337307086681E-2</v>
      </c>
    </row>
    <row r="2465" spans="1:9" x14ac:dyDescent="0.75">
      <c r="A2465" s="1">
        <v>42253</v>
      </c>
      <c r="B2465">
        <v>45.72</v>
      </c>
      <c r="C2465">
        <v>45.72</v>
      </c>
      <c r="D2465">
        <v>45.87</v>
      </c>
      <c r="E2465">
        <v>45.61</v>
      </c>
      <c r="G2465" s="2">
        <v>-7.1999999999999998E-3</v>
      </c>
      <c r="H2465">
        <f t="shared" si="76"/>
        <v>-7.1661237785015921E-3</v>
      </c>
      <c r="I2465">
        <f t="shared" si="77"/>
        <v>-7.1919237747058813E-3</v>
      </c>
    </row>
    <row r="2466" spans="1:9" x14ac:dyDescent="0.75">
      <c r="A2466" s="1">
        <v>42251</v>
      </c>
      <c r="B2466">
        <v>46.05</v>
      </c>
      <c r="C2466">
        <v>46.68</v>
      </c>
      <c r="D2466">
        <v>47.23</v>
      </c>
      <c r="E2466">
        <v>45.61</v>
      </c>
      <c r="F2466" t="s">
        <v>2307</v>
      </c>
      <c r="G2466" s="2">
        <v>-1.4999999999999999E-2</v>
      </c>
      <c r="H2466">
        <f t="shared" si="76"/>
        <v>-1.4973262032085622E-2</v>
      </c>
      <c r="I2466">
        <f t="shared" si="77"/>
        <v>-1.5086493033380192E-2</v>
      </c>
    </row>
    <row r="2467" spans="1:9" x14ac:dyDescent="0.75">
      <c r="A2467" s="1">
        <v>42250</v>
      </c>
      <c r="B2467">
        <v>46.75</v>
      </c>
      <c r="C2467">
        <v>46.11</v>
      </c>
      <c r="D2467">
        <v>48.42</v>
      </c>
      <c r="E2467">
        <v>45.65</v>
      </c>
      <c r="F2467" t="s">
        <v>2308</v>
      </c>
      <c r="G2467" s="2">
        <v>1.0800000000000001E-2</v>
      </c>
      <c r="H2467">
        <f t="shared" si="76"/>
        <v>1.0810810810810811E-2</v>
      </c>
      <c r="I2467">
        <f t="shared" si="77"/>
        <v>1.0752791776261697E-2</v>
      </c>
    </row>
    <row r="2468" spans="1:9" x14ac:dyDescent="0.75">
      <c r="A2468" s="1">
        <v>42249</v>
      </c>
      <c r="B2468">
        <v>46.25</v>
      </c>
      <c r="C2468">
        <v>44.26</v>
      </c>
      <c r="D2468">
        <v>46.77</v>
      </c>
      <c r="E2468">
        <v>43.21</v>
      </c>
      <c r="F2468" t="s">
        <v>2309</v>
      </c>
      <c r="G2468" s="2">
        <v>1.8499999999999999E-2</v>
      </c>
      <c r="H2468">
        <f t="shared" si="76"/>
        <v>1.8498128165602368E-2</v>
      </c>
      <c r="I2468">
        <f t="shared" si="77"/>
        <v>1.8329118848574407E-2</v>
      </c>
    </row>
    <row r="2469" spans="1:9" x14ac:dyDescent="0.75">
      <c r="A2469" s="1">
        <v>42248</v>
      </c>
      <c r="B2469">
        <v>45.41</v>
      </c>
      <c r="C2469">
        <v>48.1</v>
      </c>
      <c r="D2469">
        <v>48.87</v>
      </c>
      <c r="E2469">
        <v>44.15</v>
      </c>
      <c r="F2469" t="s">
        <v>2310</v>
      </c>
      <c r="G2469" s="2">
        <v>-7.6999999999999999E-2</v>
      </c>
      <c r="H2469">
        <f t="shared" si="76"/>
        <v>-7.7032520325203371E-2</v>
      </c>
      <c r="I2469">
        <f t="shared" si="77"/>
        <v>-8.0161278388402785E-2</v>
      </c>
    </row>
    <row r="2470" spans="1:9" x14ac:dyDescent="0.75">
      <c r="A2470" s="1">
        <v>42247</v>
      </c>
      <c r="B2470">
        <v>49.2</v>
      </c>
      <c r="C2470">
        <v>45</v>
      </c>
      <c r="D2470">
        <v>49.33</v>
      </c>
      <c r="E2470">
        <v>43.6</v>
      </c>
      <c r="F2470" t="s">
        <v>2311</v>
      </c>
      <c r="G2470" s="2">
        <v>8.7999999999999995E-2</v>
      </c>
      <c r="H2470">
        <f t="shared" si="76"/>
        <v>8.8014153029633002E-2</v>
      </c>
      <c r="I2470">
        <f t="shared" si="77"/>
        <v>8.4354156648438733E-2</v>
      </c>
    </row>
    <row r="2471" spans="1:9" x14ac:dyDescent="0.75">
      <c r="A2471" s="1">
        <v>42244</v>
      </c>
      <c r="B2471">
        <v>45.22</v>
      </c>
      <c r="C2471">
        <v>42.68</v>
      </c>
      <c r="D2471">
        <v>45.9</v>
      </c>
      <c r="E2471">
        <v>41.78</v>
      </c>
      <c r="F2471" t="s">
        <v>2312</v>
      </c>
      <c r="G2471" s="2">
        <v>6.25E-2</v>
      </c>
      <c r="H2471">
        <f t="shared" si="76"/>
        <v>6.2499999999999917E-2</v>
      </c>
      <c r="I2471">
        <f t="shared" si="77"/>
        <v>6.062462181643484E-2</v>
      </c>
    </row>
    <row r="2472" spans="1:9" x14ac:dyDescent="0.75">
      <c r="A2472" s="1">
        <v>42243</v>
      </c>
      <c r="B2472">
        <v>42.56</v>
      </c>
      <c r="C2472">
        <v>38.96</v>
      </c>
      <c r="D2472">
        <v>42.86</v>
      </c>
      <c r="E2472">
        <v>38.950000000000003</v>
      </c>
      <c r="F2472" t="s">
        <v>2313</v>
      </c>
      <c r="G2472" s="2">
        <v>0.1026</v>
      </c>
      <c r="H2472">
        <f t="shared" si="76"/>
        <v>0.10259067357512955</v>
      </c>
      <c r="I2472">
        <f t="shared" si="77"/>
        <v>9.7662568562603858E-2</v>
      </c>
    </row>
    <row r="2473" spans="1:9" x14ac:dyDescent="0.75">
      <c r="A2473" s="1">
        <v>42242</v>
      </c>
      <c r="B2473">
        <v>38.6</v>
      </c>
      <c r="C2473">
        <v>39.69</v>
      </c>
      <c r="D2473">
        <v>39.86</v>
      </c>
      <c r="E2473">
        <v>38.520000000000003</v>
      </c>
      <c r="F2473" t="s">
        <v>2314</v>
      </c>
      <c r="G2473" s="2">
        <v>-1.8100000000000002E-2</v>
      </c>
      <c r="H2473">
        <f t="shared" si="76"/>
        <v>-1.8061561943525841E-2</v>
      </c>
      <c r="I2473">
        <f t="shared" si="77"/>
        <v>-1.8226662962983774E-2</v>
      </c>
    </row>
    <row r="2474" spans="1:9" x14ac:dyDescent="0.75">
      <c r="A2474" s="1">
        <v>42241</v>
      </c>
      <c r="B2474">
        <v>39.31</v>
      </c>
      <c r="C2474">
        <v>38.18</v>
      </c>
      <c r="D2474">
        <v>39.89</v>
      </c>
      <c r="E2474">
        <v>38.159999999999997</v>
      </c>
      <c r="F2474" t="s">
        <v>2315</v>
      </c>
      <c r="G2474" s="2">
        <v>2.8000000000000001E-2</v>
      </c>
      <c r="H2474">
        <f t="shared" si="76"/>
        <v>2.7981171548117162E-2</v>
      </c>
      <c r="I2474">
        <f t="shared" si="77"/>
        <v>2.7596851250568342E-2</v>
      </c>
    </row>
    <row r="2475" spans="1:9" x14ac:dyDescent="0.75">
      <c r="A2475" s="1">
        <v>42240</v>
      </c>
      <c r="B2475">
        <v>38.24</v>
      </c>
      <c r="C2475">
        <v>40.299999999999997</v>
      </c>
      <c r="D2475">
        <v>40.47</v>
      </c>
      <c r="E2475">
        <v>37.75</v>
      </c>
      <c r="F2475" t="s">
        <v>2316</v>
      </c>
      <c r="G2475" s="2">
        <v>-5.4600000000000003E-2</v>
      </c>
      <c r="H2475">
        <f t="shared" si="76"/>
        <v>-5.4635352286773811E-2</v>
      </c>
      <c r="I2475">
        <f t="shared" si="77"/>
        <v>-5.618455532130022E-2</v>
      </c>
    </row>
    <row r="2476" spans="1:9" x14ac:dyDescent="0.75">
      <c r="A2476" s="1">
        <v>42237</v>
      </c>
      <c r="B2476">
        <v>40.450000000000003</v>
      </c>
      <c r="C2476">
        <v>41.03</v>
      </c>
      <c r="D2476">
        <v>41.4</v>
      </c>
      <c r="E2476">
        <v>39.86</v>
      </c>
      <c r="F2476" t="s">
        <v>2317</v>
      </c>
      <c r="G2476" s="2">
        <v>-1.6799999999999999E-2</v>
      </c>
      <c r="H2476">
        <f t="shared" si="76"/>
        <v>-1.677199805542046E-2</v>
      </c>
      <c r="I2476">
        <f t="shared" si="77"/>
        <v>-1.6914240720310409E-2</v>
      </c>
    </row>
    <row r="2477" spans="1:9" x14ac:dyDescent="0.75">
      <c r="A2477" s="1">
        <v>42236</v>
      </c>
      <c r="B2477">
        <v>41.14</v>
      </c>
      <c r="C2477">
        <v>40.58</v>
      </c>
      <c r="D2477">
        <v>41.48</v>
      </c>
      <c r="E2477">
        <v>40.21</v>
      </c>
      <c r="F2477" t="s">
        <v>2318</v>
      </c>
      <c r="G2477" s="2">
        <v>8.3000000000000001E-3</v>
      </c>
      <c r="H2477">
        <f t="shared" si="76"/>
        <v>8.3333333333334182E-3</v>
      </c>
      <c r="I2477">
        <f t="shared" si="77"/>
        <v>8.2988028146952844E-3</v>
      </c>
    </row>
    <row r="2478" spans="1:9" x14ac:dyDescent="0.75">
      <c r="A2478" s="1">
        <v>42235</v>
      </c>
      <c r="B2478">
        <v>40.799999999999997</v>
      </c>
      <c r="C2478">
        <v>42.41</v>
      </c>
      <c r="D2478">
        <v>42.68</v>
      </c>
      <c r="E2478">
        <v>40.4</v>
      </c>
      <c r="F2478" t="s">
        <v>2319</v>
      </c>
      <c r="G2478" s="2">
        <v>-4.2700000000000002E-2</v>
      </c>
      <c r="H2478">
        <f t="shared" si="76"/>
        <v>-4.270295635851714E-2</v>
      </c>
      <c r="I2478">
        <f t="shared" si="77"/>
        <v>-4.3641545260355116E-2</v>
      </c>
    </row>
    <row r="2479" spans="1:9" x14ac:dyDescent="0.75">
      <c r="A2479" s="1">
        <v>42234</v>
      </c>
      <c r="B2479">
        <v>42.62</v>
      </c>
      <c r="C2479">
        <v>41.88</v>
      </c>
      <c r="D2479">
        <v>42.9</v>
      </c>
      <c r="E2479">
        <v>41.43</v>
      </c>
      <c r="F2479" t="s">
        <v>2320</v>
      </c>
      <c r="G2479" s="2">
        <v>1.7899999999999999E-2</v>
      </c>
      <c r="H2479">
        <f t="shared" si="76"/>
        <v>1.7912586577501791E-2</v>
      </c>
      <c r="I2479">
        <f t="shared" si="77"/>
        <v>1.7754046639419159E-2</v>
      </c>
    </row>
    <row r="2480" spans="1:9" x14ac:dyDescent="0.75">
      <c r="A2480" s="1">
        <v>42233</v>
      </c>
      <c r="B2480">
        <v>41.87</v>
      </c>
      <c r="C2480">
        <v>42.18</v>
      </c>
      <c r="D2480">
        <v>42.69</v>
      </c>
      <c r="E2480">
        <v>41.64</v>
      </c>
      <c r="F2480" t="s">
        <v>2321</v>
      </c>
      <c r="G2480" s="2">
        <v>-1.4800000000000001E-2</v>
      </c>
      <c r="H2480">
        <f t="shared" si="76"/>
        <v>-1.4823529411764767E-2</v>
      </c>
      <c r="I2480">
        <f t="shared" si="77"/>
        <v>-1.4934495899319271E-2</v>
      </c>
    </row>
    <row r="2481" spans="1:9" x14ac:dyDescent="0.75">
      <c r="A2481" s="1">
        <v>42230</v>
      </c>
      <c r="B2481">
        <v>42.5</v>
      </c>
      <c r="C2481">
        <v>42.23</v>
      </c>
      <c r="D2481">
        <v>42.96</v>
      </c>
      <c r="E2481">
        <v>41.35</v>
      </c>
      <c r="F2481" t="s">
        <v>2322</v>
      </c>
      <c r="G2481" s="2">
        <v>6.4000000000000003E-3</v>
      </c>
      <c r="H2481">
        <f t="shared" si="76"/>
        <v>6.3935590812219546E-3</v>
      </c>
      <c r="I2481">
        <f t="shared" si="77"/>
        <v>6.3732069845189145E-3</v>
      </c>
    </row>
    <row r="2482" spans="1:9" x14ac:dyDescent="0.75">
      <c r="A2482" s="1">
        <v>42229</v>
      </c>
      <c r="B2482">
        <v>42.23</v>
      </c>
      <c r="C2482">
        <v>43.34</v>
      </c>
      <c r="D2482">
        <v>43.72</v>
      </c>
      <c r="E2482">
        <v>41.91</v>
      </c>
      <c r="F2482" t="s">
        <v>2323</v>
      </c>
      <c r="G2482" s="2">
        <v>-2.47E-2</v>
      </c>
      <c r="H2482">
        <f t="shared" si="76"/>
        <v>-2.4711316397228646E-2</v>
      </c>
      <c r="I2482">
        <f t="shared" si="77"/>
        <v>-2.5021766062591998E-2</v>
      </c>
    </row>
    <row r="2483" spans="1:9" x14ac:dyDescent="0.75">
      <c r="A2483" s="1">
        <v>42228</v>
      </c>
      <c r="B2483">
        <v>43.3</v>
      </c>
      <c r="C2483">
        <v>43.27</v>
      </c>
      <c r="D2483">
        <v>43.87</v>
      </c>
      <c r="E2483">
        <v>42.8</v>
      </c>
      <c r="F2483" t="s">
        <v>2324</v>
      </c>
      <c r="G2483" s="2">
        <v>5.1000000000000004E-3</v>
      </c>
      <c r="H2483">
        <f t="shared" si="76"/>
        <v>5.1067780872794538E-3</v>
      </c>
      <c r="I2483">
        <f t="shared" si="77"/>
        <v>5.0937827202564177E-3</v>
      </c>
    </row>
    <row r="2484" spans="1:9" x14ac:dyDescent="0.75">
      <c r="A2484" s="1">
        <v>42227</v>
      </c>
      <c r="B2484">
        <v>43.08</v>
      </c>
      <c r="C2484">
        <v>44.81</v>
      </c>
      <c r="D2484">
        <v>45.34</v>
      </c>
      <c r="E2484">
        <v>42.69</v>
      </c>
      <c r="F2484" t="s">
        <v>2325</v>
      </c>
      <c r="G2484" s="2">
        <v>-4.1799999999999997E-2</v>
      </c>
      <c r="H2484">
        <f t="shared" si="76"/>
        <v>-4.1814946619217135E-2</v>
      </c>
      <c r="I2484">
        <f t="shared" si="77"/>
        <v>-4.2714353297247883E-2</v>
      </c>
    </row>
    <row r="2485" spans="1:9" x14ac:dyDescent="0.75">
      <c r="A2485" s="1">
        <v>42226</v>
      </c>
      <c r="B2485">
        <v>44.96</v>
      </c>
      <c r="C2485">
        <v>43.58</v>
      </c>
      <c r="D2485">
        <v>45.01</v>
      </c>
      <c r="E2485">
        <v>43.35</v>
      </c>
      <c r="F2485" t="s">
        <v>2326</v>
      </c>
      <c r="G2485" s="2">
        <v>2.4799999999999999E-2</v>
      </c>
      <c r="H2485">
        <f t="shared" si="76"/>
        <v>2.4846136311830486E-2</v>
      </c>
      <c r="I2485">
        <f t="shared" si="77"/>
        <v>2.4542490407313031E-2</v>
      </c>
    </row>
    <row r="2486" spans="1:9" x14ac:dyDescent="0.75">
      <c r="A2486" s="1">
        <v>42223</v>
      </c>
      <c r="B2486">
        <v>43.87</v>
      </c>
      <c r="C2486">
        <v>44.82</v>
      </c>
      <c r="D2486">
        <v>45.16</v>
      </c>
      <c r="E2486">
        <v>43.7</v>
      </c>
      <c r="F2486" t="s">
        <v>2327</v>
      </c>
      <c r="G2486" s="2">
        <v>-1.77E-2</v>
      </c>
      <c r="H2486">
        <f t="shared" si="76"/>
        <v>-1.7689207344379742E-2</v>
      </c>
      <c r="I2486">
        <f t="shared" si="77"/>
        <v>-1.7847531233889182E-2</v>
      </c>
    </row>
    <row r="2487" spans="1:9" x14ac:dyDescent="0.75">
      <c r="A2487" s="1">
        <v>42222</v>
      </c>
      <c r="B2487">
        <v>44.66</v>
      </c>
      <c r="C2487">
        <v>45.16</v>
      </c>
      <c r="D2487">
        <v>45.27</v>
      </c>
      <c r="E2487">
        <v>44.2</v>
      </c>
      <c r="F2487" t="s">
        <v>2328</v>
      </c>
      <c r="G2487" s="2">
        <v>-1.09E-2</v>
      </c>
      <c r="H2487">
        <f t="shared" si="76"/>
        <v>-1.0852713178294619E-2</v>
      </c>
      <c r="I2487">
        <f t="shared" si="77"/>
        <v>-1.091203345098265E-2</v>
      </c>
    </row>
    <row r="2488" spans="1:9" x14ac:dyDescent="0.75">
      <c r="A2488" s="1">
        <v>42221</v>
      </c>
      <c r="B2488">
        <v>45.15</v>
      </c>
      <c r="C2488">
        <v>45.96</v>
      </c>
      <c r="D2488">
        <v>46.7</v>
      </c>
      <c r="E2488">
        <v>44.83</v>
      </c>
      <c r="F2488" t="s">
        <v>2329</v>
      </c>
      <c r="G2488" s="2">
        <v>-1.29E-2</v>
      </c>
      <c r="H2488">
        <f t="shared" si="76"/>
        <v>-1.2898994315697495E-2</v>
      </c>
      <c r="I2488">
        <f t="shared" si="77"/>
        <v>-1.2982908731640756E-2</v>
      </c>
    </row>
    <row r="2489" spans="1:9" x14ac:dyDescent="0.75">
      <c r="A2489" s="1">
        <v>42220</v>
      </c>
      <c r="B2489">
        <v>45.74</v>
      </c>
      <c r="C2489">
        <v>45.35</v>
      </c>
      <c r="D2489">
        <v>46.23</v>
      </c>
      <c r="E2489">
        <v>45.29</v>
      </c>
      <c r="F2489" t="s">
        <v>2330</v>
      </c>
      <c r="G2489" s="2">
        <v>1.26E-2</v>
      </c>
      <c r="H2489">
        <f t="shared" si="76"/>
        <v>1.2618994908124867E-2</v>
      </c>
      <c r="I2489">
        <f t="shared" si="77"/>
        <v>1.254003892812222E-2</v>
      </c>
    </row>
    <row r="2490" spans="1:9" x14ac:dyDescent="0.75">
      <c r="A2490" s="1">
        <v>42219</v>
      </c>
      <c r="B2490">
        <v>45.17</v>
      </c>
      <c r="C2490">
        <v>46.86</v>
      </c>
      <c r="D2490">
        <v>46.94</v>
      </c>
      <c r="E2490">
        <v>45.08</v>
      </c>
      <c r="F2490" t="s">
        <v>2331</v>
      </c>
      <c r="G2490" s="2">
        <v>-4.1399999999999999E-2</v>
      </c>
      <c r="H2490">
        <f t="shared" si="76"/>
        <v>-4.138370118845492E-2</v>
      </c>
      <c r="I2490">
        <f t="shared" si="77"/>
        <v>-4.2264389676818372E-2</v>
      </c>
    </row>
    <row r="2491" spans="1:9" x14ac:dyDescent="0.75">
      <c r="A2491" s="1">
        <v>42216</v>
      </c>
      <c r="B2491">
        <v>47.12</v>
      </c>
      <c r="C2491">
        <v>48.47</v>
      </c>
      <c r="D2491">
        <v>48.62</v>
      </c>
      <c r="E2491">
        <v>46.7</v>
      </c>
      <c r="F2491" t="s">
        <v>2332</v>
      </c>
      <c r="G2491" s="2">
        <v>-2.8899999999999999E-2</v>
      </c>
      <c r="H2491">
        <f t="shared" si="76"/>
        <v>-2.8854080791426331E-2</v>
      </c>
      <c r="I2491">
        <f t="shared" si="77"/>
        <v>-2.9278544732518279E-2</v>
      </c>
    </row>
    <row r="2492" spans="1:9" x14ac:dyDescent="0.75">
      <c r="A2492" s="1">
        <v>42215</v>
      </c>
      <c r="B2492">
        <v>48.52</v>
      </c>
      <c r="C2492">
        <v>48.83</v>
      </c>
      <c r="D2492">
        <v>49.36</v>
      </c>
      <c r="E2492">
        <v>48.34</v>
      </c>
      <c r="F2492" t="s">
        <v>2333</v>
      </c>
      <c r="G2492" s="2">
        <v>-5.4999999999999997E-3</v>
      </c>
      <c r="H2492">
        <f t="shared" si="76"/>
        <v>-5.5339208854272605E-3</v>
      </c>
      <c r="I2492">
        <f t="shared" si="77"/>
        <v>-5.5492897518963549E-3</v>
      </c>
    </row>
    <row r="2493" spans="1:9" x14ac:dyDescent="0.75">
      <c r="A2493" s="1">
        <v>42214</v>
      </c>
      <c r="B2493">
        <v>48.79</v>
      </c>
      <c r="C2493">
        <v>47.81</v>
      </c>
      <c r="D2493">
        <v>49.52</v>
      </c>
      <c r="E2493">
        <v>47.39</v>
      </c>
      <c r="F2493" t="s">
        <v>2334</v>
      </c>
      <c r="G2493" s="2">
        <v>1.6899999999999998E-2</v>
      </c>
      <c r="H2493">
        <f t="shared" si="76"/>
        <v>1.6882034180908761E-2</v>
      </c>
      <c r="I2493">
        <f t="shared" si="77"/>
        <v>1.6741116416197428E-2</v>
      </c>
    </row>
    <row r="2494" spans="1:9" x14ac:dyDescent="0.75">
      <c r="A2494" s="1">
        <v>42213</v>
      </c>
      <c r="B2494">
        <v>47.98</v>
      </c>
      <c r="C2494">
        <v>47.02</v>
      </c>
      <c r="D2494">
        <v>48.44</v>
      </c>
      <c r="E2494">
        <v>46.68</v>
      </c>
      <c r="F2494" t="s">
        <v>2335</v>
      </c>
      <c r="G2494" s="2">
        <v>1.24E-2</v>
      </c>
      <c r="H2494">
        <f t="shared" si="76"/>
        <v>1.2449883941759787E-2</v>
      </c>
      <c r="I2494">
        <f t="shared" si="77"/>
        <v>1.2373021432051441E-2</v>
      </c>
    </row>
    <row r="2495" spans="1:9" x14ac:dyDescent="0.75">
      <c r="A2495" s="1">
        <v>42212</v>
      </c>
      <c r="B2495">
        <v>47.39</v>
      </c>
      <c r="C2495">
        <v>48</v>
      </c>
      <c r="D2495">
        <v>48.2</v>
      </c>
      <c r="E2495">
        <v>46.91</v>
      </c>
      <c r="F2495" t="s">
        <v>2336</v>
      </c>
      <c r="G2495" s="2">
        <v>-1.5599999999999999E-2</v>
      </c>
      <c r="H2495">
        <f t="shared" si="76"/>
        <v>-1.557955961778147E-2</v>
      </c>
      <c r="I2495">
        <f t="shared" si="77"/>
        <v>-1.570219637542895E-2</v>
      </c>
    </row>
    <row r="2496" spans="1:9" x14ac:dyDescent="0.75">
      <c r="A2496" s="1">
        <v>42209</v>
      </c>
      <c r="B2496">
        <v>48.14</v>
      </c>
      <c r="C2496">
        <v>48.79</v>
      </c>
      <c r="D2496">
        <v>49.03</v>
      </c>
      <c r="E2496">
        <v>47.72</v>
      </c>
      <c r="F2496" t="s">
        <v>2337</v>
      </c>
      <c r="G2496" s="2">
        <v>-6.4000000000000003E-3</v>
      </c>
      <c r="H2496">
        <f t="shared" si="76"/>
        <v>-6.3983488132095413E-3</v>
      </c>
      <c r="I2496">
        <f t="shared" si="77"/>
        <v>-6.4189059818494055E-3</v>
      </c>
    </row>
    <row r="2497" spans="1:9" x14ac:dyDescent="0.75">
      <c r="A2497" s="1">
        <v>42208</v>
      </c>
      <c r="B2497">
        <v>48.45</v>
      </c>
      <c r="C2497">
        <v>49.23</v>
      </c>
      <c r="D2497">
        <v>49.63</v>
      </c>
      <c r="E2497">
        <v>48.21</v>
      </c>
      <c r="F2497" t="s">
        <v>2338</v>
      </c>
      <c r="G2497" s="2">
        <v>-1.4999999999999999E-2</v>
      </c>
      <c r="H2497">
        <f t="shared" si="76"/>
        <v>-1.5043708070745983E-2</v>
      </c>
      <c r="I2497">
        <f t="shared" si="77"/>
        <v>-1.5158012470473069E-2</v>
      </c>
    </row>
    <row r="2498" spans="1:9" x14ac:dyDescent="0.75">
      <c r="A2498" s="1">
        <v>42207</v>
      </c>
      <c r="B2498">
        <v>49.19</v>
      </c>
      <c r="C2498">
        <v>50.71</v>
      </c>
      <c r="D2498">
        <v>50.71</v>
      </c>
      <c r="E2498">
        <v>49.04</v>
      </c>
      <c r="F2498" t="s">
        <v>2339</v>
      </c>
      <c r="G2498" s="2">
        <v>-2.3199999999999998E-2</v>
      </c>
      <c r="H2498">
        <f t="shared" si="76"/>
        <v>-2.3232724384432125E-2</v>
      </c>
      <c r="I2498">
        <f t="shared" si="77"/>
        <v>-2.3506858368898022E-2</v>
      </c>
    </row>
    <row r="2499" spans="1:9" x14ac:dyDescent="0.75">
      <c r="A2499" s="1">
        <v>42206</v>
      </c>
      <c r="B2499">
        <v>50.36</v>
      </c>
      <c r="C2499">
        <v>49.95</v>
      </c>
      <c r="D2499">
        <v>51.02</v>
      </c>
      <c r="E2499">
        <v>49.77</v>
      </c>
      <c r="F2499" t="s">
        <v>2340</v>
      </c>
      <c r="G2499" s="2">
        <v>4.1999999999999997E-3</v>
      </c>
      <c r="H2499">
        <f t="shared" ref="H2499:H2562" si="78">(B2499-B2500)/B2500</f>
        <v>4.1874376869391996E-3</v>
      </c>
      <c r="I2499">
        <f t="shared" ref="I2499:I2562" si="79">LN(B2499/B2500)</f>
        <v>4.1786947682019961E-3</v>
      </c>
    </row>
    <row r="2500" spans="1:9" x14ac:dyDescent="0.75">
      <c r="A2500" s="1">
        <v>42205</v>
      </c>
      <c r="B2500">
        <v>50.15</v>
      </c>
      <c r="C2500">
        <v>50.76</v>
      </c>
      <c r="D2500">
        <v>51.26</v>
      </c>
      <c r="E2500">
        <v>49.85</v>
      </c>
      <c r="F2500" t="s">
        <v>1142</v>
      </c>
      <c r="G2500" s="2">
        <v>-1.4500000000000001E-2</v>
      </c>
      <c r="H2500">
        <f t="shared" si="78"/>
        <v>-1.4541167223423109E-2</v>
      </c>
      <c r="I2500">
        <f t="shared" si="79"/>
        <v>-1.4647926192796833E-2</v>
      </c>
    </row>
    <row r="2501" spans="1:9" x14ac:dyDescent="0.75">
      <c r="A2501" s="1">
        <v>42202</v>
      </c>
      <c r="B2501">
        <v>50.89</v>
      </c>
      <c r="C2501">
        <v>50.91</v>
      </c>
      <c r="D2501">
        <v>51.23</v>
      </c>
      <c r="E2501">
        <v>50.14</v>
      </c>
      <c r="F2501" t="s">
        <v>2341</v>
      </c>
      <c r="G2501" s="2">
        <v>-4.0000000000000002E-4</v>
      </c>
      <c r="H2501">
        <f t="shared" si="78"/>
        <v>-3.9285012767621339E-4</v>
      </c>
      <c r="I2501">
        <f t="shared" si="79"/>
        <v>-3.9292731350324729E-4</v>
      </c>
    </row>
    <row r="2502" spans="1:9" x14ac:dyDescent="0.75">
      <c r="A2502" s="1">
        <v>42201</v>
      </c>
      <c r="B2502">
        <v>50.91</v>
      </c>
      <c r="C2502">
        <v>51.62</v>
      </c>
      <c r="D2502">
        <v>52.17</v>
      </c>
      <c r="E2502">
        <v>50.84</v>
      </c>
      <c r="F2502" t="s">
        <v>2342</v>
      </c>
      <c r="G2502" s="2">
        <v>-9.7000000000000003E-3</v>
      </c>
      <c r="H2502">
        <f t="shared" si="78"/>
        <v>-9.7257342929391172E-3</v>
      </c>
      <c r="I2502">
        <f t="shared" si="79"/>
        <v>-9.7733381531686352E-3</v>
      </c>
    </row>
    <row r="2503" spans="1:9" x14ac:dyDescent="0.75">
      <c r="A2503" s="1">
        <v>42200</v>
      </c>
      <c r="B2503">
        <v>51.41</v>
      </c>
      <c r="C2503">
        <v>53.4</v>
      </c>
      <c r="D2503">
        <v>53.5</v>
      </c>
      <c r="E2503">
        <v>51.21</v>
      </c>
      <c r="F2503" t="s">
        <v>2343</v>
      </c>
      <c r="G2503" s="2">
        <v>-3.0700000000000002E-2</v>
      </c>
      <c r="H2503">
        <f t="shared" si="78"/>
        <v>-3.0731523378582253E-2</v>
      </c>
      <c r="I2503">
        <f t="shared" si="79"/>
        <v>-3.1213639810193781E-2</v>
      </c>
    </row>
    <row r="2504" spans="1:9" x14ac:dyDescent="0.75">
      <c r="A2504" s="1">
        <v>42199</v>
      </c>
      <c r="B2504">
        <v>53.04</v>
      </c>
      <c r="C2504">
        <v>52</v>
      </c>
      <c r="D2504">
        <v>53.43</v>
      </c>
      <c r="E2504">
        <v>50.88</v>
      </c>
      <c r="F2504" t="s">
        <v>2344</v>
      </c>
      <c r="G2504" s="2">
        <v>1.61E-2</v>
      </c>
      <c r="H2504">
        <f t="shared" si="78"/>
        <v>1.6091954022988433E-2</v>
      </c>
      <c r="I2504">
        <f t="shared" si="79"/>
        <v>1.596385098901399E-2</v>
      </c>
    </row>
    <row r="2505" spans="1:9" x14ac:dyDescent="0.75">
      <c r="A2505" s="1">
        <v>42198</v>
      </c>
      <c r="B2505">
        <v>52.2</v>
      </c>
      <c r="C2505">
        <v>52.15</v>
      </c>
      <c r="D2505">
        <v>53.17</v>
      </c>
      <c r="E2505">
        <v>51.26</v>
      </c>
      <c r="F2505" t="s">
        <v>2345</v>
      </c>
      <c r="G2505" s="2">
        <v>-1.0200000000000001E-2</v>
      </c>
      <c r="H2505">
        <f t="shared" si="78"/>
        <v>-1.0238907849829336E-2</v>
      </c>
      <c r="I2505">
        <f t="shared" si="79"/>
        <v>-1.0291686036547525E-2</v>
      </c>
    </row>
    <row r="2506" spans="1:9" x14ac:dyDescent="0.75">
      <c r="A2506" s="1">
        <v>42195</v>
      </c>
      <c r="B2506">
        <v>52.74</v>
      </c>
      <c r="C2506">
        <v>52.48</v>
      </c>
      <c r="D2506">
        <v>53.89</v>
      </c>
      <c r="E2506">
        <v>51.96</v>
      </c>
      <c r="F2506" t="s">
        <v>2346</v>
      </c>
      <c r="G2506" s="2">
        <v>-8.0000000000000004E-4</v>
      </c>
      <c r="H2506">
        <f t="shared" si="78"/>
        <v>-7.5786282682832791E-4</v>
      </c>
      <c r="I2506">
        <f t="shared" si="79"/>
        <v>-7.5815015003736163E-4</v>
      </c>
    </row>
    <row r="2507" spans="1:9" x14ac:dyDescent="0.75">
      <c r="A2507" s="1">
        <v>42194</v>
      </c>
      <c r="B2507">
        <v>52.78</v>
      </c>
      <c r="C2507">
        <v>51.83</v>
      </c>
      <c r="D2507">
        <v>53.54</v>
      </c>
      <c r="E2507">
        <v>51.48</v>
      </c>
      <c r="F2507" t="s">
        <v>2347</v>
      </c>
      <c r="G2507" s="2">
        <v>2.1899999999999999E-2</v>
      </c>
      <c r="H2507">
        <f t="shared" si="78"/>
        <v>2.1878025169409537E-2</v>
      </c>
      <c r="I2507">
        <f t="shared" si="79"/>
        <v>2.164213550953048E-2</v>
      </c>
    </row>
    <row r="2508" spans="1:9" x14ac:dyDescent="0.75">
      <c r="A2508" s="1">
        <v>42193</v>
      </c>
      <c r="B2508">
        <v>51.65</v>
      </c>
      <c r="C2508">
        <v>52.91</v>
      </c>
      <c r="D2508">
        <v>52.96</v>
      </c>
      <c r="E2508">
        <v>50.91</v>
      </c>
      <c r="F2508" t="s">
        <v>2348</v>
      </c>
      <c r="G2508" s="2">
        <v>-1.2999999999999999E-2</v>
      </c>
      <c r="H2508">
        <f t="shared" si="78"/>
        <v>-1.2994458245748132E-2</v>
      </c>
      <c r="I2508">
        <f t="shared" si="79"/>
        <v>-1.3079624818468943E-2</v>
      </c>
    </row>
    <row r="2509" spans="1:9" x14ac:dyDescent="0.75">
      <c r="A2509" s="1">
        <v>42192</v>
      </c>
      <c r="B2509">
        <v>52.33</v>
      </c>
      <c r="C2509">
        <v>52.75</v>
      </c>
      <c r="D2509">
        <v>53.43</v>
      </c>
      <c r="E2509">
        <v>50.58</v>
      </c>
      <c r="F2509" t="s">
        <v>2349</v>
      </c>
      <c r="G2509" s="2">
        <v>-3.8E-3</v>
      </c>
      <c r="H2509">
        <f t="shared" si="78"/>
        <v>-3.8073481819912969E-3</v>
      </c>
      <c r="I2509">
        <f t="shared" si="79"/>
        <v>-3.8146145817537285E-3</v>
      </c>
    </row>
    <row r="2510" spans="1:9" x14ac:dyDescent="0.75">
      <c r="A2510" s="1">
        <v>42191</v>
      </c>
      <c r="B2510">
        <v>52.53</v>
      </c>
      <c r="C2510">
        <v>56.42</v>
      </c>
      <c r="D2510">
        <v>56.79</v>
      </c>
      <c r="E2510">
        <v>52.41</v>
      </c>
      <c r="F2510" t="s">
        <v>2350</v>
      </c>
      <c r="G2510" s="2">
        <v>-5.3900000000000003E-2</v>
      </c>
      <c r="H2510">
        <f t="shared" si="78"/>
        <v>-5.3854466858789661E-2</v>
      </c>
      <c r="I2510">
        <f t="shared" si="79"/>
        <v>-5.5358881232678965E-2</v>
      </c>
    </row>
    <row r="2511" spans="1:9" x14ac:dyDescent="0.75">
      <c r="A2511" s="1">
        <v>42188</v>
      </c>
      <c r="B2511">
        <v>55.52</v>
      </c>
      <c r="C2511">
        <v>56.6</v>
      </c>
      <c r="D2511">
        <v>56.78</v>
      </c>
      <c r="E2511">
        <v>55.42</v>
      </c>
      <c r="G2511" s="2">
        <v>-2.4799999999999999E-2</v>
      </c>
      <c r="H2511">
        <f t="shared" si="78"/>
        <v>-2.4767258036184729E-2</v>
      </c>
      <c r="I2511">
        <f t="shared" si="79"/>
        <v>-2.5079126764441399E-2</v>
      </c>
    </row>
    <row r="2512" spans="1:9" x14ac:dyDescent="0.75">
      <c r="A2512" s="1">
        <v>42187</v>
      </c>
      <c r="B2512">
        <v>56.93</v>
      </c>
      <c r="C2512">
        <v>56.87</v>
      </c>
      <c r="D2512">
        <v>57.95</v>
      </c>
      <c r="E2512">
        <v>56.5</v>
      </c>
      <c r="F2512" t="s">
        <v>2351</v>
      </c>
      <c r="G2512" s="2">
        <v>-5.0000000000000001E-4</v>
      </c>
      <c r="H2512">
        <f t="shared" si="78"/>
        <v>-5.266853932584469E-4</v>
      </c>
      <c r="I2512">
        <f t="shared" si="79"/>
        <v>-5.2682414072978271E-4</v>
      </c>
    </row>
    <row r="2513" spans="1:9" x14ac:dyDescent="0.75">
      <c r="A2513" s="1">
        <v>42186</v>
      </c>
      <c r="B2513">
        <v>56.96</v>
      </c>
      <c r="C2513">
        <v>58.98</v>
      </c>
      <c r="D2513">
        <v>58.98</v>
      </c>
      <c r="E2513">
        <v>56.68</v>
      </c>
      <c r="F2513" t="s">
        <v>2352</v>
      </c>
      <c r="G2513" s="2">
        <v>-4.2200000000000001E-2</v>
      </c>
      <c r="H2513">
        <f t="shared" si="78"/>
        <v>-4.2206154363544614E-2</v>
      </c>
      <c r="I2513">
        <f t="shared" si="79"/>
        <v>-4.3122716614781911E-2</v>
      </c>
    </row>
    <row r="2514" spans="1:9" x14ac:dyDescent="0.75">
      <c r="A2514" s="1">
        <v>42185</v>
      </c>
      <c r="B2514">
        <v>59.47</v>
      </c>
      <c r="C2514">
        <v>58.27</v>
      </c>
      <c r="D2514">
        <v>59.69</v>
      </c>
      <c r="E2514">
        <v>57.94</v>
      </c>
      <c r="F2514" t="s">
        <v>2353</v>
      </c>
      <c r="G2514" s="2">
        <v>1.95E-2</v>
      </c>
      <c r="H2514">
        <f t="shared" si="78"/>
        <v>1.9543973941368087E-2</v>
      </c>
      <c r="I2514">
        <f t="shared" si="79"/>
        <v>1.9355442952956072E-2</v>
      </c>
    </row>
    <row r="2515" spans="1:9" x14ac:dyDescent="0.75">
      <c r="A2515" s="1">
        <v>42184</v>
      </c>
      <c r="B2515">
        <v>58.33</v>
      </c>
      <c r="C2515">
        <v>58.84</v>
      </c>
      <c r="D2515">
        <v>59.27</v>
      </c>
      <c r="E2515">
        <v>58.04</v>
      </c>
      <c r="F2515" t="s">
        <v>2354</v>
      </c>
      <c r="G2515" s="2">
        <v>-2.18E-2</v>
      </c>
      <c r="H2515">
        <f t="shared" si="78"/>
        <v>-2.1801106825423515E-2</v>
      </c>
      <c r="I2515">
        <f t="shared" si="79"/>
        <v>-2.2042262369468307E-2</v>
      </c>
    </row>
    <row r="2516" spans="1:9" x14ac:dyDescent="0.75">
      <c r="A2516" s="1">
        <v>42181</v>
      </c>
      <c r="B2516">
        <v>59.63</v>
      </c>
      <c r="C2516">
        <v>59.66</v>
      </c>
      <c r="D2516">
        <v>59.96</v>
      </c>
      <c r="E2516">
        <v>58.76</v>
      </c>
      <c r="F2516" t="s">
        <v>2355</v>
      </c>
      <c r="G2516" s="2">
        <v>-1.1999999999999999E-3</v>
      </c>
      <c r="H2516">
        <f t="shared" si="78"/>
        <v>-1.1725293132328356E-3</v>
      </c>
      <c r="I2516">
        <f t="shared" si="79"/>
        <v>-1.1732172635419038E-3</v>
      </c>
    </row>
    <row r="2517" spans="1:9" x14ac:dyDescent="0.75">
      <c r="A2517" s="1">
        <v>42180</v>
      </c>
      <c r="B2517">
        <v>59.7</v>
      </c>
      <c r="C2517">
        <v>60.22</v>
      </c>
      <c r="D2517">
        <v>60.46</v>
      </c>
      <c r="E2517">
        <v>59.43</v>
      </c>
      <c r="F2517" t="s">
        <v>2356</v>
      </c>
      <c r="G2517" s="2">
        <v>-9.4999999999999998E-3</v>
      </c>
      <c r="H2517">
        <f t="shared" si="78"/>
        <v>-9.4574415131906467E-3</v>
      </c>
      <c r="I2517">
        <f t="shared" si="79"/>
        <v>-9.5024470963963048E-3</v>
      </c>
    </row>
    <row r="2518" spans="1:9" x14ac:dyDescent="0.75">
      <c r="A2518" s="1">
        <v>42179</v>
      </c>
      <c r="B2518">
        <v>60.27</v>
      </c>
      <c r="C2518">
        <v>61.14</v>
      </c>
      <c r="D2518">
        <v>61.57</v>
      </c>
      <c r="E2518">
        <v>59.8</v>
      </c>
      <c r="F2518" t="s">
        <v>2357</v>
      </c>
      <c r="G2518" s="2">
        <v>-1.21E-2</v>
      </c>
      <c r="H2518">
        <f t="shared" si="78"/>
        <v>-1.2129159154236928E-2</v>
      </c>
      <c r="I2518">
        <f t="shared" si="79"/>
        <v>-1.2203317668808285E-2</v>
      </c>
    </row>
    <row r="2519" spans="1:9" x14ac:dyDescent="0.75">
      <c r="A2519" s="1">
        <v>42178</v>
      </c>
      <c r="B2519">
        <v>61.01</v>
      </c>
      <c r="C2519">
        <v>60.21</v>
      </c>
      <c r="D2519">
        <v>61.49</v>
      </c>
      <c r="E2519">
        <v>59.55</v>
      </c>
      <c r="F2519" t="s">
        <v>2358</v>
      </c>
      <c r="G2519" s="2">
        <v>2.23E-2</v>
      </c>
      <c r="H2519">
        <f t="shared" si="78"/>
        <v>2.2285522788203727E-2</v>
      </c>
      <c r="I2519">
        <f t="shared" si="79"/>
        <v>2.2040829268255638E-2</v>
      </c>
    </row>
    <row r="2520" spans="1:9" x14ac:dyDescent="0.75">
      <c r="A2520" s="1">
        <v>42177</v>
      </c>
      <c r="B2520">
        <v>59.68</v>
      </c>
      <c r="C2520">
        <v>59.44</v>
      </c>
      <c r="D2520">
        <v>60.3</v>
      </c>
      <c r="E2520">
        <v>58.93</v>
      </c>
      <c r="F2520" t="s">
        <v>2359</v>
      </c>
      <c r="G2520" s="2">
        <v>1.1999999999999999E-3</v>
      </c>
      <c r="H2520">
        <f t="shared" si="78"/>
        <v>1.174299614158703E-3</v>
      </c>
      <c r="I2520">
        <f t="shared" si="79"/>
        <v>1.1736106636701439E-3</v>
      </c>
    </row>
    <row r="2521" spans="1:9" x14ac:dyDescent="0.75">
      <c r="A2521" s="1">
        <v>42174</v>
      </c>
      <c r="B2521">
        <v>59.61</v>
      </c>
      <c r="C2521">
        <v>60.5</v>
      </c>
      <c r="D2521">
        <v>60.56</v>
      </c>
      <c r="E2521">
        <v>58.88</v>
      </c>
      <c r="F2521" t="s">
        <v>2360</v>
      </c>
      <c r="G2521" s="2">
        <v>-1.3899999999999999E-2</v>
      </c>
      <c r="H2521">
        <f t="shared" si="78"/>
        <v>-1.3895781637717177E-2</v>
      </c>
      <c r="I2521">
        <f t="shared" si="79"/>
        <v>-1.3993231828966597E-2</v>
      </c>
    </row>
    <row r="2522" spans="1:9" x14ac:dyDescent="0.75">
      <c r="A2522" s="1">
        <v>42173</v>
      </c>
      <c r="B2522">
        <v>60.45</v>
      </c>
      <c r="C2522">
        <v>59.78</v>
      </c>
      <c r="D2522">
        <v>60.89</v>
      </c>
      <c r="E2522">
        <v>59.25</v>
      </c>
      <c r="F2522" t="s">
        <v>2361</v>
      </c>
      <c r="G2522" s="2">
        <v>8.8000000000000005E-3</v>
      </c>
      <c r="H2522">
        <f t="shared" si="78"/>
        <v>8.8451268357810607E-3</v>
      </c>
      <c r="I2522">
        <f t="shared" si="79"/>
        <v>8.8062378518375811E-3</v>
      </c>
    </row>
    <row r="2523" spans="1:9" x14ac:dyDescent="0.75">
      <c r="A2523" s="1">
        <v>42172</v>
      </c>
      <c r="B2523">
        <v>59.92</v>
      </c>
      <c r="C2523">
        <v>60.03</v>
      </c>
      <c r="D2523">
        <v>61.38</v>
      </c>
      <c r="E2523">
        <v>58.85</v>
      </c>
      <c r="F2523" t="s">
        <v>2362</v>
      </c>
      <c r="G2523" s="2">
        <v>-8.0000000000000004E-4</v>
      </c>
      <c r="H2523">
        <f t="shared" si="78"/>
        <v>-8.3375020843750474E-4</v>
      </c>
      <c r="I2523">
        <f t="shared" si="79"/>
        <v>-8.3409797145425201E-4</v>
      </c>
    </row>
    <row r="2524" spans="1:9" x14ac:dyDescent="0.75">
      <c r="A2524" s="1">
        <v>42171</v>
      </c>
      <c r="B2524">
        <v>59.97</v>
      </c>
      <c r="C2524">
        <v>59.6</v>
      </c>
      <c r="D2524">
        <v>60.37</v>
      </c>
      <c r="E2524">
        <v>59.42</v>
      </c>
      <c r="F2524" t="s">
        <v>2363</v>
      </c>
      <c r="G2524" s="2">
        <v>7.6E-3</v>
      </c>
      <c r="H2524">
        <f t="shared" si="78"/>
        <v>7.5604838709676702E-3</v>
      </c>
      <c r="I2524">
        <f t="shared" si="79"/>
        <v>7.5320466555819686E-3</v>
      </c>
    </row>
    <row r="2525" spans="1:9" x14ac:dyDescent="0.75">
      <c r="A2525" s="1">
        <v>42170</v>
      </c>
      <c r="B2525">
        <v>59.52</v>
      </c>
      <c r="C2525">
        <v>59.9</v>
      </c>
      <c r="D2525">
        <v>59.98</v>
      </c>
      <c r="E2525">
        <v>58.73</v>
      </c>
      <c r="F2525" t="s">
        <v>2364</v>
      </c>
      <c r="G2525" s="2">
        <v>-7.3000000000000001E-3</v>
      </c>
      <c r="H2525">
        <f t="shared" si="78"/>
        <v>-7.3382254836557321E-3</v>
      </c>
      <c r="I2525">
        <f t="shared" si="79"/>
        <v>-7.3652827095604606E-3</v>
      </c>
    </row>
    <row r="2526" spans="1:9" x14ac:dyDescent="0.75">
      <c r="A2526" s="1">
        <v>42167</v>
      </c>
      <c r="B2526">
        <v>59.96</v>
      </c>
      <c r="C2526">
        <v>60.55</v>
      </c>
      <c r="D2526">
        <v>60.63</v>
      </c>
      <c r="E2526">
        <v>59.73</v>
      </c>
      <c r="F2526" t="s">
        <v>2365</v>
      </c>
      <c r="G2526" s="2">
        <v>-1.3299999999999999E-2</v>
      </c>
      <c r="H2526">
        <f t="shared" si="78"/>
        <v>-1.3328945203225312E-2</v>
      </c>
      <c r="I2526">
        <f t="shared" si="79"/>
        <v>-1.3418572912866985E-2</v>
      </c>
    </row>
    <row r="2527" spans="1:9" x14ac:dyDescent="0.75">
      <c r="A2527" s="1">
        <v>42166</v>
      </c>
      <c r="B2527">
        <v>60.77</v>
      </c>
      <c r="C2527">
        <v>61.14</v>
      </c>
      <c r="D2527">
        <v>61.53</v>
      </c>
      <c r="E2527">
        <v>60.21</v>
      </c>
      <c r="F2527" t="s">
        <v>2366</v>
      </c>
      <c r="G2527" s="2">
        <v>-1.0699999999999999E-2</v>
      </c>
      <c r="H2527">
        <f t="shared" si="78"/>
        <v>-1.0743936187530468E-2</v>
      </c>
      <c r="I2527">
        <f t="shared" si="79"/>
        <v>-1.0802069028572111E-2</v>
      </c>
    </row>
    <row r="2528" spans="1:9" x14ac:dyDescent="0.75">
      <c r="A2528" s="1">
        <v>42165</v>
      </c>
      <c r="B2528">
        <v>61.43</v>
      </c>
      <c r="C2528">
        <v>60.58</v>
      </c>
      <c r="D2528">
        <v>61.82</v>
      </c>
      <c r="E2528">
        <v>60.45</v>
      </c>
      <c r="F2528" t="s">
        <v>2367</v>
      </c>
      <c r="G2528" s="2">
        <v>2.1399999999999999E-2</v>
      </c>
      <c r="H2528">
        <f t="shared" si="78"/>
        <v>2.1449950116395063E-2</v>
      </c>
      <c r="I2528">
        <f t="shared" si="79"/>
        <v>2.1223137615453119E-2</v>
      </c>
    </row>
    <row r="2529" spans="1:9" x14ac:dyDescent="0.75">
      <c r="A2529" s="1">
        <v>42164</v>
      </c>
      <c r="B2529">
        <v>60.14</v>
      </c>
      <c r="C2529">
        <v>58.31</v>
      </c>
      <c r="D2529">
        <v>60.68</v>
      </c>
      <c r="E2529">
        <v>58.23</v>
      </c>
      <c r="F2529" t="s">
        <v>2368</v>
      </c>
      <c r="G2529" s="2">
        <v>3.44E-2</v>
      </c>
      <c r="H2529">
        <f t="shared" si="78"/>
        <v>3.4399724802201583E-2</v>
      </c>
      <c r="I2529">
        <f t="shared" si="79"/>
        <v>3.3821282429653217E-2</v>
      </c>
    </row>
    <row r="2530" spans="1:9" x14ac:dyDescent="0.75">
      <c r="A2530" s="1">
        <v>42163</v>
      </c>
      <c r="B2530">
        <v>58.14</v>
      </c>
      <c r="C2530">
        <v>58.96</v>
      </c>
      <c r="D2530">
        <v>59.13</v>
      </c>
      <c r="E2530">
        <v>57.86</v>
      </c>
      <c r="F2530" t="s">
        <v>2369</v>
      </c>
      <c r="G2530" s="2">
        <v>-1.67E-2</v>
      </c>
      <c r="H2530">
        <f t="shared" si="78"/>
        <v>-1.6742770167427735E-2</v>
      </c>
      <c r="I2530">
        <f t="shared" si="79"/>
        <v>-1.6884514702008718E-2</v>
      </c>
    </row>
    <row r="2531" spans="1:9" x14ac:dyDescent="0.75">
      <c r="A2531" s="1">
        <v>42160</v>
      </c>
      <c r="B2531">
        <v>59.13</v>
      </c>
      <c r="C2531">
        <v>57.99</v>
      </c>
      <c r="D2531">
        <v>59.23</v>
      </c>
      <c r="E2531">
        <v>56.83</v>
      </c>
      <c r="F2531" t="s">
        <v>2370</v>
      </c>
      <c r="G2531" s="2">
        <v>1.95E-2</v>
      </c>
      <c r="H2531">
        <f t="shared" si="78"/>
        <v>1.94827586206897E-2</v>
      </c>
      <c r="I2531">
        <f t="shared" si="79"/>
        <v>1.9295399286319136E-2</v>
      </c>
    </row>
    <row r="2532" spans="1:9" x14ac:dyDescent="0.75">
      <c r="A2532" s="1">
        <v>42159</v>
      </c>
      <c r="B2532">
        <v>58</v>
      </c>
      <c r="C2532">
        <v>59.57</v>
      </c>
      <c r="D2532">
        <v>59.94</v>
      </c>
      <c r="E2532">
        <v>57.83</v>
      </c>
      <c r="F2532" t="s">
        <v>2371</v>
      </c>
      <c r="G2532" s="2">
        <v>-2.75E-2</v>
      </c>
      <c r="H2532">
        <f t="shared" si="78"/>
        <v>-2.7498323272971168E-2</v>
      </c>
      <c r="I2532">
        <f t="shared" si="79"/>
        <v>-2.7883479350118364E-2</v>
      </c>
    </row>
    <row r="2533" spans="1:9" x14ac:dyDescent="0.75">
      <c r="A2533" s="1">
        <v>42158</v>
      </c>
      <c r="B2533">
        <v>59.64</v>
      </c>
      <c r="C2533">
        <v>61.02</v>
      </c>
      <c r="D2533">
        <v>61.43</v>
      </c>
      <c r="E2533">
        <v>59.34</v>
      </c>
      <c r="F2533" t="s">
        <v>2372</v>
      </c>
      <c r="G2533" s="2">
        <v>-2.64E-2</v>
      </c>
      <c r="H2533">
        <f t="shared" si="78"/>
        <v>-2.6444662095984287E-2</v>
      </c>
      <c r="I2533">
        <f t="shared" si="79"/>
        <v>-2.6800611508091474E-2</v>
      </c>
    </row>
    <row r="2534" spans="1:9" x14ac:dyDescent="0.75">
      <c r="A2534" s="1">
        <v>42157</v>
      </c>
      <c r="B2534">
        <v>61.26</v>
      </c>
      <c r="C2534">
        <v>60.18</v>
      </c>
      <c r="D2534">
        <v>61.58</v>
      </c>
      <c r="E2534">
        <v>60.09</v>
      </c>
      <c r="F2534" t="s">
        <v>2373</v>
      </c>
      <c r="G2534" s="2">
        <v>1.7600000000000001E-2</v>
      </c>
      <c r="H2534">
        <f t="shared" si="78"/>
        <v>1.7607973421926829E-2</v>
      </c>
      <c r="I2534">
        <f t="shared" si="79"/>
        <v>1.7454749089853696E-2</v>
      </c>
    </row>
    <row r="2535" spans="1:9" x14ac:dyDescent="0.75">
      <c r="A2535" s="1">
        <v>42156</v>
      </c>
      <c r="B2535">
        <v>60.2</v>
      </c>
      <c r="C2535">
        <v>60.29</v>
      </c>
      <c r="D2535">
        <v>60.64</v>
      </c>
      <c r="E2535">
        <v>59.33</v>
      </c>
      <c r="F2535" t="s">
        <v>2374</v>
      </c>
      <c r="G2535" s="2">
        <v>-1.6999999999999999E-3</v>
      </c>
      <c r="H2535">
        <f t="shared" si="78"/>
        <v>-1.6583747927030566E-3</v>
      </c>
      <c r="I2535">
        <f t="shared" si="79"/>
        <v>-1.6597514183642856E-3</v>
      </c>
    </row>
    <row r="2536" spans="1:9" x14ac:dyDescent="0.75">
      <c r="A2536" s="1">
        <v>42153</v>
      </c>
      <c r="B2536">
        <v>60.3</v>
      </c>
      <c r="C2536">
        <v>57.97</v>
      </c>
      <c r="D2536">
        <v>60.7</v>
      </c>
      <c r="E2536">
        <v>57.72</v>
      </c>
      <c r="F2536" t="s">
        <v>2375</v>
      </c>
      <c r="G2536" s="2">
        <v>4.5400000000000003E-2</v>
      </c>
      <c r="H2536">
        <f t="shared" si="78"/>
        <v>4.5423023578363343E-2</v>
      </c>
      <c r="I2536">
        <f t="shared" si="79"/>
        <v>4.4421610756445996E-2</v>
      </c>
    </row>
    <row r="2537" spans="1:9" x14ac:dyDescent="0.75">
      <c r="A2537" s="1">
        <v>42152</v>
      </c>
      <c r="B2537">
        <v>57.68</v>
      </c>
      <c r="C2537">
        <v>57.63</v>
      </c>
      <c r="D2537">
        <v>58.07</v>
      </c>
      <c r="E2537">
        <v>56.51</v>
      </c>
      <c r="F2537" t="s">
        <v>2376</v>
      </c>
      <c r="G2537" s="2">
        <v>3.0000000000000001E-3</v>
      </c>
      <c r="H2537">
        <f t="shared" si="78"/>
        <v>2.9560076508433615E-3</v>
      </c>
      <c r="I2537">
        <f t="shared" si="79"/>
        <v>2.9516472510307369E-3</v>
      </c>
    </row>
    <row r="2538" spans="1:9" x14ac:dyDescent="0.75">
      <c r="A2538" s="1">
        <v>42151</v>
      </c>
      <c r="B2538">
        <v>57.51</v>
      </c>
      <c r="C2538">
        <v>58.32</v>
      </c>
      <c r="D2538">
        <v>58.95</v>
      </c>
      <c r="E2538">
        <v>57.36</v>
      </c>
      <c r="F2538" t="s">
        <v>2377</v>
      </c>
      <c r="G2538" s="2">
        <v>-8.9999999999999993E-3</v>
      </c>
      <c r="H2538">
        <f t="shared" si="78"/>
        <v>-8.9608823022575071E-3</v>
      </c>
      <c r="I2538">
        <f t="shared" si="79"/>
        <v>-9.0012724768541962E-3</v>
      </c>
    </row>
    <row r="2539" spans="1:9" x14ac:dyDescent="0.75">
      <c r="A2539" s="1">
        <v>42150</v>
      </c>
      <c r="B2539">
        <v>58.03</v>
      </c>
      <c r="C2539">
        <v>60.05</v>
      </c>
      <c r="D2539">
        <v>60.25</v>
      </c>
      <c r="E2539">
        <v>57.71</v>
      </c>
      <c r="F2539" t="s">
        <v>2378</v>
      </c>
      <c r="G2539" s="2">
        <v>-3.0300000000000001E-2</v>
      </c>
      <c r="H2539">
        <f t="shared" si="78"/>
        <v>-3.0409356725146202E-2</v>
      </c>
      <c r="I2539">
        <f t="shared" si="79"/>
        <v>-3.0881313801465263E-2</v>
      </c>
    </row>
    <row r="2540" spans="1:9" x14ac:dyDescent="0.75">
      <c r="A2540" s="1">
        <v>42149</v>
      </c>
      <c r="B2540">
        <v>59.85</v>
      </c>
      <c r="C2540">
        <v>59.93</v>
      </c>
      <c r="D2540">
        <v>60.24</v>
      </c>
      <c r="E2540">
        <v>59.11</v>
      </c>
      <c r="G2540" s="2">
        <v>-1.1999999999999999E-3</v>
      </c>
      <c r="H2540">
        <f t="shared" si="78"/>
        <v>-1.1682242990654252E-3</v>
      </c>
      <c r="I2540">
        <f t="shared" si="79"/>
        <v>-1.1689072049818425E-3</v>
      </c>
    </row>
    <row r="2541" spans="1:9" x14ac:dyDescent="0.75">
      <c r="A2541" s="1">
        <v>42148</v>
      </c>
      <c r="B2541">
        <v>59.92</v>
      </c>
      <c r="C2541">
        <v>60.01</v>
      </c>
      <c r="D2541">
        <v>60.01</v>
      </c>
      <c r="E2541">
        <v>59.78</v>
      </c>
      <c r="G2541" s="2">
        <v>3.3E-3</v>
      </c>
      <c r="H2541">
        <f t="shared" si="78"/>
        <v>3.3489618218352788E-3</v>
      </c>
      <c r="I2541">
        <f t="shared" si="79"/>
        <v>3.343366537974366E-3</v>
      </c>
    </row>
    <row r="2542" spans="1:9" x14ac:dyDescent="0.75">
      <c r="A2542" s="1">
        <v>42146</v>
      </c>
      <c r="B2542">
        <v>59.72</v>
      </c>
      <c r="C2542">
        <v>60.66</v>
      </c>
      <c r="D2542">
        <v>60.8</v>
      </c>
      <c r="E2542">
        <v>59.35</v>
      </c>
      <c r="F2542" t="s">
        <v>2379</v>
      </c>
      <c r="G2542" s="2">
        <v>-1.6500000000000001E-2</v>
      </c>
      <c r="H2542">
        <f t="shared" si="78"/>
        <v>-1.6469038208168644E-2</v>
      </c>
      <c r="I2542">
        <f t="shared" si="79"/>
        <v>-1.6606160416384904E-2</v>
      </c>
    </row>
    <row r="2543" spans="1:9" x14ac:dyDescent="0.75">
      <c r="A2543" s="1">
        <v>42145</v>
      </c>
      <c r="B2543">
        <v>60.72</v>
      </c>
      <c r="C2543">
        <v>58.81</v>
      </c>
      <c r="D2543">
        <v>60.94</v>
      </c>
      <c r="E2543">
        <v>58.69</v>
      </c>
      <c r="F2543" t="s">
        <v>1124</v>
      </c>
      <c r="G2543" s="2">
        <v>2.9499999999999998E-2</v>
      </c>
      <c r="H2543">
        <f t="shared" si="78"/>
        <v>2.9501525940996982E-2</v>
      </c>
      <c r="I2543">
        <f t="shared" si="79"/>
        <v>2.9074729700244328E-2</v>
      </c>
    </row>
    <row r="2544" spans="1:9" x14ac:dyDescent="0.75">
      <c r="A2544" s="1">
        <v>42144</v>
      </c>
      <c r="B2544">
        <v>58.98</v>
      </c>
      <c r="C2544">
        <v>58.32</v>
      </c>
      <c r="D2544">
        <v>59.04</v>
      </c>
      <c r="E2544">
        <v>58.1</v>
      </c>
      <c r="F2544" t="s">
        <v>2380</v>
      </c>
      <c r="G2544" s="2">
        <v>0.03</v>
      </c>
      <c r="H2544">
        <f t="shared" si="78"/>
        <v>3.0038421236465229E-2</v>
      </c>
      <c r="I2544">
        <f t="shared" si="79"/>
        <v>2.9596103717161218E-2</v>
      </c>
    </row>
    <row r="2545" spans="1:9" x14ac:dyDescent="0.75">
      <c r="A2545" s="1">
        <v>42143</v>
      </c>
      <c r="B2545">
        <v>57.26</v>
      </c>
      <c r="C2545">
        <v>59.54</v>
      </c>
      <c r="D2545">
        <v>59.63</v>
      </c>
      <c r="E2545">
        <v>57.09</v>
      </c>
      <c r="F2545" t="s">
        <v>2381</v>
      </c>
      <c r="G2545" s="2">
        <v>-3.6499999999999998E-2</v>
      </c>
      <c r="H2545">
        <f t="shared" si="78"/>
        <v>-3.6513545347467639E-2</v>
      </c>
      <c r="I2545">
        <f t="shared" si="79"/>
        <v>-3.7196849708600301E-2</v>
      </c>
    </row>
    <row r="2546" spans="1:9" x14ac:dyDescent="0.75">
      <c r="A2546" s="1">
        <v>42142</v>
      </c>
      <c r="B2546">
        <v>59.43</v>
      </c>
      <c r="C2546">
        <v>59.85</v>
      </c>
      <c r="D2546">
        <v>60.88</v>
      </c>
      <c r="E2546">
        <v>59.06</v>
      </c>
      <c r="F2546" t="s">
        <v>2382</v>
      </c>
      <c r="G2546" s="2">
        <v>-4.4000000000000003E-3</v>
      </c>
      <c r="H2546">
        <f t="shared" si="78"/>
        <v>-4.355838498911007E-3</v>
      </c>
      <c r="I2546">
        <f t="shared" si="79"/>
        <v>-4.3653528019891672E-3</v>
      </c>
    </row>
    <row r="2547" spans="1:9" x14ac:dyDescent="0.75">
      <c r="A2547" s="1">
        <v>42139</v>
      </c>
      <c r="B2547">
        <v>59.69</v>
      </c>
      <c r="C2547">
        <v>59.67</v>
      </c>
      <c r="D2547">
        <v>59.97</v>
      </c>
      <c r="E2547">
        <v>58.42</v>
      </c>
      <c r="F2547" t="s">
        <v>2383</v>
      </c>
      <c r="G2547" s="2">
        <v>-3.2000000000000002E-3</v>
      </c>
      <c r="H2547">
        <f t="shared" si="78"/>
        <v>-3.1730126920508487E-3</v>
      </c>
      <c r="I2547">
        <f t="shared" si="79"/>
        <v>-3.1780573708691836E-3</v>
      </c>
    </row>
    <row r="2548" spans="1:9" x14ac:dyDescent="0.75">
      <c r="A2548" s="1">
        <v>42138</v>
      </c>
      <c r="B2548">
        <v>59.88</v>
      </c>
      <c r="C2548">
        <v>60.1</v>
      </c>
      <c r="D2548">
        <v>60.84</v>
      </c>
      <c r="E2548">
        <v>59.36</v>
      </c>
      <c r="F2548" t="s">
        <v>2384</v>
      </c>
      <c r="G2548" s="2">
        <v>-1.0200000000000001E-2</v>
      </c>
      <c r="H2548">
        <f t="shared" si="78"/>
        <v>-1.0247933884297478E-2</v>
      </c>
      <c r="I2548">
        <f t="shared" si="79"/>
        <v>-1.0300805485368105E-2</v>
      </c>
    </row>
    <row r="2549" spans="1:9" x14ac:dyDescent="0.75">
      <c r="A2549" s="1">
        <v>42137</v>
      </c>
      <c r="B2549">
        <v>60.5</v>
      </c>
      <c r="C2549">
        <v>61.23</v>
      </c>
      <c r="D2549">
        <v>61.85</v>
      </c>
      <c r="E2549">
        <v>60.02</v>
      </c>
      <c r="F2549" t="s">
        <v>2385</v>
      </c>
      <c r="G2549" s="2">
        <v>-4.1000000000000003E-3</v>
      </c>
      <c r="H2549">
        <f t="shared" si="78"/>
        <v>-4.11522633744856E-3</v>
      </c>
      <c r="I2549">
        <f t="shared" si="79"/>
        <v>-4.1237171838620409E-3</v>
      </c>
    </row>
    <row r="2550" spans="1:9" x14ac:dyDescent="0.75">
      <c r="A2550" s="1">
        <v>42136</v>
      </c>
      <c r="B2550">
        <v>60.75</v>
      </c>
      <c r="C2550">
        <v>59.27</v>
      </c>
      <c r="D2550">
        <v>61.36</v>
      </c>
      <c r="E2550">
        <v>59.12</v>
      </c>
      <c r="F2550" t="s">
        <v>2386</v>
      </c>
      <c r="G2550" s="2">
        <v>2.53E-2</v>
      </c>
      <c r="H2550">
        <f t="shared" si="78"/>
        <v>2.5316455696202531E-2</v>
      </c>
      <c r="I2550">
        <f t="shared" si="79"/>
        <v>2.5001302205417186E-2</v>
      </c>
    </row>
    <row r="2551" spans="1:9" x14ac:dyDescent="0.75">
      <c r="A2551" s="1">
        <v>42135</v>
      </c>
      <c r="B2551">
        <v>59.25</v>
      </c>
      <c r="C2551">
        <v>59.43</v>
      </c>
      <c r="D2551">
        <v>59.85</v>
      </c>
      <c r="E2551">
        <v>58.75</v>
      </c>
      <c r="F2551" t="s">
        <v>2387</v>
      </c>
      <c r="G2551" s="2">
        <v>-2.3999999999999998E-3</v>
      </c>
      <c r="H2551">
        <f t="shared" si="78"/>
        <v>-2.3572992086209896E-3</v>
      </c>
      <c r="I2551">
        <f t="shared" si="79"/>
        <v>-2.3600820125283324E-3</v>
      </c>
    </row>
    <row r="2552" spans="1:9" x14ac:dyDescent="0.75">
      <c r="A2552" s="1">
        <v>42132</v>
      </c>
      <c r="B2552">
        <v>59.39</v>
      </c>
      <c r="C2552">
        <v>59.02</v>
      </c>
      <c r="D2552">
        <v>59.9</v>
      </c>
      <c r="E2552">
        <v>58.14</v>
      </c>
      <c r="F2552" t="s">
        <v>2388</v>
      </c>
      <c r="G2552" s="2">
        <v>7.6E-3</v>
      </c>
      <c r="H2552">
        <f t="shared" si="78"/>
        <v>7.6348829317950942E-3</v>
      </c>
      <c r="I2552">
        <f t="shared" si="79"/>
        <v>7.6058847182202752E-3</v>
      </c>
    </row>
    <row r="2553" spans="1:9" x14ac:dyDescent="0.75">
      <c r="A2553" s="1">
        <v>42131</v>
      </c>
      <c r="B2553">
        <v>58.94</v>
      </c>
      <c r="C2553">
        <v>60.69</v>
      </c>
      <c r="D2553">
        <v>61.31</v>
      </c>
      <c r="E2553">
        <v>58.49</v>
      </c>
      <c r="F2553" t="s">
        <v>2389</v>
      </c>
      <c r="G2553" s="2">
        <v>-3.27E-2</v>
      </c>
      <c r="H2553">
        <f t="shared" si="78"/>
        <v>-3.2660430001641261E-2</v>
      </c>
      <c r="I2553">
        <f t="shared" si="79"/>
        <v>-3.3205686950854324E-2</v>
      </c>
    </row>
    <row r="2554" spans="1:9" x14ac:dyDescent="0.75">
      <c r="A2554" s="1">
        <v>42130</v>
      </c>
      <c r="B2554">
        <v>60.93</v>
      </c>
      <c r="C2554">
        <v>60.72</v>
      </c>
      <c r="D2554">
        <v>62.58</v>
      </c>
      <c r="E2554">
        <v>60.54</v>
      </c>
      <c r="F2554" t="s">
        <v>2390</v>
      </c>
      <c r="G2554" s="2">
        <v>8.8000000000000005E-3</v>
      </c>
      <c r="H2554">
        <f t="shared" si="78"/>
        <v>8.7748344370861125E-3</v>
      </c>
      <c r="I2554">
        <f t="shared" si="79"/>
        <v>8.7365593196338052E-3</v>
      </c>
    </row>
    <row r="2555" spans="1:9" x14ac:dyDescent="0.75">
      <c r="A2555" s="1">
        <v>42129</v>
      </c>
      <c r="B2555">
        <v>60.4</v>
      </c>
      <c r="C2555">
        <v>58.95</v>
      </c>
      <c r="D2555">
        <v>61.1</v>
      </c>
      <c r="E2555">
        <v>58.63</v>
      </c>
      <c r="F2555" t="s">
        <v>2391</v>
      </c>
      <c r="G2555" s="2">
        <v>2.4899999999999999E-2</v>
      </c>
      <c r="H2555">
        <f t="shared" si="78"/>
        <v>2.4944849821822483E-2</v>
      </c>
      <c r="I2555">
        <f t="shared" si="79"/>
        <v>2.4638806090947329E-2</v>
      </c>
    </row>
    <row r="2556" spans="1:9" x14ac:dyDescent="0.75">
      <c r="A2556" s="1">
        <v>42128</v>
      </c>
      <c r="B2556">
        <v>58.93</v>
      </c>
      <c r="C2556">
        <v>59.3</v>
      </c>
      <c r="D2556">
        <v>59.73</v>
      </c>
      <c r="E2556">
        <v>58.45</v>
      </c>
      <c r="F2556" t="s">
        <v>1673</v>
      </c>
      <c r="G2556" s="2">
        <v>-3.7000000000000002E-3</v>
      </c>
      <c r="H2556">
        <f t="shared" si="78"/>
        <v>-3.7193575655113924E-3</v>
      </c>
      <c r="I2556">
        <f t="shared" si="79"/>
        <v>-3.7262915745737337E-3</v>
      </c>
    </row>
    <row r="2557" spans="1:9" x14ac:dyDescent="0.75">
      <c r="A2557" s="1">
        <v>42125</v>
      </c>
      <c r="B2557">
        <v>59.15</v>
      </c>
      <c r="C2557">
        <v>59.79</v>
      </c>
      <c r="D2557">
        <v>59.9</v>
      </c>
      <c r="E2557">
        <v>58.32</v>
      </c>
      <c r="F2557" t="s">
        <v>2392</v>
      </c>
      <c r="G2557" s="2">
        <v>-8.0000000000000002E-3</v>
      </c>
      <c r="H2557">
        <f t="shared" si="78"/>
        <v>-8.049639443233338E-3</v>
      </c>
      <c r="I2557">
        <f t="shared" si="79"/>
        <v>-8.0822127106188104E-3</v>
      </c>
    </row>
    <row r="2558" spans="1:9" x14ac:dyDescent="0.75">
      <c r="A2558" s="1">
        <v>42124</v>
      </c>
      <c r="B2558">
        <v>59.63</v>
      </c>
      <c r="C2558">
        <v>58.55</v>
      </c>
      <c r="D2558">
        <v>59.85</v>
      </c>
      <c r="E2558">
        <v>58.38</v>
      </c>
      <c r="F2558" t="s">
        <v>2393</v>
      </c>
      <c r="G2558" s="2">
        <v>1.7899999999999999E-2</v>
      </c>
      <c r="H2558">
        <f t="shared" si="78"/>
        <v>1.7924206213724894E-2</v>
      </c>
      <c r="I2558">
        <f t="shared" si="79"/>
        <v>1.7765461735427104E-2</v>
      </c>
    </row>
    <row r="2559" spans="1:9" x14ac:dyDescent="0.75">
      <c r="A2559" s="1">
        <v>42123</v>
      </c>
      <c r="B2559">
        <v>58.58</v>
      </c>
      <c r="C2559">
        <v>56.93</v>
      </c>
      <c r="D2559">
        <v>59.33</v>
      </c>
      <c r="E2559">
        <v>56.54</v>
      </c>
      <c r="F2559" t="s">
        <v>2394</v>
      </c>
      <c r="G2559" s="2">
        <v>2.6599999999999999E-2</v>
      </c>
      <c r="H2559">
        <f t="shared" si="78"/>
        <v>2.6638626007711112E-2</v>
      </c>
      <c r="I2559">
        <f t="shared" si="79"/>
        <v>2.6289995614233463E-2</v>
      </c>
    </row>
    <row r="2560" spans="1:9" x14ac:dyDescent="0.75">
      <c r="A2560" s="1">
        <v>42122</v>
      </c>
      <c r="B2560">
        <v>57.06</v>
      </c>
      <c r="C2560">
        <v>56.65</v>
      </c>
      <c r="D2560">
        <v>57.83</v>
      </c>
      <c r="E2560">
        <v>56.07</v>
      </c>
      <c r="F2560" t="s">
        <v>2395</v>
      </c>
      <c r="G2560" s="2">
        <v>1.1999999999999999E-3</v>
      </c>
      <c r="H2560">
        <f t="shared" si="78"/>
        <v>1.2282856641516104E-3</v>
      </c>
      <c r="I2560">
        <f t="shared" si="79"/>
        <v>1.2275319384458135E-3</v>
      </c>
    </row>
    <row r="2561" spans="1:9" x14ac:dyDescent="0.75">
      <c r="A2561" s="1">
        <v>42121</v>
      </c>
      <c r="B2561">
        <v>56.99</v>
      </c>
      <c r="C2561">
        <v>57.3</v>
      </c>
      <c r="D2561">
        <v>57.89</v>
      </c>
      <c r="E2561">
        <v>56.52</v>
      </c>
      <c r="F2561" t="s">
        <v>2396</v>
      </c>
      <c r="G2561" s="2">
        <v>-2.8E-3</v>
      </c>
      <c r="H2561">
        <f t="shared" si="78"/>
        <v>-2.7996500437444723E-3</v>
      </c>
      <c r="I2561">
        <f t="shared" si="79"/>
        <v>-2.803576393911432E-3</v>
      </c>
    </row>
    <row r="2562" spans="1:9" x14ac:dyDescent="0.75">
      <c r="A2562" s="1">
        <v>42118</v>
      </c>
      <c r="B2562">
        <v>57.15</v>
      </c>
      <c r="C2562">
        <v>57.53</v>
      </c>
      <c r="D2562">
        <v>57.95</v>
      </c>
      <c r="E2562">
        <v>56.5</v>
      </c>
      <c r="F2562" t="s">
        <v>2397</v>
      </c>
      <c r="G2562" s="2">
        <v>-1.0200000000000001E-2</v>
      </c>
      <c r="H2562">
        <f t="shared" si="78"/>
        <v>-1.0218219605126488E-2</v>
      </c>
      <c r="I2562">
        <f t="shared" si="79"/>
        <v>-1.0270783993969423E-2</v>
      </c>
    </row>
    <row r="2563" spans="1:9" x14ac:dyDescent="0.75">
      <c r="A2563" s="1">
        <v>42117</v>
      </c>
      <c r="B2563">
        <v>57.74</v>
      </c>
      <c r="C2563">
        <v>56.28</v>
      </c>
      <c r="D2563">
        <v>58.41</v>
      </c>
      <c r="E2563">
        <v>55.76</v>
      </c>
      <c r="F2563" t="s">
        <v>1211</v>
      </c>
      <c r="G2563" s="2">
        <v>2.81E-2</v>
      </c>
      <c r="H2563">
        <f t="shared" ref="H2563:H2626" si="80">(B2563-B2564)/B2564</f>
        <v>2.8133903133903231E-2</v>
      </c>
      <c r="I2563">
        <f t="shared" ref="I2563:I2626" si="81">LN(B2563/B2564)</f>
        <v>2.7745414517233401E-2</v>
      </c>
    </row>
    <row r="2564" spans="1:9" x14ac:dyDescent="0.75">
      <c r="A2564" s="1">
        <v>42116</v>
      </c>
      <c r="B2564">
        <v>56.16</v>
      </c>
      <c r="C2564">
        <v>56.34</v>
      </c>
      <c r="D2564">
        <v>57.19</v>
      </c>
      <c r="E2564">
        <v>55.73</v>
      </c>
      <c r="F2564" t="s">
        <v>2398</v>
      </c>
      <c r="G2564" s="2">
        <v>1.6299999999999999E-2</v>
      </c>
      <c r="H2564">
        <f t="shared" si="80"/>
        <v>1.6286644951140041E-2</v>
      </c>
      <c r="I2564">
        <f t="shared" si="81"/>
        <v>1.6155440222285208E-2</v>
      </c>
    </row>
    <row r="2565" spans="1:9" x14ac:dyDescent="0.75">
      <c r="A2565" s="1">
        <v>42115</v>
      </c>
      <c r="B2565">
        <v>55.26</v>
      </c>
      <c r="C2565">
        <v>56.41</v>
      </c>
      <c r="D2565">
        <v>56.91</v>
      </c>
      <c r="E2565">
        <v>55.01</v>
      </c>
      <c r="F2565" t="s">
        <v>2399</v>
      </c>
      <c r="G2565" s="2">
        <v>-1.9900000000000001E-2</v>
      </c>
      <c r="H2565">
        <f t="shared" si="80"/>
        <v>-1.9865200425682947E-2</v>
      </c>
      <c r="I2565">
        <f t="shared" si="81"/>
        <v>-2.0065166190696111E-2</v>
      </c>
    </row>
    <row r="2566" spans="1:9" x14ac:dyDescent="0.75">
      <c r="A2566" s="1">
        <v>42114</v>
      </c>
      <c r="B2566">
        <v>56.38</v>
      </c>
      <c r="C2566">
        <v>56.16</v>
      </c>
      <c r="D2566">
        <v>57.17</v>
      </c>
      <c r="E2566">
        <v>54.85</v>
      </c>
      <c r="F2566" t="s">
        <v>2400</v>
      </c>
      <c r="G2566" s="2">
        <v>1.15E-2</v>
      </c>
      <c r="H2566">
        <f t="shared" si="80"/>
        <v>1.1481880157875862E-2</v>
      </c>
      <c r="I2566">
        <f t="shared" si="81"/>
        <v>1.1416463632164257E-2</v>
      </c>
    </row>
    <row r="2567" spans="1:9" x14ac:dyDescent="0.75">
      <c r="A2567" s="1">
        <v>42111</v>
      </c>
      <c r="B2567">
        <v>55.74</v>
      </c>
      <c r="C2567">
        <v>56.56</v>
      </c>
      <c r="D2567">
        <v>56.88</v>
      </c>
      <c r="E2567">
        <v>55.31</v>
      </c>
      <c r="F2567" t="s">
        <v>2401</v>
      </c>
      <c r="G2567" s="2">
        <v>-1.7100000000000001E-2</v>
      </c>
      <c r="H2567">
        <f t="shared" si="80"/>
        <v>-1.7104567095750287E-2</v>
      </c>
      <c r="I2567">
        <f t="shared" si="81"/>
        <v>-1.7252539972134436E-2</v>
      </c>
    </row>
    <row r="2568" spans="1:9" x14ac:dyDescent="0.75">
      <c r="A2568" s="1">
        <v>42110</v>
      </c>
      <c r="B2568">
        <v>56.71</v>
      </c>
      <c r="C2568">
        <v>55.92</v>
      </c>
      <c r="D2568">
        <v>57.42</v>
      </c>
      <c r="E2568">
        <v>55.07</v>
      </c>
      <c r="F2568" t="s">
        <v>2402</v>
      </c>
      <c r="G2568" s="2">
        <v>5.7000000000000002E-3</v>
      </c>
      <c r="H2568">
        <f t="shared" si="80"/>
        <v>5.6747650292605124E-3</v>
      </c>
      <c r="I2568">
        <f t="shared" si="81"/>
        <v>5.6587242068459444E-3</v>
      </c>
    </row>
    <row r="2569" spans="1:9" x14ac:dyDescent="0.75">
      <c r="A2569" s="1">
        <v>42109</v>
      </c>
      <c r="B2569">
        <v>56.39</v>
      </c>
      <c r="C2569">
        <v>53.55</v>
      </c>
      <c r="D2569">
        <v>56.69</v>
      </c>
      <c r="E2569">
        <v>53.39</v>
      </c>
      <c r="F2569" t="s">
        <v>2403</v>
      </c>
      <c r="G2569" s="2">
        <v>5.8200000000000002E-2</v>
      </c>
      <c r="H2569">
        <f t="shared" si="80"/>
        <v>5.8172264965284319E-2</v>
      </c>
      <c r="I2569">
        <f t="shared" si="81"/>
        <v>5.6543141510399839E-2</v>
      </c>
    </row>
    <row r="2570" spans="1:9" x14ac:dyDescent="0.75">
      <c r="A2570" s="1">
        <v>42108</v>
      </c>
      <c r="B2570">
        <v>53.29</v>
      </c>
      <c r="C2570">
        <v>52.05</v>
      </c>
      <c r="D2570">
        <v>53.79</v>
      </c>
      <c r="E2570">
        <v>51.83</v>
      </c>
      <c r="F2570" t="s">
        <v>2404</v>
      </c>
      <c r="G2570" s="2">
        <v>2.6599999999999999E-2</v>
      </c>
      <c r="H2570">
        <f t="shared" si="80"/>
        <v>2.6584473126565259E-2</v>
      </c>
      <c r="I2570">
        <f t="shared" si="81"/>
        <v>2.6237246469553225E-2</v>
      </c>
    </row>
    <row r="2571" spans="1:9" x14ac:dyDescent="0.75">
      <c r="A2571" s="1">
        <v>42107</v>
      </c>
      <c r="B2571">
        <v>51.91</v>
      </c>
      <c r="C2571">
        <v>51.81</v>
      </c>
      <c r="D2571">
        <v>53.1</v>
      </c>
      <c r="E2571">
        <v>51.47</v>
      </c>
      <c r="F2571" t="s">
        <v>2405</v>
      </c>
      <c r="G2571" s="2">
        <v>5.1999999999999998E-3</v>
      </c>
      <c r="H2571">
        <f t="shared" si="80"/>
        <v>5.2285050348566233E-3</v>
      </c>
      <c r="I2571">
        <f t="shared" si="81"/>
        <v>5.2148838606958167E-3</v>
      </c>
    </row>
    <row r="2572" spans="1:9" x14ac:dyDescent="0.75">
      <c r="A2572" s="1">
        <v>42104</v>
      </c>
      <c r="B2572">
        <v>51.64</v>
      </c>
      <c r="C2572">
        <v>50.73</v>
      </c>
      <c r="D2572">
        <v>51.93</v>
      </c>
      <c r="E2572">
        <v>50.08</v>
      </c>
      <c r="F2572" t="s">
        <v>2406</v>
      </c>
      <c r="G2572" s="2">
        <v>1.67E-2</v>
      </c>
      <c r="H2572">
        <f t="shared" si="80"/>
        <v>1.6735577869659408E-2</v>
      </c>
      <c r="I2572">
        <f t="shared" si="81"/>
        <v>1.659708116528813E-2</v>
      </c>
    </row>
    <row r="2573" spans="1:9" x14ac:dyDescent="0.75">
      <c r="A2573" s="1">
        <v>42103</v>
      </c>
      <c r="B2573">
        <v>50.79</v>
      </c>
      <c r="C2573">
        <v>51</v>
      </c>
      <c r="D2573">
        <v>52.07</v>
      </c>
      <c r="E2573">
        <v>50.51</v>
      </c>
      <c r="F2573" t="s">
        <v>2407</v>
      </c>
      <c r="G2573" s="2">
        <v>7.3000000000000001E-3</v>
      </c>
      <c r="H2573">
        <f t="shared" si="80"/>
        <v>7.3383577945259305E-3</v>
      </c>
      <c r="I2573">
        <f t="shared" si="81"/>
        <v>7.3115630533797434E-3</v>
      </c>
    </row>
    <row r="2574" spans="1:9" x14ac:dyDescent="0.75">
      <c r="A2574" s="1">
        <v>42102</v>
      </c>
      <c r="B2574">
        <v>50.42</v>
      </c>
      <c r="C2574">
        <v>53.18</v>
      </c>
      <c r="D2574">
        <v>53.23</v>
      </c>
      <c r="E2574">
        <v>50.37</v>
      </c>
      <c r="F2574" t="s">
        <v>2408</v>
      </c>
      <c r="G2574" s="2">
        <v>-6.6000000000000003E-2</v>
      </c>
      <c r="H2574">
        <f t="shared" si="80"/>
        <v>-6.5950351982215549E-2</v>
      </c>
      <c r="I2574">
        <f t="shared" si="81"/>
        <v>-6.8225685830084731E-2</v>
      </c>
    </row>
    <row r="2575" spans="1:9" x14ac:dyDescent="0.75">
      <c r="A2575" s="1">
        <v>42101</v>
      </c>
      <c r="B2575">
        <v>53.98</v>
      </c>
      <c r="C2575">
        <v>51.95</v>
      </c>
      <c r="D2575">
        <v>54.13</v>
      </c>
      <c r="E2575">
        <v>51.17</v>
      </c>
      <c r="F2575" t="s">
        <v>2409</v>
      </c>
      <c r="G2575" s="2">
        <v>3.5299999999999998E-2</v>
      </c>
      <c r="H2575">
        <f t="shared" si="80"/>
        <v>3.5289604909858004E-2</v>
      </c>
      <c r="I2575">
        <f t="shared" si="81"/>
        <v>3.4681199084502956E-2</v>
      </c>
    </row>
    <row r="2576" spans="1:9" x14ac:dyDescent="0.75">
      <c r="A2576" s="1">
        <v>42100</v>
      </c>
      <c r="B2576">
        <v>52.14</v>
      </c>
      <c r="C2576">
        <v>49.47</v>
      </c>
      <c r="D2576">
        <v>52.24</v>
      </c>
      <c r="E2576">
        <v>49.47</v>
      </c>
      <c r="F2576" t="s">
        <v>2410</v>
      </c>
      <c r="G2576" s="2">
        <v>6.1100000000000002E-2</v>
      </c>
      <c r="H2576">
        <f t="shared" si="80"/>
        <v>6.1050061050061048E-2</v>
      </c>
      <c r="I2576">
        <f t="shared" si="81"/>
        <v>5.9259041412322619E-2</v>
      </c>
    </row>
    <row r="2577" spans="1:9" x14ac:dyDescent="0.75">
      <c r="A2577" s="1">
        <v>42097</v>
      </c>
      <c r="B2577">
        <v>49.14</v>
      </c>
      <c r="C2577">
        <v>49.14</v>
      </c>
      <c r="D2577">
        <v>49.14</v>
      </c>
      <c r="E2577">
        <v>49.14</v>
      </c>
      <c r="G2577" s="2">
        <v>0</v>
      </c>
      <c r="H2577">
        <f t="shared" si="80"/>
        <v>0</v>
      </c>
      <c r="I2577">
        <f t="shared" si="81"/>
        <v>0</v>
      </c>
    </row>
    <row r="2578" spans="1:9" x14ac:dyDescent="0.75">
      <c r="A2578" s="1">
        <v>42096</v>
      </c>
      <c r="B2578">
        <v>49.14</v>
      </c>
      <c r="C2578">
        <v>49.59</v>
      </c>
      <c r="D2578">
        <v>50.27</v>
      </c>
      <c r="E2578">
        <v>48.11</v>
      </c>
      <c r="F2578" t="s">
        <v>2411</v>
      </c>
      <c r="G2578" s="2">
        <v>-1.9E-2</v>
      </c>
      <c r="H2578">
        <f t="shared" si="80"/>
        <v>-1.896586144939115E-2</v>
      </c>
      <c r="I2578">
        <f t="shared" si="81"/>
        <v>-1.9148020276492445E-2</v>
      </c>
    </row>
    <row r="2579" spans="1:9" x14ac:dyDescent="0.75">
      <c r="A2579" s="1">
        <v>42095</v>
      </c>
      <c r="B2579">
        <v>50.09</v>
      </c>
      <c r="C2579">
        <v>47.55</v>
      </c>
      <c r="D2579">
        <v>50.45</v>
      </c>
      <c r="E2579">
        <v>47.05</v>
      </c>
      <c r="F2579" t="s">
        <v>2412</v>
      </c>
      <c r="G2579" s="2">
        <v>5.2299999999999999E-2</v>
      </c>
      <c r="H2579">
        <f t="shared" si="80"/>
        <v>5.2310924369747942E-2</v>
      </c>
      <c r="I2579">
        <f t="shared" si="81"/>
        <v>5.0988626132151146E-2</v>
      </c>
    </row>
    <row r="2580" spans="1:9" x14ac:dyDescent="0.75">
      <c r="A2580" s="1">
        <v>42094</v>
      </c>
      <c r="B2580">
        <v>47.6</v>
      </c>
      <c r="C2580">
        <v>48.73</v>
      </c>
      <c r="D2580">
        <v>48.73</v>
      </c>
      <c r="E2580">
        <v>47.28</v>
      </c>
      <c r="F2580" t="s">
        <v>2413</v>
      </c>
      <c r="G2580" s="2">
        <v>-2.2200000000000001E-2</v>
      </c>
      <c r="H2580">
        <f t="shared" si="80"/>
        <v>-2.2185702547247294E-2</v>
      </c>
      <c r="I2580">
        <f t="shared" si="81"/>
        <v>-2.243550688195205E-2</v>
      </c>
    </row>
    <row r="2581" spans="1:9" x14ac:dyDescent="0.75">
      <c r="A2581" s="1">
        <v>42093</v>
      </c>
      <c r="B2581">
        <v>48.68</v>
      </c>
      <c r="C2581">
        <v>48.57</v>
      </c>
      <c r="D2581">
        <v>49.16</v>
      </c>
      <c r="E2581">
        <v>47.61</v>
      </c>
      <c r="F2581" t="s">
        <v>2414</v>
      </c>
      <c r="G2581" s="2">
        <v>-3.8999999999999998E-3</v>
      </c>
      <c r="H2581">
        <f t="shared" si="80"/>
        <v>-3.8878657663187588E-3</v>
      </c>
      <c r="I2581">
        <f t="shared" si="81"/>
        <v>-3.8954431627369452E-3</v>
      </c>
    </row>
    <row r="2582" spans="1:9" x14ac:dyDescent="0.75">
      <c r="A2582" s="1">
        <v>42090</v>
      </c>
      <c r="B2582">
        <v>48.87</v>
      </c>
      <c r="C2582">
        <v>51.01</v>
      </c>
      <c r="D2582">
        <v>51.38</v>
      </c>
      <c r="E2582">
        <v>48.21</v>
      </c>
      <c r="F2582" t="s">
        <v>2415</v>
      </c>
      <c r="G2582" s="2">
        <v>-4.9799999999999997E-2</v>
      </c>
      <c r="H2582">
        <f t="shared" si="80"/>
        <v>-4.977639510013615E-2</v>
      </c>
      <c r="I2582">
        <f t="shared" si="81"/>
        <v>-5.1057948504761481E-2</v>
      </c>
    </row>
    <row r="2583" spans="1:9" x14ac:dyDescent="0.75">
      <c r="A2583" s="1">
        <v>42089</v>
      </c>
      <c r="B2583">
        <v>51.43</v>
      </c>
      <c r="C2583">
        <v>49.02</v>
      </c>
      <c r="D2583">
        <v>52.48</v>
      </c>
      <c r="E2583">
        <v>48.73</v>
      </c>
      <c r="F2583" t="s">
        <v>2416</v>
      </c>
      <c r="G2583" s="2">
        <v>4.5100000000000001E-2</v>
      </c>
      <c r="H2583">
        <f t="shared" si="80"/>
        <v>4.5112781954887195E-2</v>
      </c>
      <c r="I2583">
        <f t="shared" si="81"/>
        <v>4.4124804908937887E-2</v>
      </c>
    </row>
    <row r="2584" spans="1:9" x14ac:dyDescent="0.75">
      <c r="A2584" s="1">
        <v>42088</v>
      </c>
      <c r="B2584">
        <v>49.21</v>
      </c>
      <c r="C2584">
        <v>47.72</v>
      </c>
      <c r="D2584">
        <v>49.46</v>
      </c>
      <c r="E2584">
        <v>47</v>
      </c>
      <c r="F2584" t="s">
        <v>2417</v>
      </c>
      <c r="G2584" s="2">
        <v>3.5799999999999998E-2</v>
      </c>
      <c r="H2584">
        <f t="shared" si="80"/>
        <v>3.5781940644074993E-2</v>
      </c>
      <c r="I2584">
        <f t="shared" si="81"/>
        <v>3.515663967905687E-2</v>
      </c>
    </row>
    <row r="2585" spans="1:9" x14ac:dyDescent="0.75">
      <c r="A2585" s="1">
        <v>42087</v>
      </c>
      <c r="B2585">
        <v>47.51</v>
      </c>
      <c r="C2585">
        <v>47.46</v>
      </c>
      <c r="D2585">
        <v>48.56</v>
      </c>
      <c r="E2585">
        <v>46.67</v>
      </c>
      <c r="F2585" t="s">
        <v>2418</v>
      </c>
      <c r="G2585" s="2">
        <v>1.2999999999999999E-3</v>
      </c>
      <c r="H2585">
        <f t="shared" si="80"/>
        <v>1.2644889357217104E-3</v>
      </c>
      <c r="I2585">
        <f t="shared" si="81"/>
        <v>1.2636901428928922E-3</v>
      </c>
    </row>
    <row r="2586" spans="1:9" x14ac:dyDescent="0.75">
      <c r="A2586" s="1">
        <v>42086</v>
      </c>
      <c r="B2586">
        <v>47.45</v>
      </c>
      <c r="C2586">
        <v>46.41</v>
      </c>
      <c r="D2586">
        <v>47.61</v>
      </c>
      <c r="E2586">
        <v>45.33</v>
      </c>
      <c r="F2586" t="s">
        <v>2419</v>
      </c>
      <c r="G2586" s="2">
        <v>3.78E-2</v>
      </c>
      <c r="H2586">
        <f t="shared" si="80"/>
        <v>3.783902012248478E-2</v>
      </c>
      <c r="I2586">
        <f t="shared" si="81"/>
        <v>3.714068612932702E-2</v>
      </c>
    </row>
    <row r="2587" spans="1:9" x14ac:dyDescent="0.75">
      <c r="A2587" s="1">
        <v>42083</v>
      </c>
      <c r="B2587">
        <v>45.72</v>
      </c>
      <c r="C2587">
        <v>43.99</v>
      </c>
      <c r="D2587">
        <v>46.53</v>
      </c>
      <c r="E2587">
        <v>43.31</v>
      </c>
      <c r="F2587" t="s">
        <v>2420</v>
      </c>
      <c r="G2587" s="2">
        <v>0.04</v>
      </c>
      <c r="H2587">
        <f t="shared" si="80"/>
        <v>4.0036396724294765E-2</v>
      </c>
      <c r="I2587">
        <f t="shared" si="81"/>
        <v>3.9255709391189192E-2</v>
      </c>
    </row>
    <row r="2588" spans="1:9" x14ac:dyDescent="0.75">
      <c r="A2588" s="1">
        <v>42082</v>
      </c>
      <c r="B2588">
        <v>43.96</v>
      </c>
      <c r="C2588">
        <v>44.6</v>
      </c>
      <c r="D2588">
        <v>44.71</v>
      </c>
      <c r="E2588">
        <v>42.75</v>
      </c>
      <c r="F2588" t="s">
        <v>1594</v>
      </c>
      <c r="G2588" s="2">
        <v>-1.5699999999999999E-2</v>
      </c>
      <c r="H2588">
        <f t="shared" si="80"/>
        <v>-1.5673981191222475E-2</v>
      </c>
      <c r="I2588">
        <f t="shared" si="81"/>
        <v>-1.5798116876591061E-2</v>
      </c>
    </row>
    <row r="2589" spans="1:9" x14ac:dyDescent="0.75">
      <c r="A2589" s="1">
        <v>42081</v>
      </c>
      <c r="B2589">
        <v>44.66</v>
      </c>
      <c r="C2589">
        <v>42.51</v>
      </c>
      <c r="D2589">
        <v>45.34</v>
      </c>
      <c r="E2589">
        <v>42.03</v>
      </c>
      <c r="F2589" t="s">
        <v>2230</v>
      </c>
      <c r="G2589" s="2">
        <v>2.76E-2</v>
      </c>
      <c r="H2589">
        <f t="shared" si="80"/>
        <v>2.7611596870685588E-2</v>
      </c>
      <c r="I2589">
        <f t="shared" si="81"/>
        <v>2.723727158372815E-2</v>
      </c>
    </row>
    <row r="2590" spans="1:9" x14ac:dyDescent="0.75">
      <c r="A2590" s="1">
        <v>42080</v>
      </c>
      <c r="B2590">
        <v>43.46</v>
      </c>
      <c r="C2590">
        <v>43.84</v>
      </c>
      <c r="D2590">
        <v>44.2</v>
      </c>
      <c r="E2590">
        <v>42.41</v>
      </c>
      <c r="F2590" t="s">
        <v>2421</v>
      </c>
      <c r="G2590" s="2">
        <v>-9.5999999999999992E-3</v>
      </c>
      <c r="H2590">
        <f t="shared" si="80"/>
        <v>-9.5715587967183605E-3</v>
      </c>
      <c r="I2590">
        <f t="shared" si="81"/>
        <v>-9.6176605787459332E-3</v>
      </c>
    </row>
    <row r="2591" spans="1:9" x14ac:dyDescent="0.75">
      <c r="A2591" s="1">
        <v>42079</v>
      </c>
      <c r="B2591">
        <v>43.88</v>
      </c>
      <c r="C2591">
        <v>44.81</v>
      </c>
      <c r="D2591">
        <v>45</v>
      </c>
      <c r="E2591">
        <v>42.85</v>
      </c>
      <c r="F2591" t="s">
        <v>2422</v>
      </c>
      <c r="G2591" s="2">
        <v>-2.1399999999999999E-2</v>
      </c>
      <c r="H2591">
        <f t="shared" si="80"/>
        <v>-2.1409455842997343E-2</v>
      </c>
      <c r="I2591">
        <f t="shared" si="81"/>
        <v>-2.1641962796929703E-2</v>
      </c>
    </row>
    <row r="2592" spans="1:9" x14ac:dyDescent="0.75">
      <c r="A2592" s="1">
        <v>42076</v>
      </c>
      <c r="B2592">
        <v>44.84</v>
      </c>
      <c r="C2592">
        <v>46.93</v>
      </c>
      <c r="D2592">
        <v>47.28</v>
      </c>
      <c r="E2592">
        <v>44.75</v>
      </c>
      <c r="F2592" t="s">
        <v>2423</v>
      </c>
      <c r="G2592" s="2">
        <v>-4.7E-2</v>
      </c>
      <c r="H2592">
        <f t="shared" si="80"/>
        <v>-4.6971307120084883E-2</v>
      </c>
      <c r="I2592">
        <f t="shared" si="81"/>
        <v>-4.8110267827429359E-2</v>
      </c>
    </row>
    <row r="2593" spans="1:9" x14ac:dyDescent="0.75">
      <c r="A2593" s="1">
        <v>42075</v>
      </c>
      <c r="B2593">
        <v>47.05</v>
      </c>
      <c r="C2593">
        <v>48.44</v>
      </c>
      <c r="D2593">
        <v>48.76</v>
      </c>
      <c r="E2593">
        <v>46.86</v>
      </c>
      <c r="F2593" t="s">
        <v>2424</v>
      </c>
      <c r="G2593" s="2">
        <v>-2.3300000000000001E-2</v>
      </c>
      <c r="H2593">
        <f t="shared" si="80"/>
        <v>-2.3250986090928058E-2</v>
      </c>
      <c r="I2593">
        <f t="shared" si="81"/>
        <v>-2.3525554610740837E-2</v>
      </c>
    </row>
    <row r="2594" spans="1:9" x14ac:dyDescent="0.75">
      <c r="A2594" s="1">
        <v>42074</v>
      </c>
      <c r="B2594">
        <v>48.17</v>
      </c>
      <c r="C2594">
        <v>48.77</v>
      </c>
      <c r="D2594">
        <v>49.05</v>
      </c>
      <c r="E2594">
        <v>47.33</v>
      </c>
      <c r="F2594" t="s">
        <v>2425</v>
      </c>
      <c r="G2594" s="2">
        <v>-2.5000000000000001E-3</v>
      </c>
      <c r="H2594">
        <f t="shared" si="80"/>
        <v>-2.4849865396561906E-3</v>
      </c>
      <c r="I2594">
        <f t="shared" si="81"/>
        <v>-2.488079243321091E-3</v>
      </c>
    </row>
    <row r="2595" spans="1:9" x14ac:dyDescent="0.75">
      <c r="A2595" s="1">
        <v>42073</v>
      </c>
      <c r="B2595">
        <v>48.29</v>
      </c>
      <c r="C2595">
        <v>50.08</v>
      </c>
      <c r="D2595">
        <v>50.36</v>
      </c>
      <c r="E2595">
        <v>48.2</v>
      </c>
      <c r="F2595" t="s">
        <v>2426</v>
      </c>
      <c r="G2595" s="2">
        <v>-3.4200000000000001E-2</v>
      </c>
      <c r="H2595">
        <f t="shared" si="80"/>
        <v>-3.4200000000000015E-2</v>
      </c>
      <c r="I2595">
        <f t="shared" si="81"/>
        <v>-3.4798505542695542E-2</v>
      </c>
    </row>
    <row r="2596" spans="1:9" x14ac:dyDescent="0.75">
      <c r="A2596" s="1">
        <v>42072</v>
      </c>
      <c r="B2596">
        <v>50</v>
      </c>
      <c r="C2596">
        <v>49.6</v>
      </c>
      <c r="D2596">
        <v>50.79</v>
      </c>
      <c r="E2596">
        <v>49.25</v>
      </c>
      <c r="F2596" t="s">
        <v>2427</v>
      </c>
      <c r="G2596" s="2">
        <v>7.9000000000000008E-3</v>
      </c>
      <c r="H2596">
        <f t="shared" si="80"/>
        <v>7.8613182826043244E-3</v>
      </c>
      <c r="I2596">
        <f t="shared" si="81"/>
        <v>7.8305791151886111E-3</v>
      </c>
    </row>
    <row r="2597" spans="1:9" x14ac:dyDescent="0.75">
      <c r="A2597" s="1">
        <v>42069</v>
      </c>
      <c r="B2597">
        <v>49.61</v>
      </c>
      <c r="C2597">
        <v>50.89</v>
      </c>
      <c r="D2597">
        <v>51.22</v>
      </c>
      <c r="E2597">
        <v>48.88</v>
      </c>
      <c r="F2597" t="s">
        <v>2428</v>
      </c>
      <c r="G2597" s="2">
        <v>-2.2700000000000001E-2</v>
      </c>
      <c r="H2597">
        <f t="shared" si="80"/>
        <v>-2.2655634357761991E-2</v>
      </c>
      <c r="I2597">
        <f t="shared" si="81"/>
        <v>-2.2916216533229335E-2</v>
      </c>
    </row>
    <row r="2598" spans="1:9" x14ac:dyDescent="0.75">
      <c r="A2598" s="1">
        <v>42068</v>
      </c>
      <c r="B2598">
        <v>50.76</v>
      </c>
      <c r="C2598">
        <v>51.62</v>
      </c>
      <c r="D2598">
        <v>52.4</v>
      </c>
      <c r="E2598">
        <v>50.61</v>
      </c>
      <c r="F2598" t="s">
        <v>2429</v>
      </c>
      <c r="G2598" s="2">
        <v>-1.49E-2</v>
      </c>
      <c r="H2598">
        <f t="shared" si="80"/>
        <v>-1.4942751795070893E-2</v>
      </c>
      <c r="I2598">
        <f t="shared" si="81"/>
        <v>-1.5055519493946033E-2</v>
      </c>
    </row>
    <row r="2599" spans="1:9" x14ac:dyDescent="0.75">
      <c r="A2599" s="1">
        <v>42067</v>
      </c>
      <c r="B2599">
        <v>51.53</v>
      </c>
      <c r="C2599">
        <v>50.61</v>
      </c>
      <c r="D2599">
        <v>51.99</v>
      </c>
      <c r="E2599">
        <v>49.6</v>
      </c>
      <c r="F2599" t="s">
        <v>2430</v>
      </c>
      <c r="G2599" s="2">
        <v>0.02</v>
      </c>
      <c r="H2599">
        <f t="shared" si="80"/>
        <v>1.9992082343626247E-2</v>
      </c>
      <c r="I2599">
        <f t="shared" si="81"/>
        <v>1.9794864857842411E-2</v>
      </c>
    </row>
    <row r="2600" spans="1:9" x14ac:dyDescent="0.75">
      <c r="A2600" s="1">
        <v>42066</v>
      </c>
      <c r="B2600">
        <v>50.52</v>
      </c>
      <c r="C2600">
        <v>49.8</v>
      </c>
      <c r="D2600">
        <v>50.83</v>
      </c>
      <c r="E2600">
        <v>49.45</v>
      </c>
      <c r="F2600" t="s">
        <v>2431</v>
      </c>
      <c r="G2600" s="2">
        <v>1.8800000000000001E-2</v>
      </c>
      <c r="H2600">
        <f t="shared" si="80"/>
        <v>1.8753781004234717E-2</v>
      </c>
      <c r="I2600">
        <f t="shared" si="81"/>
        <v>1.8580096981247771E-2</v>
      </c>
    </row>
    <row r="2601" spans="1:9" x14ac:dyDescent="0.75">
      <c r="A2601" s="1">
        <v>42065</v>
      </c>
      <c r="B2601">
        <v>49.59</v>
      </c>
      <c r="C2601">
        <v>49.45</v>
      </c>
      <c r="D2601">
        <v>51.04</v>
      </c>
      <c r="E2601">
        <v>48.71</v>
      </c>
      <c r="F2601" t="s">
        <v>2432</v>
      </c>
      <c r="G2601" s="2">
        <v>-3.3999999999999998E-3</v>
      </c>
      <c r="H2601">
        <f t="shared" si="80"/>
        <v>-3.4163987138262583E-3</v>
      </c>
      <c r="I2601">
        <f t="shared" si="81"/>
        <v>-3.4222479298813978E-3</v>
      </c>
    </row>
    <row r="2602" spans="1:9" x14ac:dyDescent="0.75">
      <c r="A2602" s="1">
        <v>42062</v>
      </c>
      <c r="B2602">
        <v>49.76</v>
      </c>
      <c r="C2602">
        <v>48.97</v>
      </c>
      <c r="D2602">
        <v>49.94</v>
      </c>
      <c r="E2602">
        <v>48.46</v>
      </c>
      <c r="F2602" t="s">
        <v>2433</v>
      </c>
      <c r="G2602" s="2">
        <v>3.3000000000000002E-2</v>
      </c>
      <c r="H2602">
        <f t="shared" si="80"/>
        <v>3.3008096325513728E-2</v>
      </c>
      <c r="I2602">
        <f t="shared" si="81"/>
        <v>3.2475027788794492E-2</v>
      </c>
    </row>
    <row r="2603" spans="1:9" x14ac:dyDescent="0.75">
      <c r="A2603" s="1">
        <v>42061</v>
      </c>
      <c r="B2603">
        <v>48.17</v>
      </c>
      <c r="C2603">
        <v>51</v>
      </c>
      <c r="D2603">
        <v>51.22</v>
      </c>
      <c r="E2603">
        <v>47.8</v>
      </c>
      <c r="F2603" t="s">
        <v>2434</v>
      </c>
      <c r="G2603" s="2">
        <v>-5.5300000000000002E-2</v>
      </c>
      <c r="H2603">
        <f t="shared" si="80"/>
        <v>-5.5304961757207297E-2</v>
      </c>
      <c r="I2603">
        <f t="shared" si="81"/>
        <v>-5.6893114424934992E-2</v>
      </c>
    </row>
    <row r="2604" spans="1:9" x14ac:dyDescent="0.75">
      <c r="A2604" s="1">
        <v>42060</v>
      </c>
      <c r="B2604">
        <v>50.99</v>
      </c>
      <c r="C2604">
        <v>49.16</v>
      </c>
      <c r="D2604">
        <v>51.28</v>
      </c>
      <c r="E2604">
        <v>48.43</v>
      </c>
      <c r="F2604" t="s">
        <v>2435</v>
      </c>
      <c r="G2604" s="2">
        <v>3.4700000000000002E-2</v>
      </c>
      <c r="H2604">
        <f t="shared" si="80"/>
        <v>3.4699675324675341E-2</v>
      </c>
      <c r="I2604">
        <f t="shared" si="81"/>
        <v>3.4111215841800033E-2</v>
      </c>
    </row>
    <row r="2605" spans="1:9" x14ac:dyDescent="0.75">
      <c r="A2605" s="1">
        <v>42059</v>
      </c>
      <c r="B2605">
        <v>49.28</v>
      </c>
      <c r="C2605">
        <v>49.42</v>
      </c>
      <c r="D2605">
        <v>50.33</v>
      </c>
      <c r="E2605">
        <v>48.68</v>
      </c>
      <c r="F2605" t="s">
        <v>2436</v>
      </c>
      <c r="G2605" s="2">
        <v>-3.3999999999999998E-3</v>
      </c>
      <c r="H2605">
        <f t="shared" si="80"/>
        <v>-3.4378159757330979E-3</v>
      </c>
      <c r="I2605">
        <f t="shared" si="81"/>
        <v>-3.4437388434568356E-3</v>
      </c>
    </row>
    <row r="2606" spans="1:9" x14ac:dyDescent="0.75">
      <c r="A2606" s="1">
        <v>42058</v>
      </c>
      <c r="B2606">
        <v>49.45</v>
      </c>
      <c r="C2606">
        <v>50.75</v>
      </c>
      <c r="D2606">
        <v>50.99</v>
      </c>
      <c r="E2606">
        <v>48.67</v>
      </c>
      <c r="F2606" t="s">
        <v>2437</v>
      </c>
      <c r="G2606" s="2">
        <v>-1.77E-2</v>
      </c>
      <c r="H2606">
        <f t="shared" si="80"/>
        <v>-1.7679777512912206E-2</v>
      </c>
      <c r="I2606">
        <f t="shared" si="81"/>
        <v>-1.7837931638448656E-2</v>
      </c>
    </row>
    <row r="2607" spans="1:9" x14ac:dyDescent="0.75">
      <c r="A2607" s="1">
        <v>42055</v>
      </c>
      <c r="B2607">
        <v>50.34</v>
      </c>
      <c r="C2607">
        <v>51.24</v>
      </c>
      <c r="D2607">
        <v>51.85</v>
      </c>
      <c r="E2607">
        <v>49.91</v>
      </c>
      <c r="F2607" t="s">
        <v>2438</v>
      </c>
      <c r="G2607" s="2">
        <v>-1.6E-2</v>
      </c>
      <c r="H2607">
        <f t="shared" si="80"/>
        <v>-1.6028146989835675E-2</v>
      </c>
      <c r="I2607">
        <f t="shared" si="81"/>
        <v>-1.6157987003471999E-2</v>
      </c>
    </row>
    <row r="2608" spans="1:9" x14ac:dyDescent="0.75">
      <c r="A2608" s="1">
        <v>42054</v>
      </c>
      <c r="B2608">
        <v>51.16</v>
      </c>
      <c r="C2608">
        <v>50.55</v>
      </c>
      <c r="D2608">
        <v>52.14</v>
      </c>
      <c r="E2608">
        <v>49.15</v>
      </c>
      <c r="F2608" t="s">
        <v>2439</v>
      </c>
      <c r="G2608" s="2">
        <v>-1.8800000000000001E-2</v>
      </c>
      <c r="H2608">
        <f t="shared" si="80"/>
        <v>-1.8795550441120138E-2</v>
      </c>
      <c r="I2608">
        <f t="shared" si="81"/>
        <v>-1.8974431794713805E-2</v>
      </c>
    </row>
    <row r="2609" spans="1:9" x14ac:dyDescent="0.75">
      <c r="A2609" s="1">
        <v>42053</v>
      </c>
      <c r="B2609">
        <v>52.14</v>
      </c>
      <c r="C2609">
        <v>53.24</v>
      </c>
      <c r="D2609">
        <v>53.41</v>
      </c>
      <c r="E2609">
        <v>50.32</v>
      </c>
      <c r="F2609" t="s">
        <v>2440</v>
      </c>
      <c r="G2609" s="2">
        <v>-2.5999999999999999E-2</v>
      </c>
      <c r="H2609">
        <f t="shared" si="80"/>
        <v>-2.5966747618158051E-2</v>
      </c>
      <c r="I2609">
        <f t="shared" si="81"/>
        <v>-2.6309835899934297E-2</v>
      </c>
    </row>
    <row r="2610" spans="1:9" x14ac:dyDescent="0.75">
      <c r="A2610" s="1">
        <v>42052</v>
      </c>
      <c r="B2610">
        <v>53.53</v>
      </c>
      <c r="C2610">
        <v>52.75</v>
      </c>
      <c r="D2610">
        <v>54.15</v>
      </c>
      <c r="E2610">
        <v>50.81</v>
      </c>
      <c r="F2610" t="s">
        <v>2441</v>
      </c>
      <c r="G2610" s="2">
        <v>-1.5E-3</v>
      </c>
      <c r="H2610">
        <f t="shared" si="80"/>
        <v>-1.4922589069203188E-3</v>
      </c>
      <c r="I2610">
        <f t="shared" si="81"/>
        <v>-1.4933734341563815E-3</v>
      </c>
    </row>
    <row r="2611" spans="1:9" x14ac:dyDescent="0.75">
      <c r="A2611" s="1">
        <v>42051</v>
      </c>
      <c r="B2611">
        <v>53.61</v>
      </c>
      <c r="C2611">
        <v>54.04</v>
      </c>
      <c r="D2611">
        <v>54.08</v>
      </c>
      <c r="E2611">
        <v>52.92</v>
      </c>
      <c r="G2611" s="2">
        <v>-8.2000000000000007E-3</v>
      </c>
      <c r="H2611">
        <f t="shared" si="80"/>
        <v>-8.3240843507214734E-3</v>
      </c>
      <c r="I2611">
        <f t="shared" si="81"/>
        <v>-8.3589230088552801E-3</v>
      </c>
    </row>
    <row r="2612" spans="1:9" x14ac:dyDescent="0.75">
      <c r="A2612" s="1">
        <v>42050</v>
      </c>
      <c r="B2612">
        <v>54.06</v>
      </c>
      <c r="C2612">
        <v>53.75</v>
      </c>
      <c r="D2612">
        <v>54.42</v>
      </c>
      <c r="E2612">
        <v>53.71</v>
      </c>
      <c r="G2612" s="2">
        <v>2.4199999999999999E-2</v>
      </c>
      <c r="H2612">
        <f t="shared" si="80"/>
        <v>2.4251610458507031E-2</v>
      </c>
      <c r="I2612">
        <f t="shared" si="81"/>
        <v>2.3962209773123626E-2</v>
      </c>
    </row>
    <row r="2613" spans="1:9" x14ac:dyDescent="0.75">
      <c r="A2613" s="1">
        <v>42048</v>
      </c>
      <c r="B2613">
        <v>52.78</v>
      </c>
      <c r="C2613">
        <v>51.35</v>
      </c>
      <c r="D2613">
        <v>53.43</v>
      </c>
      <c r="E2613">
        <v>51.03</v>
      </c>
      <c r="F2613" t="s">
        <v>2442</v>
      </c>
      <c r="G2613" s="2">
        <v>3.0700000000000002E-2</v>
      </c>
      <c r="H2613">
        <f t="shared" si="80"/>
        <v>3.0658074594805709E-2</v>
      </c>
      <c r="I2613">
        <f t="shared" si="81"/>
        <v>3.0197505600719109E-2</v>
      </c>
    </row>
    <row r="2614" spans="1:9" x14ac:dyDescent="0.75">
      <c r="A2614" s="1">
        <v>42047</v>
      </c>
      <c r="B2614">
        <v>51.21</v>
      </c>
      <c r="C2614">
        <v>49.42</v>
      </c>
      <c r="D2614">
        <v>51.6</v>
      </c>
      <c r="E2614">
        <v>49.14</v>
      </c>
      <c r="F2614" t="s">
        <v>2443</v>
      </c>
      <c r="G2614" s="2">
        <v>4.8500000000000001E-2</v>
      </c>
      <c r="H2614">
        <f t="shared" si="80"/>
        <v>4.8525798525798469E-2</v>
      </c>
      <c r="I2614">
        <f t="shared" si="81"/>
        <v>4.7385176231955005E-2</v>
      </c>
    </row>
    <row r="2615" spans="1:9" x14ac:dyDescent="0.75">
      <c r="A2615" s="1">
        <v>42046</v>
      </c>
      <c r="B2615">
        <v>48.84</v>
      </c>
      <c r="C2615">
        <v>50.98</v>
      </c>
      <c r="D2615">
        <v>51.14</v>
      </c>
      <c r="E2615">
        <v>48.05</v>
      </c>
      <c r="F2615" t="s">
        <v>2444</v>
      </c>
      <c r="G2615" s="2">
        <v>-2.3599999999999999E-2</v>
      </c>
      <c r="H2615">
        <f t="shared" si="80"/>
        <v>-2.3590563774490196E-2</v>
      </c>
      <c r="I2615">
        <f t="shared" si="81"/>
        <v>-2.3873276206969062E-2</v>
      </c>
    </row>
    <row r="2616" spans="1:9" x14ac:dyDescent="0.75">
      <c r="A2616" s="1">
        <v>42045</v>
      </c>
      <c r="B2616">
        <v>50.02</v>
      </c>
      <c r="C2616">
        <v>52.43</v>
      </c>
      <c r="D2616">
        <v>52.65</v>
      </c>
      <c r="E2616">
        <v>49.86</v>
      </c>
      <c r="F2616" t="s">
        <v>2445</v>
      </c>
      <c r="G2616" s="2">
        <v>-5.3699999999999998E-2</v>
      </c>
      <c r="H2616">
        <f t="shared" si="80"/>
        <v>-5.3726825576995769E-2</v>
      </c>
      <c r="I2616">
        <f t="shared" si="81"/>
        <v>-5.5223983726670124E-2</v>
      </c>
    </row>
    <row r="2617" spans="1:9" x14ac:dyDescent="0.75">
      <c r="A2617" s="1">
        <v>42044</v>
      </c>
      <c r="B2617">
        <v>52.86</v>
      </c>
      <c r="C2617">
        <v>52.01</v>
      </c>
      <c r="D2617">
        <v>53.99</v>
      </c>
      <c r="E2617">
        <v>51.65</v>
      </c>
      <c r="F2617" t="s">
        <v>2446</v>
      </c>
      <c r="G2617" s="2">
        <v>2.2599999999999999E-2</v>
      </c>
      <c r="H2617">
        <f t="shared" si="80"/>
        <v>2.263493905977949E-2</v>
      </c>
      <c r="I2617">
        <f t="shared" si="81"/>
        <v>2.2382569968195275E-2</v>
      </c>
    </row>
    <row r="2618" spans="1:9" x14ac:dyDescent="0.75">
      <c r="A2618" s="1">
        <v>42041</v>
      </c>
      <c r="B2618">
        <v>51.69</v>
      </c>
      <c r="C2618">
        <v>50.86</v>
      </c>
      <c r="D2618">
        <v>53.16</v>
      </c>
      <c r="E2618">
        <v>50.72</v>
      </c>
      <c r="F2618" t="s">
        <v>2447</v>
      </c>
      <c r="G2618" s="2">
        <v>2.4E-2</v>
      </c>
      <c r="H2618">
        <f t="shared" si="80"/>
        <v>2.3969889064976248E-2</v>
      </c>
      <c r="I2618">
        <f t="shared" si="81"/>
        <v>2.3687120974990213E-2</v>
      </c>
    </row>
    <row r="2619" spans="1:9" x14ac:dyDescent="0.75">
      <c r="A2619" s="1">
        <v>42040</v>
      </c>
      <c r="B2619">
        <v>50.48</v>
      </c>
      <c r="C2619">
        <v>48.67</v>
      </c>
      <c r="D2619">
        <v>52.1</v>
      </c>
      <c r="E2619">
        <v>47.36</v>
      </c>
      <c r="F2619" t="s">
        <v>2448</v>
      </c>
      <c r="G2619" s="2">
        <v>4.19E-2</v>
      </c>
      <c r="H2619">
        <f t="shared" si="80"/>
        <v>4.18988648090814E-2</v>
      </c>
      <c r="I2619">
        <f t="shared" si="81"/>
        <v>4.1044879896182405E-2</v>
      </c>
    </row>
    <row r="2620" spans="1:9" x14ac:dyDescent="0.75">
      <c r="A2620" s="1">
        <v>42039</v>
      </c>
      <c r="B2620">
        <v>48.45</v>
      </c>
      <c r="C2620">
        <v>51.67</v>
      </c>
      <c r="D2620">
        <v>52.56</v>
      </c>
      <c r="E2620">
        <v>47.95</v>
      </c>
      <c r="F2620" t="s">
        <v>2449</v>
      </c>
      <c r="G2620" s="2">
        <v>-8.6699999999999999E-2</v>
      </c>
      <c r="H2620">
        <f t="shared" si="80"/>
        <v>-8.6710650329877376E-2</v>
      </c>
      <c r="I2620">
        <f t="shared" si="81"/>
        <v>-9.070252672321677E-2</v>
      </c>
    </row>
    <row r="2621" spans="1:9" x14ac:dyDescent="0.75">
      <c r="A2621" s="1">
        <v>42038</v>
      </c>
      <c r="B2621">
        <v>53.05</v>
      </c>
      <c r="C2621">
        <v>49.79</v>
      </c>
      <c r="D2621">
        <v>54.24</v>
      </c>
      <c r="E2621">
        <v>49.69</v>
      </c>
      <c r="F2621" t="s">
        <v>2450</v>
      </c>
      <c r="G2621" s="2">
        <v>7.0199999999999999E-2</v>
      </c>
      <c r="H2621">
        <f t="shared" si="80"/>
        <v>7.0203752269517791E-2</v>
      </c>
      <c r="I2621">
        <f t="shared" si="81"/>
        <v>6.784905302750957E-2</v>
      </c>
    </row>
    <row r="2622" spans="1:9" x14ac:dyDescent="0.75">
      <c r="A2622" s="1">
        <v>42037</v>
      </c>
      <c r="B2622">
        <v>49.57</v>
      </c>
      <c r="C2622">
        <v>47.59</v>
      </c>
      <c r="D2622">
        <v>50.56</v>
      </c>
      <c r="E2622">
        <v>46.67</v>
      </c>
      <c r="F2622" t="s">
        <v>2451</v>
      </c>
      <c r="G2622" s="2">
        <v>2.76E-2</v>
      </c>
      <c r="H2622">
        <f t="shared" si="80"/>
        <v>2.7570480928689849E-2</v>
      </c>
      <c r="I2622">
        <f t="shared" si="81"/>
        <v>2.7197259613552491E-2</v>
      </c>
    </row>
    <row r="2623" spans="1:9" x14ac:dyDescent="0.75">
      <c r="A2623" s="1">
        <v>42034</v>
      </c>
      <c r="B2623">
        <v>48.24</v>
      </c>
      <c r="C2623">
        <v>44.63</v>
      </c>
      <c r="D2623">
        <v>48.35</v>
      </c>
      <c r="E2623">
        <v>44.31</v>
      </c>
      <c r="F2623" t="s">
        <v>2452</v>
      </c>
      <c r="G2623" s="2">
        <v>8.3299999999999999E-2</v>
      </c>
      <c r="H2623">
        <f t="shared" si="80"/>
        <v>8.3314619357736375E-2</v>
      </c>
      <c r="I2623">
        <f t="shared" si="81"/>
        <v>8.0025433085318953E-2</v>
      </c>
    </row>
    <row r="2624" spans="1:9" x14ac:dyDescent="0.75">
      <c r="A2624" s="1">
        <v>42033</v>
      </c>
      <c r="B2624">
        <v>44.53</v>
      </c>
      <c r="C2624">
        <v>44.43</v>
      </c>
      <c r="D2624">
        <v>44.96</v>
      </c>
      <c r="E2624">
        <v>43.58</v>
      </c>
      <c r="F2624" t="s">
        <v>2453</v>
      </c>
      <c r="G2624" s="2">
        <v>1.8E-3</v>
      </c>
      <c r="H2624">
        <f t="shared" si="80"/>
        <v>1.7997750281214463E-3</v>
      </c>
      <c r="I2624">
        <f t="shared" si="81"/>
        <v>1.7981573736972826E-3</v>
      </c>
    </row>
    <row r="2625" spans="1:9" x14ac:dyDescent="0.75">
      <c r="A2625" s="1">
        <v>42032</v>
      </c>
      <c r="B2625">
        <v>44.45</v>
      </c>
      <c r="C2625">
        <v>45.83</v>
      </c>
      <c r="D2625">
        <v>45.83</v>
      </c>
      <c r="E2625">
        <v>44.08</v>
      </c>
      <c r="F2625" t="s">
        <v>2454</v>
      </c>
      <c r="G2625" s="2">
        <v>-3.85E-2</v>
      </c>
      <c r="H2625">
        <f t="shared" si="80"/>
        <v>-3.850313649145564E-2</v>
      </c>
      <c r="I2625">
        <f t="shared" si="81"/>
        <v>-3.9263976040220368E-2</v>
      </c>
    </row>
    <row r="2626" spans="1:9" x14ac:dyDescent="0.75">
      <c r="A2626" s="1">
        <v>42031</v>
      </c>
      <c r="B2626">
        <v>46.23</v>
      </c>
      <c r="C2626">
        <v>45.13</v>
      </c>
      <c r="D2626">
        <v>46.55</v>
      </c>
      <c r="E2626">
        <v>44.81</v>
      </c>
      <c r="F2626" t="s">
        <v>2455</v>
      </c>
      <c r="G2626" s="2">
        <v>2.3900000000000001E-2</v>
      </c>
      <c r="H2626">
        <f t="shared" si="80"/>
        <v>2.3920265780730861E-2</v>
      </c>
      <c r="I2626">
        <f t="shared" si="81"/>
        <v>2.3638658137139671E-2</v>
      </c>
    </row>
    <row r="2627" spans="1:9" x14ac:dyDescent="0.75">
      <c r="A2627" s="1">
        <v>42030</v>
      </c>
      <c r="B2627">
        <v>45.15</v>
      </c>
      <c r="C2627">
        <v>45.2</v>
      </c>
      <c r="D2627">
        <v>46.41</v>
      </c>
      <c r="E2627">
        <v>44.35</v>
      </c>
      <c r="F2627" t="s">
        <v>2456</v>
      </c>
      <c r="G2627" s="2">
        <v>-9.7000000000000003E-3</v>
      </c>
      <c r="H2627">
        <f t="shared" ref="H2627:H2634" si="82">(B2627-B2628)/B2628</f>
        <v>-9.6512393068656464E-3</v>
      </c>
      <c r="I2627">
        <f t="shared" ref="I2627:I2634" si="83">LN(B2627/B2628)</f>
        <v>-9.6981143623556965E-3</v>
      </c>
    </row>
    <row r="2628" spans="1:9" x14ac:dyDescent="0.75">
      <c r="A2628" s="1">
        <v>42027</v>
      </c>
      <c r="B2628">
        <v>45.59</v>
      </c>
      <c r="C2628">
        <v>46.63</v>
      </c>
      <c r="D2628">
        <v>47.76</v>
      </c>
      <c r="E2628">
        <v>45.21</v>
      </c>
      <c r="F2628" t="s">
        <v>2457</v>
      </c>
      <c r="G2628" s="2">
        <v>-1.55E-2</v>
      </c>
      <c r="H2628">
        <f t="shared" si="82"/>
        <v>-1.5547397970200796E-2</v>
      </c>
      <c r="I2628">
        <f t="shared" si="83"/>
        <v>-1.5669526267310503E-2</v>
      </c>
    </row>
    <row r="2629" spans="1:9" x14ac:dyDescent="0.75">
      <c r="A2629" s="1">
        <v>42026</v>
      </c>
      <c r="B2629">
        <v>46.31</v>
      </c>
      <c r="C2629">
        <v>47.35</v>
      </c>
      <c r="D2629">
        <v>49.09</v>
      </c>
      <c r="E2629">
        <v>45.87</v>
      </c>
      <c r="F2629" t="s">
        <v>2458</v>
      </c>
      <c r="G2629" s="2">
        <v>-3.0800000000000001E-2</v>
      </c>
      <c r="H2629">
        <f t="shared" si="82"/>
        <v>-3.076601088321471E-2</v>
      </c>
      <c r="I2629">
        <f t="shared" si="83"/>
        <v>-3.1249221405002883E-2</v>
      </c>
    </row>
    <row r="2630" spans="1:9" x14ac:dyDescent="0.75">
      <c r="A2630" s="1">
        <v>42025</v>
      </c>
      <c r="B2630">
        <v>47.78</v>
      </c>
      <c r="C2630">
        <v>46.69</v>
      </c>
      <c r="D2630">
        <v>48.2</v>
      </c>
      <c r="E2630">
        <v>46.55</v>
      </c>
      <c r="F2630" t="s">
        <v>2459</v>
      </c>
      <c r="G2630" s="2">
        <v>0.03</v>
      </c>
      <c r="H2630">
        <f t="shared" si="82"/>
        <v>2.9963354171157589E-2</v>
      </c>
      <c r="I2630">
        <f t="shared" si="83"/>
        <v>2.9523223134011286E-2</v>
      </c>
    </row>
    <row r="2631" spans="1:9" x14ac:dyDescent="0.75">
      <c r="A2631" s="1">
        <v>42024</v>
      </c>
      <c r="B2631">
        <v>46.39</v>
      </c>
      <c r="C2631">
        <v>48.69</v>
      </c>
      <c r="D2631">
        <v>48.77</v>
      </c>
      <c r="E2631">
        <v>45.89</v>
      </c>
      <c r="F2631" t="s">
        <v>2460</v>
      </c>
      <c r="G2631" s="2">
        <v>-2.9100000000000001E-2</v>
      </c>
      <c r="H2631">
        <f t="shared" si="82"/>
        <v>-2.9091670154876528E-2</v>
      </c>
      <c r="I2631">
        <f t="shared" si="83"/>
        <v>-2.9523223134011223E-2</v>
      </c>
    </row>
    <row r="2632" spans="1:9" x14ac:dyDescent="0.75">
      <c r="A2632" s="1">
        <v>42023</v>
      </c>
      <c r="B2632">
        <v>47.78</v>
      </c>
      <c r="C2632">
        <v>48.84</v>
      </c>
      <c r="D2632">
        <v>49.19</v>
      </c>
      <c r="E2632">
        <v>47.64</v>
      </c>
      <c r="G2632" s="2">
        <v>-2.18E-2</v>
      </c>
      <c r="H2632">
        <f t="shared" si="82"/>
        <v>-2.1903787103377693E-2</v>
      </c>
      <c r="I2632">
        <f t="shared" si="83"/>
        <v>-2.2147236591128289E-2</v>
      </c>
    </row>
    <row r="2633" spans="1:9" x14ac:dyDescent="0.75">
      <c r="A2633" s="1">
        <v>42022</v>
      </c>
      <c r="B2633">
        <v>48.85</v>
      </c>
      <c r="C2633">
        <v>48.95</v>
      </c>
      <c r="D2633">
        <v>49.06</v>
      </c>
      <c r="E2633">
        <v>48.78</v>
      </c>
      <c r="G2633" s="2">
        <v>3.2000000000000002E-3</v>
      </c>
      <c r="H2633">
        <f t="shared" si="82"/>
        <v>3.2860957075375582E-3</v>
      </c>
      <c r="I2633">
        <f t="shared" si="83"/>
        <v>3.2807082941823012E-3</v>
      </c>
    </row>
    <row r="2634" spans="1:9" x14ac:dyDescent="0.75">
      <c r="A2634" s="1">
        <v>42020</v>
      </c>
      <c r="B2634">
        <v>48.69</v>
      </c>
      <c r="C2634">
        <v>46.35</v>
      </c>
      <c r="D2634">
        <v>48.87</v>
      </c>
      <c r="E2634">
        <v>45.95</v>
      </c>
      <c r="F2634" t="s">
        <v>2461</v>
      </c>
      <c r="G2634" s="2">
        <v>5.28E-2</v>
      </c>
      <c r="H2634">
        <f t="shared" si="82"/>
        <v>5.2756756756756708E-2</v>
      </c>
      <c r="I2634">
        <f t="shared" si="83"/>
        <v>5.1412206236175206E-2</v>
      </c>
    </row>
    <row r="2635" spans="1:9" x14ac:dyDescent="0.75">
      <c r="A2635" s="1">
        <v>42019</v>
      </c>
      <c r="B2635">
        <v>46.25</v>
      </c>
      <c r="C2635">
        <v>48.6</v>
      </c>
      <c r="D2635">
        <v>51.27</v>
      </c>
      <c r="E2635">
        <v>46.07</v>
      </c>
      <c r="F2635" t="s">
        <v>2462</v>
      </c>
      <c r="G2635" s="2">
        <v>-4.5999999999999999E-2</v>
      </c>
    </row>
  </sheetData>
  <sortState xmlns:xlrd2="http://schemas.microsoft.com/office/spreadsheetml/2017/richdata2" ref="R2:R81">
    <sortCondition ref="R2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CB74-0FE2-4D24-92F4-0FE3BB2E9168}">
  <dimension ref="A1:B253"/>
  <sheetViews>
    <sheetView topLeftCell="C1" zoomScale="113" zoomScaleNormal="85" workbookViewId="0">
      <selection activeCell="E18" sqref="E18"/>
    </sheetView>
  </sheetViews>
  <sheetFormatPr defaultRowHeight="14.75" x14ac:dyDescent="0.75"/>
  <cols>
    <col min="1" max="1" width="9.953125" bestFit="1" customWidth="1"/>
  </cols>
  <sheetData>
    <row r="1" spans="1:2" x14ac:dyDescent="0.75">
      <c r="A1" t="s">
        <v>0</v>
      </c>
      <c r="B1" t="s">
        <v>1</v>
      </c>
    </row>
    <row r="2" spans="1:2" x14ac:dyDescent="0.75">
      <c r="A2" s="1">
        <v>45671</v>
      </c>
      <c r="B2">
        <v>76.680000000000007</v>
      </c>
    </row>
    <row r="3" spans="1:2" x14ac:dyDescent="0.75">
      <c r="A3" s="1">
        <v>45670</v>
      </c>
      <c r="B3">
        <v>77.3</v>
      </c>
    </row>
    <row r="4" spans="1:2" x14ac:dyDescent="0.75">
      <c r="A4" s="1">
        <v>45667</v>
      </c>
      <c r="B4">
        <v>75.75</v>
      </c>
    </row>
    <row r="5" spans="1:2" x14ac:dyDescent="0.75">
      <c r="A5" s="1">
        <v>45666</v>
      </c>
      <c r="B5">
        <v>73.239999999999995</v>
      </c>
    </row>
    <row r="6" spans="1:2" x14ac:dyDescent="0.75">
      <c r="A6" s="1">
        <v>45665</v>
      </c>
      <c r="B6">
        <v>72.67</v>
      </c>
    </row>
    <row r="7" spans="1:2" x14ac:dyDescent="0.75">
      <c r="A7" s="1">
        <v>45664</v>
      </c>
      <c r="B7">
        <v>73.569999999999993</v>
      </c>
    </row>
    <row r="8" spans="1:2" x14ac:dyDescent="0.75">
      <c r="A8" s="1">
        <v>45663</v>
      </c>
      <c r="B8">
        <v>72.92</v>
      </c>
    </row>
    <row r="9" spans="1:2" x14ac:dyDescent="0.75">
      <c r="A9" s="1">
        <v>45660</v>
      </c>
      <c r="B9">
        <v>73.209999999999994</v>
      </c>
    </row>
    <row r="10" spans="1:2" x14ac:dyDescent="0.75">
      <c r="A10" s="1">
        <v>45659</v>
      </c>
      <c r="B10">
        <v>72.5</v>
      </c>
    </row>
    <row r="11" spans="1:2" x14ac:dyDescent="0.75">
      <c r="A11" s="1">
        <v>45657</v>
      </c>
      <c r="B11">
        <v>71.25</v>
      </c>
    </row>
    <row r="12" spans="1:2" x14ac:dyDescent="0.75">
      <c r="A12" s="1">
        <v>45656</v>
      </c>
      <c r="B12">
        <v>70.53</v>
      </c>
    </row>
    <row r="13" spans="1:2" x14ac:dyDescent="0.75">
      <c r="A13" s="1">
        <v>45653</v>
      </c>
      <c r="B13">
        <v>70.180000000000007</v>
      </c>
    </row>
    <row r="14" spans="1:2" x14ac:dyDescent="0.75">
      <c r="A14" s="1">
        <v>45652</v>
      </c>
      <c r="B14">
        <v>69.23</v>
      </c>
    </row>
    <row r="15" spans="1:2" x14ac:dyDescent="0.75">
      <c r="A15" s="1">
        <v>45650</v>
      </c>
      <c r="B15">
        <v>69.64</v>
      </c>
    </row>
    <row r="16" spans="1:2" x14ac:dyDescent="0.75">
      <c r="A16" s="1">
        <v>45649</v>
      </c>
      <c r="B16">
        <v>68.81</v>
      </c>
    </row>
    <row r="17" spans="1:2" x14ac:dyDescent="0.75">
      <c r="A17" s="1">
        <v>45646</v>
      </c>
      <c r="B17">
        <v>69.02</v>
      </c>
    </row>
    <row r="18" spans="1:2" x14ac:dyDescent="0.75">
      <c r="A18" s="1">
        <v>45645</v>
      </c>
      <c r="B18">
        <v>69.38</v>
      </c>
    </row>
    <row r="19" spans="1:2" x14ac:dyDescent="0.75">
      <c r="A19" s="1">
        <v>45644</v>
      </c>
      <c r="B19">
        <v>70.02</v>
      </c>
    </row>
    <row r="20" spans="1:2" x14ac:dyDescent="0.75">
      <c r="A20" s="1">
        <v>45643</v>
      </c>
      <c r="B20">
        <v>69.650000000000006</v>
      </c>
    </row>
    <row r="21" spans="1:2" x14ac:dyDescent="0.75">
      <c r="A21" s="1">
        <v>45642</v>
      </c>
      <c r="B21">
        <v>70.290000000000006</v>
      </c>
    </row>
    <row r="22" spans="1:2" x14ac:dyDescent="0.75">
      <c r="A22" s="1">
        <v>45639</v>
      </c>
      <c r="B22">
        <v>70.819999999999993</v>
      </c>
    </row>
    <row r="23" spans="1:2" x14ac:dyDescent="0.75">
      <c r="A23" s="1">
        <v>45638</v>
      </c>
      <c r="B23">
        <v>69.66</v>
      </c>
    </row>
    <row r="24" spans="1:2" x14ac:dyDescent="0.75">
      <c r="A24" s="1">
        <v>45637</v>
      </c>
      <c r="B24">
        <v>69.87</v>
      </c>
    </row>
    <row r="25" spans="1:2" x14ac:dyDescent="0.75">
      <c r="A25" s="1">
        <v>45636</v>
      </c>
      <c r="B25">
        <v>68.27</v>
      </c>
    </row>
    <row r="26" spans="1:2" x14ac:dyDescent="0.75">
      <c r="A26" s="1">
        <v>45635</v>
      </c>
      <c r="B26">
        <v>68.09</v>
      </c>
    </row>
    <row r="27" spans="1:2" x14ac:dyDescent="0.75">
      <c r="A27" s="1">
        <v>45632</v>
      </c>
      <c r="B27">
        <v>66.98</v>
      </c>
    </row>
    <row r="28" spans="1:2" x14ac:dyDescent="0.75">
      <c r="A28" s="1">
        <v>45631</v>
      </c>
      <c r="B28">
        <v>67.959999999999994</v>
      </c>
    </row>
    <row r="29" spans="1:2" x14ac:dyDescent="0.75">
      <c r="A29" s="1">
        <v>45630</v>
      </c>
      <c r="B29">
        <v>68.19</v>
      </c>
    </row>
    <row r="30" spans="1:2" x14ac:dyDescent="0.75">
      <c r="A30" s="1">
        <v>45629</v>
      </c>
      <c r="B30">
        <v>69.540000000000006</v>
      </c>
    </row>
    <row r="31" spans="1:2" x14ac:dyDescent="0.75">
      <c r="A31" s="1">
        <v>45628</v>
      </c>
      <c r="B31">
        <v>67.84</v>
      </c>
    </row>
    <row r="32" spans="1:2" x14ac:dyDescent="0.75">
      <c r="A32" s="1">
        <v>45625</v>
      </c>
      <c r="B32">
        <v>67.72</v>
      </c>
    </row>
    <row r="33" spans="1:2" x14ac:dyDescent="0.75">
      <c r="A33" s="1">
        <v>45623</v>
      </c>
      <c r="B33">
        <v>68.349999999999994</v>
      </c>
    </row>
    <row r="34" spans="1:2" x14ac:dyDescent="0.75">
      <c r="A34" s="1">
        <v>45622</v>
      </c>
      <c r="B34">
        <v>68.44</v>
      </c>
    </row>
    <row r="35" spans="1:2" x14ac:dyDescent="0.75">
      <c r="A35" s="1">
        <v>45621</v>
      </c>
      <c r="B35">
        <v>68.58</v>
      </c>
    </row>
    <row r="36" spans="1:2" x14ac:dyDescent="0.75">
      <c r="A36" s="1">
        <v>45618</v>
      </c>
      <c r="B36">
        <v>70.77</v>
      </c>
    </row>
    <row r="37" spans="1:2" x14ac:dyDescent="0.75">
      <c r="A37" s="1">
        <v>45617</v>
      </c>
      <c r="B37">
        <v>69.77</v>
      </c>
    </row>
    <row r="38" spans="1:2" x14ac:dyDescent="0.75">
      <c r="A38" s="1">
        <v>45616</v>
      </c>
      <c r="B38">
        <v>68.75</v>
      </c>
    </row>
    <row r="39" spans="1:2" x14ac:dyDescent="0.75">
      <c r="A39" s="1">
        <v>45615</v>
      </c>
      <c r="B39">
        <v>69.239999999999995</v>
      </c>
    </row>
    <row r="40" spans="1:2" x14ac:dyDescent="0.75">
      <c r="A40" s="1">
        <v>45614</v>
      </c>
      <c r="B40">
        <v>69.17</v>
      </c>
    </row>
    <row r="41" spans="1:2" x14ac:dyDescent="0.75">
      <c r="A41" s="1">
        <v>45611</v>
      </c>
      <c r="B41">
        <v>66.92</v>
      </c>
    </row>
    <row r="42" spans="1:2" x14ac:dyDescent="0.75">
      <c r="A42" s="1">
        <v>45610</v>
      </c>
      <c r="B42">
        <v>68.53</v>
      </c>
    </row>
    <row r="43" spans="1:2" x14ac:dyDescent="0.75">
      <c r="A43" s="1">
        <v>45609</v>
      </c>
      <c r="B43">
        <v>68.260000000000005</v>
      </c>
    </row>
    <row r="44" spans="1:2" x14ac:dyDescent="0.75">
      <c r="A44" s="1">
        <v>45608</v>
      </c>
      <c r="B44">
        <v>67.97</v>
      </c>
    </row>
    <row r="45" spans="1:2" x14ac:dyDescent="0.75">
      <c r="A45" s="1">
        <v>45607</v>
      </c>
      <c r="B45">
        <v>67.92</v>
      </c>
    </row>
    <row r="46" spans="1:2" x14ac:dyDescent="0.75">
      <c r="A46" s="1">
        <v>45604</v>
      </c>
      <c r="B46">
        <v>70.11</v>
      </c>
    </row>
    <row r="47" spans="1:2" x14ac:dyDescent="0.75">
      <c r="A47" s="1">
        <v>45603</v>
      </c>
      <c r="B47">
        <v>71.959999999999994</v>
      </c>
    </row>
    <row r="48" spans="1:2" x14ac:dyDescent="0.75">
      <c r="A48" s="1">
        <v>45602</v>
      </c>
      <c r="B48">
        <v>71.239999999999995</v>
      </c>
    </row>
    <row r="49" spans="1:2" x14ac:dyDescent="0.75">
      <c r="A49" s="1">
        <v>45601</v>
      </c>
      <c r="B49">
        <v>71.56</v>
      </c>
    </row>
    <row r="50" spans="1:2" x14ac:dyDescent="0.75">
      <c r="A50" s="1">
        <v>45600</v>
      </c>
      <c r="B50">
        <v>71.03</v>
      </c>
    </row>
    <row r="51" spans="1:2" x14ac:dyDescent="0.75">
      <c r="A51" s="1">
        <v>45597</v>
      </c>
      <c r="B51">
        <v>69.08</v>
      </c>
    </row>
    <row r="52" spans="1:2" x14ac:dyDescent="0.75">
      <c r="A52" s="1">
        <v>45596</v>
      </c>
      <c r="B52">
        <v>68.81</v>
      </c>
    </row>
    <row r="53" spans="1:2" x14ac:dyDescent="0.75">
      <c r="A53" s="1">
        <v>45595</v>
      </c>
      <c r="B53">
        <v>68.180000000000007</v>
      </c>
    </row>
    <row r="54" spans="1:2" x14ac:dyDescent="0.75">
      <c r="A54" s="1">
        <v>45594</v>
      </c>
      <c r="B54">
        <v>66.81</v>
      </c>
    </row>
    <row r="55" spans="1:2" x14ac:dyDescent="0.75">
      <c r="A55" s="1">
        <v>45593</v>
      </c>
      <c r="B55">
        <v>66.98</v>
      </c>
    </row>
    <row r="56" spans="1:2" x14ac:dyDescent="0.75">
      <c r="A56" s="1">
        <v>45590</v>
      </c>
      <c r="B56">
        <v>71.349999999999994</v>
      </c>
    </row>
    <row r="57" spans="1:2" x14ac:dyDescent="0.75">
      <c r="A57" s="1">
        <v>45589</v>
      </c>
      <c r="B57">
        <v>69.84</v>
      </c>
    </row>
    <row r="58" spans="1:2" x14ac:dyDescent="0.75">
      <c r="A58" s="1">
        <v>45588</v>
      </c>
      <c r="B58">
        <v>70.37</v>
      </c>
    </row>
    <row r="59" spans="1:2" x14ac:dyDescent="0.75">
      <c r="A59" s="1">
        <v>45587</v>
      </c>
      <c r="B59">
        <v>71.739999999999995</v>
      </c>
    </row>
    <row r="60" spans="1:2" x14ac:dyDescent="0.75">
      <c r="A60" s="1">
        <v>45586</v>
      </c>
      <c r="B60">
        <v>70.040000000000006</v>
      </c>
    </row>
    <row r="61" spans="1:2" x14ac:dyDescent="0.75">
      <c r="A61" s="1">
        <v>45583</v>
      </c>
      <c r="B61">
        <v>68.69</v>
      </c>
    </row>
    <row r="62" spans="1:2" x14ac:dyDescent="0.75">
      <c r="A62" s="1">
        <v>45582</v>
      </c>
      <c r="B62">
        <v>70.09</v>
      </c>
    </row>
    <row r="63" spans="1:2" x14ac:dyDescent="0.75">
      <c r="A63" s="1">
        <v>45581</v>
      </c>
      <c r="B63">
        <v>69.819999999999993</v>
      </c>
    </row>
    <row r="64" spans="1:2" x14ac:dyDescent="0.75">
      <c r="A64" s="1">
        <v>45580</v>
      </c>
      <c r="B64">
        <v>70.010000000000005</v>
      </c>
    </row>
    <row r="65" spans="1:2" x14ac:dyDescent="0.75">
      <c r="A65" s="1">
        <v>45579</v>
      </c>
      <c r="B65">
        <v>73.239999999999995</v>
      </c>
    </row>
    <row r="66" spans="1:2" x14ac:dyDescent="0.75">
      <c r="A66" s="1">
        <v>45576</v>
      </c>
      <c r="B66">
        <v>74.849999999999994</v>
      </c>
    </row>
    <row r="67" spans="1:2" x14ac:dyDescent="0.75">
      <c r="A67" s="1">
        <v>45575</v>
      </c>
      <c r="B67">
        <v>75.11</v>
      </c>
    </row>
    <row r="68" spans="1:2" x14ac:dyDescent="0.75">
      <c r="A68" s="1">
        <v>45574</v>
      </c>
      <c r="B68">
        <v>72.59</v>
      </c>
    </row>
    <row r="69" spans="1:2" x14ac:dyDescent="0.75">
      <c r="A69" s="1">
        <v>45573</v>
      </c>
      <c r="B69">
        <v>72.98</v>
      </c>
    </row>
    <row r="70" spans="1:2" x14ac:dyDescent="0.75">
      <c r="A70" s="1">
        <v>45572</v>
      </c>
      <c r="B70">
        <v>76.47</v>
      </c>
    </row>
    <row r="71" spans="1:2" x14ac:dyDescent="0.75">
      <c r="A71" s="1">
        <v>45569</v>
      </c>
      <c r="B71">
        <v>73.680000000000007</v>
      </c>
    </row>
    <row r="72" spans="1:2" x14ac:dyDescent="0.75">
      <c r="A72" s="1">
        <v>45568</v>
      </c>
      <c r="B72">
        <v>73.17</v>
      </c>
    </row>
    <row r="73" spans="1:2" x14ac:dyDescent="0.75">
      <c r="A73" s="1">
        <v>45567</v>
      </c>
      <c r="B73">
        <v>69.69</v>
      </c>
    </row>
    <row r="74" spans="1:2" x14ac:dyDescent="0.75">
      <c r="A74" s="1">
        <v>45566</v>
      </c>
      <c r="B74">
        <v>69.39</v>
      </c>
    </row>
    <row r="75" spans="1:2" x14ac:dyDescent="0.75">
      <c r="A75" s="1">
        <v>45565</v>
      </c>
      <c r="B75">
        <v>67.77</v>
      </c>
    </row>
    <row r="76" spans="1:2" x14ac:dyDescent="0.75">
      <c r="A76" s="1">
        <v>45562</v>
      </c>
      <c r="B76">
        <v>67.67</v>
      </c>
    </row>
    <row r="77" spans="1:2" x14ac:dyDescent="0.75">
      <c r="A77" s="1">
        <v>45561</v>
      </c>
      <c r="B77">
        <v>67.19</v>
      </c>
    </row>
    <row r="78" spans="1:2" x14ac:dyDescent="0.75">
      <c r="A78" s="1">
        <v>45560</v>
      </c>
      <c r="B78">
        <v>69.13</v>
      </c>
    </row>
    <row r="79" spans="1:2" x14ac:dyDescent="0.75">
      <c r="A79" s="1">
        <v>45559</v>
      </c>
      <c r="B79">
        <v>70.84</v>
      </c>
    </row>
    <row r="80" spans="1:2" x14ac:dyDescent="0.75">
      <c r="A80" s="1">
        <v>45558</v>
      </c>
      <c r="B80">
        <v>69.61</v>
      </c>
    </row>
    <row r="81" spans="1:2" x14ac:dyDescent="0.75">
      <c r="A81" s="1">
        <v>45555</v>
      </c>
      <c r="B81">
        <v>71</v>
      </c>
    </row>
    <row r="82" spans="1:2" x14ac:dyDescent="0.75">
      <c r="A82" s="1">
        <v>45554</v>
      </c>
      <c r="B82">
        <v>71.16</v>
      </c>
    </row>
    <row r="83" spans="1:2" x14ac:dyDescent="0.75">
      <c r="A83" s="1">
        <v>45553</v>
      </c>
      <c r="B83">
        <v>69.88</v>
      </c>
    </row>
    <row r="84" spans="1:2" x14ac:dyDescent="0.75">
      <c r="A84" s="1">
        <v>45552</v>
      </c>
      <c r="B84">
        <v>69.959999999999994</v>
      </c>
    </row>
    <row r="85" spans="1:2" x14ac:dyDescent="0.75">
      <c r="A85" s="1">
        <v>45551</v>
      </c>
      <c r="B85">
        <v>69.02</v>
      </c>
    </row>
    <row r="86" spans="1:2" x14ac:dyDescent="0.75">
      <c r="A86" s="1">
        <v>45548</v>
      </c>
      <c r="B86">
        <v>67.75</v>
      </c>
    </row>
    <row r="87" spans="1:2" x14ac:dyDescent="0.75">
      <c r="A87" s="1">
        <v>45547</v>
      </c>
      <c r="B87">
        <v>68.150000000000006</v>
      </c>
    </row>
    <row r="88" spans="1:2" x14ac:dyDescent="0.75">
      <c r="A88" s="1">
        <v>45546</v>
      </c>
      <c r="B88">
        <v>66.599999999999994</v>
      </c>
    </row>
    <row r="89" spans="1:2" x14ac:dyDescent="0.75">
      <c r="A89" s="1">
        <v>45545</v>
      </c>
      <c r="B89">
        <v>65.14</v>
      </c>
    </row>
    <row r="90" spans="1:2" x14ac:dyDescent="0.75">
      <c r="A90" s="1">
        <v>45544</v>
      </c>
      <c r="B90">
        <v>67.91</v>
      </c>
    </row>
    <row r="91" spans="1:2" x14ac:dyDescent="0.75">
      <c r="A91" s="1">
        <v>45541</v>
      </c>
      <c r="B91">
        <v>66.98</v>
      </c>
    </row>
    <row r="92" spans="1:2" x14ac:dyDescent="0.75">
      <c r="A92" s="1">
        <v>45540</v>
      </c>
      <c r="B92">
        <v>68.5</v>
      </c>
    </row>
    <row r="93" spans="1:2" x14ac:dyDescent="0.75">
      <c r="A93" s="1">
        <v>45539</v>
      </c>
      <c r="B93">
        <v>68.52</v>
      </c>
    </row>
    <row r="94" spans="1:2" x14ac:dyDescent="0.75">
      <c r="A94" s="1">
        <v>45538</v>
      </c>
      <c r="B94">
        <v>69.59</v>
      </c>
    </row>
    <row r="95" spans="1:2" x14ac:dyDescent="0.75">
      <c r="A95" s="1">
        <v>45537</v>
      </c>
      <c r="B95">
        <v>73.78</v>
      </c>
    </row>
    <row r="96" spans="1:2" x14ac:dyDescent="0.75">
      <c r="A96" s="1">
        <v>45536</v>
      </c>
      <c r="B96">
        <v>72.98</v>
      </c>
    </row>
    <row r="97" spans="1:2" x14ac:dyDescent="0.75">
      <c r="A97" s="1">
        <v>45534</v>
      </c>
      <c r="B97">
        <v>72.650000000000006</v>
      </c>
    </row>
    <row r="98" spans="1:2" x14ac:dyDescent="0.75">
      <c r="A98" s="1">
        <v>45533</v>
      </c>
      <c r="B98">
        <v>74.67</v>
      </c>
    </row>
    <row r="99" spans="1:2" x14ac:dyDescent="0.75">
      <c r="A99" s="1">
        <v>45532</v>
      </c>
      <c r="B99">
        <v>73.44</v>
      </c>
    </row>
    <row r="100" spans="1:2" x14ac:dyDescent="0.75">
      <c r="A100" s="1">
        <v>45531</v>
      </c>
      <c r="B100">
        <v>74.459999999999994</v>
      </c>
    </row>
    <row r="101" spans="1:2" x14ac:dyDescent="0.75">
      <c r="A101" s="1">
        <v>45530</v>
      </c>
      <c r="B101">
        <v>76.17</v>
      </c>
    </row>
    <row r="102" spans="1:2" x14ac:dyDescent="0.75">
      <c r="A102" s="1">
        <v>45527</v>
      </c>
      <c r="B102">
        <v>73.930000000000007</v>
      </c>
    </row>
    <row r="103" spans="1:2" x14ac:dyDescent="0.75">
      <c r="A103" s="1">
        <v>45526</v>
      </c>
      <c r="B103">
        <v>72.28</v>
      </c>
    </row>
    <row r="104" spans="1:2" x14ac:dyDescent="0.75">
      <c r="A104" s="1">
        <v>45525</v>
      </c>
      <c r="B104">
        <v>71.3</v>
      </c>
    </row>
    <row r="105" spans="1:2" x14ac:dyDescent="0.75">
      <c r="A105" s="1">
        <v>45524</v>
      </c>
      <c r="B105">
        <v>73.17</v>
      </c>
    </row>
    <row r="106" spans="1:2" x14ac:dyDescent="0.75">
      <c r="A106" s="1">
        <v>45523</v>
      </c>
      <c r="B106">
        <v>73.66</v>
      </c>
    </row>
    <row r="107" spans="1:2" x14ac:dyDescent="0.75">
      <c r="A107" s="1">
        <v>45520</v>
      </c>
      <c r="B107">
        <v>75.540000000000006</v>
      </c>
    </row>
    <row r="108" spans="1:2" x14ac:dyDescent="0.75">
      <c r="A108" s="1">
        <v>45519</v>
      </c>
      <c r="B108">
        <v>76.989999999999995</v>
      </c>
    </row>
    <row r="109" spans="1:2" x14ac:dyDescent="0.75">
      <c r="A109" s="1">
        <v>45518</v>
      </c>
      <c r="B109">
        <v>75.84</v>
      </c>
    </row>
    <row r="110" spans="1:2" x14ac:dyDescent="0.75">
      <c r="A110" s="1">
        <v>45517</v>
      </c>
      <c r="B110">
        <v>76.8</v>
      </c>
    </row>
    <row r="111" spans="1:2" x14ac:dyDescent="0.75">
      <c r="A111" s="1">
        <v>45516</v>
      </c>
      <c r="B111">
        <v>78.459999999999994</v>
      </c>
    </row>
    <row r="112" spans="1:2" x14ac:dyDescent="0.75">
      <c r="A112" s="1">
        <v>45513</v>
      </c>
      <c r="B112">
        <v>75.61</v>
      </c>
    </row>
    <row r="113" spans="1:2" x14ac:dyDescent="0.75">
      <c r="A113" s="1">
        <v>45512</v>
      </c>
      <c r="B113">
        <v>75.040000000000006</v>
      </c>
    </row>
    <row r="114" spans="1:2" x14ac:dyDescent="0.75">
      <c r="A114" s="1">
        <v>45511</v>
      </c>
      <c r="B114">
        <v>74.17</v>
      </c>
    </row>
    <row r="115" spans="1:2" x14ac:dyDescent="0.75">
      <c r="A115" s="1">
        <v>45510</v>
      </c>
      <c r="B115">
        <v>72.34</v>
      </c>
    </row>
    <row r="116" spans="1:2" x14ac:dyDescent="0.75">
      <c r="A116" s="1">
        <v>45509</v>
      </c>
      <c r="B116">
        <v>72.2</v>
      </c>
    </row>
    <row r="117" spans="1:2" x14ac:dyDescent="0.75">
      <c r="A117" s="1">
        <v>45506</v>
      </c>
      <c r="B117">
        <v>72.59</v>
      </c>
    </row>
    <row r="118" spans="1:2" x14ac:dyDescent="0.75">
      <c r="A118" s="1">
        <v>45505</v>
      </c>
      <c r="B118">
        <v>75.400000000000006</v>
      </c>
    </row>
    <row r="119" spans="1:2" x14ac:dyDescent="0.75">
      <c r="A119" s="1">
        <v>45504</v>
      </c>
      <c r="B119">
        <v>76.84</v>
      </c>
    </row>
    <row r="120" spans="1:2" x14ac:dyDescent="0.75">
      <c r="A120" s="1">
        <v>45503</v>
      </c>
      <c r="B120">
        <v>73.88</v>
      </c>
    </row>
    <row r="121" spans="1:2" x14ac:dyDescent="0.75">
      <c r="A121" s="1">
        <v>45502</v>
      </c>
      <c r="B121">
        <v>74.8</v>
      </c>
    </row>
    <row r="122" spans="1:2" x14ac:dyDescent="0.75">
      <c r="A122" s="1">
        <v>45499</v>
      </c>
      <c r="B122">
        <v>76</v>
      </c>
    </row>
    <row r="123" spans="1:2" x14ac:dyDescent="0.75">
      <c r="A123" s="1">
        <v>45498</v>
      </c>
      <c r="B123">
        <v>77.11</v>
      </c>
    </row>
    <row r="124" spans="1:2" x14ac:dyDescent="0.75">
      <c r="A124" s="1">
        <v>45497</v>
      </c>
      <c r="B124">
        <v>76.58</v>
      </c>
    </row>
    <row r="125" spans="1:2" x14ac:dyDescent="0.75">
      <c r="A125" s="1">
        <v>45496</v>
      </c>
      <c r="B125">
        <v>75.92</v>
      </c>
    </row>
    <row r="126" spans="1:2" x14ac:dyDescent="0.75">
      <c r="A126" s="1">
        <v>45495</v>
      </c>
      <c r="B126">
        <v>78.400000000000006</v>
      </c>
    </row>
    <row r="127" spans="1:2" x14ac:dyDescent="0.75">
      <c r="A127" s="1">
        <v>45492</v>
      </c>
      <c r="B127">
        <v>78.64</v>
      </c>
    </row>
    <row r="128" spans="1:2" x14ac:dyDescent="0.75">
      <c r="A128" s="1">
        <v>45491</v>
      </c>
      <c r="B128">
        <v>81.3</v>
      </c>
    </row>
    <row r="129" spans="1:2" x14ac:dyDescent="0.75">
      <c r="A129" s="1">
        <v>45490</v>
      </c>
      <c r="B129">
        <v>81.44</v>
      </c>
    </row>
    <row r="130" spans="1:2" x14ac:dyDescent="0.75">
      <c r="A130" s="1">
        <v>45489</v>
      </c>
      <c r="B130">
        <v>79.709999999999994</v>
      </c>
    </row>
    <row r="131" spans="1:2" x14ac:dyDescent="0.75">
      <c r="A131" s="1">
        <v>45488</v>
      </c>
      <c r="B131">
        <v>80.84</v>
      </c>
    </row>
    <row r="132" spans="1:2" x14ac:dyDescent="0.75">
      <c r="A132" s="1">
        <v>45485</v>
      </c>
      <c r="B132">
        <v>81.02</v>
      </c>
    </row>
    <row r="133" spans="1:2" x14ac:dyDescent="0.75">
      <c r="A133" s="1">
        <v>45484</v>
      </c>
      <c r="B133">
        <v>81.38</v>
      </c>
    </row>
    <row r="134" spans="1:2" x14ac:dyDescent="0.75">
      <c r="A134" s="1">
        <v>45483</v>
      </c>
      <c r="B134">
        <v>81.069999999999993</v>
      </c>
    </row>
    <row r="135" spans="1:2" x14ac:dyDescent="0.75">
      <c r="A135" s="1">
        <v>45482</v>
      </c>
      <c r="B135">
        <v>80.56</v>
      </c>
    </row>
    <row r="136" spans="1:2" x14ac:dyDescent="0.75">
      <c r="A136" s="1">
        <v>45481</v>
      </c>
      <c r="B136">
        <v>81.52</v>
      </c>
    </row>
    <row r="137" spans="1:2" x14ac:dyDescent="0.75">
      <c r="A137" s="1">
        <v>45478</v>
      </c>
      <c r="B137">
        <v>82.26</v>
      </c>
    </row>
    <row r="138" spans="1:2" x14ac:dyDescent="0.75">
      <c r="A138" s="1">
        <v>45477</v>
      </c>
      <c r="B138">
        <v>83.94</v>
      </c>
    </row>
    <row r="139" spans="1:2" x14ac:dyDescent="0.75">
      <c r="A139" s="1">
        <v>45476</v>
      </c>
      <c r="B139">
        <v>83.02</v>
      </c>
    </row>
    <row r="140" spans="1:2" x14ac:dyDescent="0.75">
      <c r="A140" s="1">
        <v>45475</v>
      </c>
      <c r="B140">
        <v>81.91</v>
      </c>
    </row>
    <row r="141" spans="1:2" x14ac:dyDescent="0.75">
      <c r="A141" s="1">
        <v>45474</v>
      </c>
      <c r="B141">
        <v>82.32</v>
      </c>
    </row>
    <row r="142" spans="1:2" x14ac:dyDescent="0.75">
      <c r="A142" s="1">
        <v>45471</v>
      </c>
      <c r="B142">
        <v>80.64</v>
      </c>
    </row>
    <row r="143" spans="1:2" x14ac:dyDescent="0.75">
      <c r="A143" s="1">
        <v>45470</v>
      </c>
      <c r="B143">
        <v>80.83</v>
      </c>
    </row>
    <row r="144" spans="1:2" x14ac:dyDescent="0.75">
      <c r="A144" s="1">
        <v>45469</v>
      </c>
      <c r="B144">
        <v>80.19</v>
      </c>
    </row>
    <row r="145" spans="1:2" x14ac:dyDescent="0.75">
      <c r="A145" s="1">
        <v>45468</v>
      </c>
      <c r="B145">
        <v>80.069999999999993</v>
      </c>
    </row>
    <row r="146" spans="1:2" x14ac:dyDescent="0.75">
      <c r="A146" s="1">
        <v>45467</v>
      </c>
      <c r="B146">
        <v>80.86</v>
      </c>
    </row>
    <row r="147" spans="1:2" x14ac:dyDescent="0.75">
      <c r="A147" s="1">
        <v>45464</v>
      </c>
      <c r="B147">
        <v>79.959999999999994</v>
      </c>
    </row>
    <row r="148" spans="1:2" x14ac:dyDescent="0.75">
      <c r="A148" s="1">
        <v>45463</v>
      </c>
      <c r="B148">
        <v>81.290000000000006</v>
      </c>
    </row>
    <row r="149" spans="1:2" x14ac:dyDescent="0.75">
      <c r="A149" s="1">
        <v>45462</v>
      </c>
      <c r="B149">
        <v>80.59</v>
      </c>
    </row>
    <row r="150" spans="1:2" x14ac:dyDescent="0.75">
      <c r="A150" s="1">
        <v>45461</v>
      </c>
      <c r="B150">
        <v>80.709999999999994</v>
      </c>
    </row>
    <row r="151" spans="1:2" x14ac:dyDescent="0.75">
      <c r="A151" s="1">
        <v>45460</v>
      </c>
      <c r="B151">
        <v>79.72</v>
      </c>
    </row>
    <row r="152" spans="1:2" x14ac:dyDescent="0.75">
      <c r="A152" s="1">
        <v>45457</v>
      </c>
      <c r="B152">
        <v>78.05</v>
      </c>
    </row>
    <row r="153" spans="1:2" x14ac:dyDescent="0.75">
      <c r="A153" s="1">
        <v>45456</v>
      </c>
      <c r="B153">
        <v>78.260000000000005</v>
      </c>
    </row>
    <row r="154" spans="1:2" x14ac:dyDescent="0.75">
      <c r="A154" s="1">
        <v>45455</v>
      </c>
      <c r="B154">
        <v>78.150000000000006</v>
      </c>
    </row>
    <row r="155" spans="1:2" x14ac:dyDescent="0.75">
      <c r="A155" s="1">
        <v>45454</v>
      </c>
      <c r="B155">
        <v>77.55</v>
      </c>
    </row>
    <row r="156" spans="1:2" x14ac:dyDescent="0.75">
      <c r="A156" s="1">
        <v>45453</v>
      </c>
      <c r="B156">
        <v>77.33</v>
      </c>
    </row>
    <row r="157" spans="1:2" x14ac:dyDescent="0.75">
      <c r="A157" s="1">
        <v>45450</v>
      </c>
      <c r="B157">
        <v>75.22</v>
      </c>
    </row>
    <row r="158" spans="1:2" x14ac:dyDescent="0.75">
      <c r="A158" s="1">
        <v>45449</v>
      </c>
      <c r="B158">
        <v>75.239999999999995</v>
      </c>
    </row>
    <row r="159" spans="1:2" x14ac:dyDescent="0.75">
      <c r="A159" s="1">
        <v>45448</v>
      </c>
      <c r="B159">
        <v>73.819999999999993</v>
      </c>
    </row>
    <row r="160" spans="1:2" x14ac:dyDescent="0.75">
      <c r="A160" s="1">
        <v>45447</v>
      </c>
      <c r="B160">
        <v>73.06</v>
      </c>
    </row>
    <row r="161" spans="1:2" x14ac:dyDescent="0.75">
      <c r="A161" s="1">
        <v>45446</v>
      </c>
      <c r="B161">
        <v>74.09</v>
      </c>
    </row>
    <row r="162" spans="1:2" x14ac:dyDescent="0.75">
      <c r="A162" s="1">
        <v>45443</v>
      </c>
      <c r="B162">
        <v>76.73</v>
      </c>
    </row>
    <row r="163" spans="1:2" x14ac:dyDescent="0.75">
      <c r="A163" s="1">
        <v>45442</v>
      </c>
      <c r="B163">
        <v>77.540000000000006</v>
      </c>
    </row>
    <row r="164" spans="1:2" x14ac:dyDescent="0.75">
      <c r="A164" s="1">
        <v>45441</v>
      </c>
      <c r="B164">
        <v>78.8</v>
      </c>
    </row>
    <row r="165" spans="1:2" x14ac:dyDescent="0.75">
      <c r="A165" s="1">
        <v>45440</v>
      </c>
      <c r="B165">
        <v>79.349999999999994</v>
      </c>
    </row>
    <row r="166" spans="1:2" x14ac:dyDescent="0.75">
      <c r="A166" s="1">
        <v>45439</v>
      </c>
      <c r="B166">
        <v>78.650000000000006</v>
      </c>
    </row>
    <row r="167" spans="1:2" x14ac:dyDescent="0.75">
      <c r="A167" s="1">
        <v>45436</v>
      </c>
      <c r="B167">
        <v>77.23</v>
      </c>
    </row>
    <row r="168" spans="1:2" x14ac:dyDescent="0.75">
      <c r="A168" s="1">
        <v>45435</v>
      </c>
      <c r="B168">
        <v>76.459999999999994</v>
      </c>
    </row>
    <row r="169" spans="1:2" x14ac:dyDescent="0.75">
      <c r="A169" s="1">
        <v>45434</v>
      </c>
      <c r="B169">
        <v>77.150000000000006</v>
      </c>
    </row>
    <row r="170" spans="1:2" x14ac:dyDescent="0.75">
      <c r="A170" s="1">
        <v>45433</v>
      </c>
      <c r="B170">
        <v>78.66</v>
      </c>
    </row>
    <row r="171" spans="1:2" x14ac:dyDescent="0.75">
      <c r="A171" s="1">
        <v>45432</v>
      </c>
      <c r="B171">
        <v>79.3</v>
      </c>
    </row>
    <row r="172" spans="1:2" x14ac:dyDescent="0.75">
      <c r="A172" s="1">
        <v>45429</v>
      </c>
      <c r="B172">
        <v>79.58</v>
      </c>
    </row>
    <row r="173" spans="1:2" x14ac:dyDescent="0.75">
      <c r="A173" s="1">
        <v>45428</v>
      </c>
      <c r="B173">
        <v>78.739999999999995</v>
      </c>
    </row>
    <row r="174" spans="1:2" x14ac:dyDescent="0.75">
      <c r="A174" s="1">
        <v>45427</v>
      </c>
      <c r="B174">
        <v>78.16</v>
      </c>
    </row>
    <row r="175" spans="1:2" x14ac:dyDescent="0.75">
      <c r="A175" s="1">
        <v>45426</v>
      </c>
      <c r="B175">
        <v>77.650000000000006</v>
      </c>
    </row>
    <row r="176" spans="1:2" x14ac:dyDescent="0.75">
      <c r="A176" s="1">
        <v>45425</v>
      </c>
      <c r="B176">
        <v>78.599999999999994</v>
      </c>
    </row>
    <row r="177" spans="1:2" x14ac:dyDescent="0.75">
      <c r="A177" s="1">
        <v>45422</v>
      </c>
      <c r="B177">
        <v>77.84</v>
      </c>
    </row>
    <row r="178" spans="1:2" x14ac:dyDescent="0.75">
      <c r="A178" s="1">
        <v>45421</v>
      </c>
      <c r="B178">
        <v>78.8</v>
      </c>
    </row>
    <row r="179" spans="1:2" x14ac:dyDescent="0.75">
      <c r="A179" s="1">
        <v>45420</v>
      </c>
      <c r="B179">
        <v>78.56</v>
      </c>
    </row>
    <row r="180" spans="1:2" x14ac:dyDescent="0.75">
      <c r="A180" s="1">
        <v>45419</v>
      </c>
      <c r="B180">
        <v>78.06</v>
      </c>
    </row>
    <row r="181" spans="1:2" x14ac:dyDescent="0.75">
      <c r="A181" s="1">
        <v>45418</v>
      </c>
      <c r="B181">
        <v>78.14</v>
      </c>
    </row>
    <row r="182" spans="1:2" x14ac:dyDescent="0.75">
      <c r="A182" s="1">
        <v>45415</v>
      </c>
      <c r="B182">
        <v>77.760000000000005</v>
      </c>
    </row>
    <row r="183" spans="1:2" x14ac:dyDescent="0.75">
      <c r="A183" s="1">
        <v>45414</v>
      </c>
      <c r="B183">
        <v>78.48</v>
      </c>
    </row>
    <row r="184" spans="1:2" x14ac:dyDescent="0.75">
      <c r="A184" s="1">
        <v>45413</v>
      </c>
      <c r="B184">
        <v>78.44</v>
      </c>
    </row>
    <row r="185" spans="1:2" x14ac:dyDescent="0.75">
      <c r="A185" s="1">
        <v>45412</v>
      </c>
      <c r="B185">
        <v>81.28</v>
      </c>
    </row>
    <row r="186" spans="1:2" x14ac:dyDescent="0.75">
      <c r="A186" s="1">
        <v>45411</v>
      </c>
      <c r="B186">
        <v>82.03</v>
      </c>
    </row>
    <row r="187" spans="1:2" x14ac:dyDescent="0.75">
      <c r="A187" s="1">
        <v>45408</v>
      </c>
      <c r="B187">
        <v>83.13</v>
      </c>
    </row>
    <row r="188" spans="1:2" x14ac:dyDescent="0.75">
      <c r="A188" s="1">
        <v>45407</v>
      </c>
      <c r="B188">
        <v>82.75</v>
      </c>
    </row>
    <row r="189" spans="1:2" x14ac:dyDescent="0.75">
      <c r="A189" s="1">
        <v>45406</v>
      </c>
      <c r="B189">
        <v>82.09</v>
      </c>
    </row>
    <row r="190" spans="1:2" x14ac:dyDescent="0.75">
      <c r="A190" s="1">
        <v>45405</v>
      </c>
      <c r="B190">
        <v>82.56</v>
      </c>
    </row>
    <row r="191" spans="1:2" x14ac:dyDescent="0.75">
      <c r="A191" s="1">
        <v>45404</v>
      </c>
      <c r="B191">
        <v>81.900000000000006</v>
      </c>
    </row>
    <row r="192" spans="1:2" x14ac:dyDescent="0.75">
      <c r="A192" s="1">
        <v>45401</v>
      </c>
      <c r="B192">
        <v>82.22</v>
      </c>
    </row>
    <row r="193" spans="1:2" x14ac:dyDescent="0.75">
      <c r="A193" s="1">
        <v>45400</v>
      </c>
      <c r="B193">
        <v>82.1</v>
      </c>
    </row>
    <row r="194" spans="1:2" x14ac:dyDescent="0.75">
      <c r="A194" s="1">
        <v>45399</v>
      </c>
      <c r="B194">
        <v>82.15</v>
      </c>
    </row>
    <row r="195" spans="1:2" x14ac:dyDescent="0.75">
      <c r="A195" s="1">
        <v>45398</v>
      </c>
      <c r="B195">
        <v>84.83</v>
      </c>
    </row>
    <row r="196" spans="1:2" x14ac:dyDescent="0.75">
      <c r="A196" s="1">
        <v>45397</v>
      </c>
      <c r="B196">
        <v>84.86</v>
      </c>
    </row>
    <row r="197" spans="1:2" x14ac:dyDescent="0.75">
      <c r="A197" s="1">
        <v>45394</v>
      </c>
      <c r="B197">
        <v>85.08</v>
      </c>
    </row>
    <row r="198" spans="1:2" x14ac:dyDescent="0.75">
      <c r="A198" s="1">
        <v>45393</v>
      </c>
      <c r="B198">
        <v>84.45</v>
      </c>
    </row>
    <row r="199" spans="1:2" x14ac:dyDescent="0.75">
      <c r="A199" s="1">
        <v>45392</v>
      </c>
      <c r="B199">
        <v>85.44</v>
      </c>
    </row>
    <row r="200" spans="1:2" x14ac:dyDescent="0.75">
      <c r="A200" s="1">
        <v>45391</v>
      </c>
      <c r="B200">
        <v>84.46</v>
      </c>
    </row>
    <row r="201" spans="1:2" x14ac:dyDescent="0.75">
      <c r="A201" s="1">
        <v>45390</v>
      </c>
      <c r="B201">
        <v>85.53</v>
      </c>
    </row>
    <row r="202" spans="1:2" x14ac:dyDescent="0.75">
      <c r="A202" s="1">
        <v>45387</v>
      </c>
      <c r="B202">
        <v>86.1</v>
      </c>
    </row>
    <row r="203" spans="1:2" x14ac:dyDescent="0.75">
      <c r="A203" s="1">
        <v>45386</v>
      </c>
      <c r="B203">
        <v>85.81</v>
      </c>
    </row>
    <row r="204" spans="1:2" x14ac:dyDescent="0.75">
      <c r="A204" s="1">
        <v>45385</v>
      </c>
      <c r="B204">
        <v>84.61</v>
      </c>
    </row>
    <row r="205" spans="1:2" x14ac:dyDescent="0.75">
      <c r="A205" s="1">
        <v>45384</v>
      </c>
      <c r="B205">
        <v>84.22</v>
      </c>
    </row>
    <row r="206" spans="1:2" x14ac:dyDescent="0.75">
      <c r="A206" s="1">
        <v>45383</v>
      </c>
      <c r="B206">
        <v>82.82</v>
      </c>
    </row>
    <row r="207" spans="1:2" x14ac:dyDescent="0.75">
      <c r="A207" s="1">
        <v>45379</v>
      </c>
      <c r="B207">
        <v>82.42</v>
      </c>
    </row>
    <row r="208" spans="1:2" x14ac:dyDescent="0.75">
      <c r="A208" s="1">
        <v>45378</v>
      </c>
      <c r="B208">
        <v>80.78</v>
      </c>
    </row>
    <row r="209" spans="1:2" x14ac:dyDescent="0.75">
      <c r="A209" s="1">
        <v>45377</v>
      </c>
      <c r="B209">
        <v>81.040000000000006</v>
      </c>
    </row>
    <row r="210" spans="1:2" x14ac:dyDescent="0.75">
      <c r="A210" s="1">
        <v>45376</v>
      </c>
      <c r="B210">
        <v>81.38</v>
      </c>
    </row>
    <row r="211" spans="1:2" x14ac:dyDescent="0.75">
      <c r="A211" s="1">
        <v>45373</v>
      </c>
      <c r="B211">
        <v>80.17</v>
      </c>
    </row>
    <row r="212" spans="1:2" x14ac:dyDescent="0.75">
      <c r="A212" s="1">
        <v>45372</v>
      </c>
      <c r="B212">
        <v>80.64</v>
      </c>
    </row>
    <row r="213" spans="1:2" x14ac:dyDescent="0.75">
      <c r="A213" s="1">
        <v>45371</v>
      </c>
      <c r="B213">
        <v>81.27</v>
      </c>
    </row>
    <row r="214" spans="1:2" x14ac:dyDescent="0.75">
      <c r="A214" s="1">
        <v>45370</v>
      </c>
      <c r="B214">
        <v>82.73</v>
      </c>
    </row>
    <row r="215" spans="1:2" x14ac:dyDescent="0.75">
      <c r="A215" s="1">
        <v>45369</v>
      </c>
      <c r="B215">
        <v>82.16</v>
      </c>
    </row>
    <row r="216" spans="1:2" x14ac:dyDescent="0.75">
      <c r="A216" s="1">
        <v>45366</v>
      </c>
      <c r="B216">
        <v>80.58</v>
      </c>
    </row>
    <row r="217" spans="1:2" x14ac:dyDescent="0.75">
      <c r="A217" s="1">
        <v>45365</v>
      </c>
      <c r="B217">
        <v>80.739999999999995</v>
      </c>
    </row>
    <row r="218" spans="1:2" x14ac:dyDescent="0.75">
      <c r="A218" s="1">
        <v>45364</v>
      </c>
      <c r="B218">
        <v>79.3</v>
      </c>
    </row>
    <row r="219" spans="1:2" x14ac:dyDescent="0.75">
      <c r="A219" s="1">
        <v>45363</v>
      </c>
      <c r="B219">
        <v>77.25</v>
      </c>
    </row>
    <row r="220" spans="1:2" x14ac:dyDescent="0.75">
      <c r="A220" s="1">
        <v>45362</v>
      </c>
      <c r="B220">
        <v>77.53</v>
      </c>
    </row>
    <row r="221" spans="1:2" x14ac:dyDescent="0.75">
      <c r="A221" s="1">
        <v>45359</v>
      </c>
      <c r="B221">
        <v>77.5</v>
      </c>
    </row>
    <row r="222" spans="1:2" x14ac:dyDescent="0.75">
      <c r="A222" s="1">
        <v>45358</v>
      </c>
      <c r="B222">
        <v>78.319999999999993</v>
      </c>
    </row>
    <row r="223" spans="1:2" x14ac:dyDescent="0.75">
      <c r="A223" s="1">
        <v>45357</v>
      </c>
      <c r="B223">
        <v>78.41</v>
      </c>
    </row>
    <row r="224" spans="1:2" x14ac:dyDescent="0.75">
      <c r="A224" s="1">
        <v>45356</v>
      </c>
      <c r="B224">
        <v>77.41</v>
      </c>
    </row>
    <row r="225" spans="1:2" x14ac:dyDescent="0.75">
      <c r="A225" s="1">
        <v>45355</v>
      </c>
      <c r="B225">
        <v>78.17</v>
      </c>
    </row>
    <row r="226" spans="1:2" x14ac:dyDescent="0.75">
      <c r="A226" s="1">
        <v>45352</v>
      </c>
      <c r="B226">
        <v>79.09</v>
      </c>
    </row>
    <row r="227" spans="1:2" x14ac:dyDescent="0.75">
      <c r="A227" s="1">
        <v>45351</v>
      </c>
      <c r="B227">
        <v>77.45</v>
      </c>
    </row>
    <row r="228" spans="1:2" x14ac:dyDescent="0.75">
      <c r="A228" s="1">
        <v>45350</v>
      </c>
      <c r="B228">
        <v>77.83</v>
      </c>
    </row>
    <row r="229" spans="1:2" x14ac:dyDescent="0.75">
      <c r="A229" s="1">
        <v>45349</v>
      </c>
      <c r="B229">
        <v>78.23</v>
      </c>
    </row>
    <row r="230" spans="1:2" x14ac:dyDescent="0.75">
      <c r="A230" s="1">
        <v>45348</v>
      </c>
      <c r="B230">
        <v>77.09</v>
      </c>
    </row>
    <row r="231" spans="1:2" x14ac:dyDescent="0.75">
      <c r="A231" s="1">
        <v>45345</v>
      </c>
      <c r="B231">
        <v>76.08</v>
      </c>
    </row>
    <row r="232" spans="1:2" x14ac:dyDescent="0.75">
      <c r="A232" s="1">
        <v>45344</v>
      </c>
      <c r="B232">
        <v>77.930000000000007</v>
      </c>
    </row>
    <row r="233" spans="1:2" x14ac:dyDescent="0.75">
      <c r="A233" s="1">
        <v>45343</v>
      </c>
      <c r="B233">
        <v>77.31</v>
      </c>
    </row>
    <row r="234" spans="1:2" x14ac:dyDescent="0.75">
      <c r="A234" s="1">
        <v>45342</v>
      </c>
      <c r="B234">
        <v>77.040000000000006</v>
      </c>
    </row>
    <row r="235" spans="1:2" x14ac:dyDescent="0.75">
      <c r="A235" s="1">
        <v>45341</v>
      </c>
      <c r="B235">
        <v>78.11</v>
      </c>
    </row>
    <row r="236" spans="1:2" x14ac:dyDescent="0.75">
      <c r="A236" s="1">
        <v>45338</v>
      </c>
      <c r="B236">
        <v>78.459999999999994</v>
      </c>
    </row>
    <row r="237" spans="1:2" x14ac:dyDescent="0.75">
      <c r="A237" s="1">
        <v>45337</v>
      </c>
      <c r="B237">
        <v>77.59</v>
      </c>
    </row>
    <row r="238" spans="1:2" x14ac:dyDescent="0.75">
      <c r="A238" s="1">
        <v>45336</v>
      </c>
      <c r="B238">
        <v>76.36</v>
      </c>
    </row>
    <row r="239" spans="1:2" x14ac:dyDescent="0.75">
      <c r="A239" s="1">
        <v>45335</v>
      </c>
      <c r="B239">
        <v>77.56</v>
      </c>
    </row>
    <row r="240" spans="1:2" x14ac:dyDescent="0.75">
      <c r="A240" s="1">
        <v>45334</v>
      </c>
      <c r="B240">
        <v>76.819999999999993</v>
      </c>
    </row>
    <row r="241" spans="1:2" x14ac:dyDescent="0.75">
      <c r="A241" s="1">
        <v>45331</v>
      </c>
      <c r="B241">
        <v>76.77</v>
      </c>
    </row>
    <row r="242" spans="1:2" x14ac:dyDescent="0.75">
      <c r="A242" s="1">
        <v>45330</v>
      </c>
      <c r="B242">
        <v>76.19</v>
      </c>
    </row>
    <row r="243" spans="1:2" x14ac:dyDescent="0.75">
      <c r="A243" s="1">
        <v>45329</v>
      </c>
      <c r="B243">
        <v>73.91</v>
      </c>
    </row>
    <row r="244" spans="1:2" x14ac:dyDescent="0.75">
      <c r="A244" s="1">
        <v>45328</v>
      </c>
      <c r="B244">
        <v>73.37</v>
      </c>
    </row>
    <row r="245" spans="1:2" x14ac:dyDescent="0.75">
      <c r="A245" s="1">
        <v>45327</v>
      </c>
      <c r="B245">
        <v>72.849999999999994</v>
      </c>
    </row>
    <row r="246" spans="1:2" x14ac:dyDescent="0.75">
      <c r="A246" s="1">
        <v>45324</v>
      </c>
      <c r="B246">
        <v>72.3</v>
      </c>
    </row>
    <row r="247" spans="1:2" x14ac:dyDescent="0.75">
      <c r="A247" s="1">
        <v>45323</v>
      </c>
      <c r="B247">
        <v>73.790000000000006</v>
      </c>
    </row>
    <row r="248" spans="1:2" x14ac:dyDescent="0.75">
      <c r="A248" s="1">
        <v>45322</v>
      </c>
      <c r="B248">
        <v>75.709999999999994</v>
      </c>
    </row>
    <row r="249" spans="1:2" x14ac:dyDescent="0.75">
      <c r="A249" s="1">
        <v>45321</v>
      </c>
      <c r="B249">
        <v>77.650000000000006</v>
      </c>
    </row>
    <row r="250" spans="1:2" x14ac:dyDescent="0.75">
      <c r="A250" s="1">
        <v>45320</v>
      </c>
      <c r="B250">
        <v>76.67</v>
      </c>
    </row>
    <row r="251" spans="1:2" x14ac:dyDescent="0.75">
      <c r="A251" s="1">
        <v>45317</v>
      </c>
      <c r="B251">
        <v>77.86</v>
      </c>
    </row>
    <row r="252" spans="1:2" x14ac:dyDescent="0.75">
      <c r="A252" s="1">
        <v>45316</v>
      </c>
      <c r="B252">
        <v>77.19</v>
      </c>
    </row>
    <row r="253" spans="1:2" x14ac:dyDescent="0.75">
      <c r="A253" s="1">
        <v>45315</v>
      </c>
      <c r="B253">
        <v>74.98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 Oil WTI Data</vt:lpstr>
      <vt:lpstr>Crude Oil Price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Joseph</dc:creator>
  <cp:lastModifiedBy>Joe Joseph</cp:lastModifiedBy>
  <dcterms:created xsi:type="dcterms:W3CDTF">2025-01-14T15:36:50Z</dcterms:created>
  <dcterms:modified xsi:type="dcterms:W3CDTF">2025-01-17T00:36:47Z</dcterms:modified>
</cp:coreProperties>
</file>